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User P2283\Desktop\"/>
    </mc:Choice>
  </mc:AlternateContent>
  <xr:revisionPtr revIDLastSave="0" documentId="8_{FC8B1DCB-2994-4624-A0B2-2E71CAA80A16}" xr6:coauthVersionLast="47" xr6:coauthVersionMax="47" xr10:uidLastSave="{00000000-0000-0000-0000-000000000000}"/>
  <bookViews>
    <workbookView xWindow="28680" yWindow="-120" windowWidth="29040" windowHeight="15720" tabRatio="745" firstSheet="1" activeTab="1" xr2:uid="{00000000-000D-0000-FFFF-FFFF00000000}"/>
  </bookViews>
  <sheets>
    <sheet name="Data_log" sheetId="23" r:id="rId1"/>
    <sheet name="Note_ROV" sheetId="33" r:id="rId2"/>
    <sheet name="Campioni" sheetId="31" r:id="rId3"/>
    <sheet name="Liste" sheetId="24" r:id="rId4"/>
  </sheets>
  <externalReferences>
    <externalReference r:id="rId5"/>
    <externalReference r:id="rId6"/>
    <externalReference r:id="rId7"/>
  </externalReferences>
  <definedNames>
    <definedName name="_xlnm._FilterDatabase" localSheetId="0" hidden="1">Data_log!$A$1:$P$951</definedName>
    <definedName name="_xlnm._FilterDatabase" localSheetId="1" hidden="1">Note_ROV!$C$916:$C$917</definedName>
    <definedName name="_xlnm._FilterDatabase" localSheetId="2" hidden="1">Campioni!$A$1:$JM$1083</definedName>
    <definedName name="f_taxon">OFFSET(p_taxon,0,0,COUNTA([1]Bordighera_P1!$E$2),1)</definedName>
    <definedName name="jj">[2]!Table1[Lista specie]</definedName>
    <definedName name="Litter">Table5[Litter]</definedName>
    <definedName name="Pendenza">#REF!</definedName>
    <definedName name="Specie">Table1[Lista specie]</definedName>
    <definedName name="Specie_campione">[3]!Table1[Lista specie]</definedName>
    <definedName name="Substrato">#REF!</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696" i="33" l="1"/>
  <c r="A6697" i="33"/>
  <c r="A6698" i="33"/>
  <c r="A6699" i="33"/>
  <c r="A6700" i="33"/>
  <c r="A6701" i="33"/>
  <c r="A6702" i="33"/>
  <c r="A6703" i="33"/>
  <c r="A6704" i="33"/>
  <c r="A6705" i="33"/>
  <c r="A6706" i="33"/>
  <c r="A6707" i="33"/>
  <c r="A6708" i="33"/>
  <c r="A6709" i="33"/>
  <c r="A6710" i="33"/>
  <c r="A6711" i="33"/>
  <c r="A6712" i="33"/>
  <c r="A6713" i="33"/>
  <c r="A6714" i="33"/>
  <c r="A6715" i="33"/>
  <c r="A6716" i="33"/>
  <c r="A6717" i="33"/>
  <c r="A6718" i="33"/>
  <c r="A6719" i="33"/>
  <c r="A6720" i="33"/>
  <c r="A6721" i="33"/>
  <c r="B6696" i="33"/>
  <c r="B6697" i="33"/>
  <c r="B6698" i="33"/>
  <c r="B6699" i="33"/>
  <c r="B6700" i="33"/>
  <c r="B6701" i="33"/>
  <c r="B6702" i="33"/>
  <c r="B6703" i="33"/>
  <c r="B6704" i="33"/>
  <c r="B6705" i="33"/>
  <c r="B6706" i="33"/>
  <c r="B6707" i="33"/>
  <c r="B6708" i="33"/>
  <c r="B6709" i="33"/>
  <c r="B6710" i="33"/>
  <c r="B6711" i="33"/>
  <c r="B6712" i="33"/>
  <c r="B6713" i="33"/>
  <c r="B6714" i="33"/>
  <c r="B6715" i="33"/>
  <c r="B6716" i="33"/>
  <c r="B6717" i="33"/>
  <c r="B6718" i="33"/>
  <c r="B6719" i="33"/>
  <c r="B6720" i="33"/>
  <c r="B6721" i="33"/>
  <c r="A6685" i="33"/>
  <c r="A6686" i="33"/>
  <c r="A6687" i="33"/>
  <c r="A6688" i="33"/>
  <c r="A6689" i="33"/>
  <c r="A6690" i="33"/>
  <c r="A6691" i="33"/>
  <c r="A6692" i="33"/>
  <c r="A6693" i="33"/>
  <c r="A6694" i="33"/>
  <c r="A6695" i="33"/>
  <c r="B6685" i="33"/>
  <c r="B6686" i="33"/>
  <c r="B6687" i="33"/>
  <c r="B6688" i="33"/>
  <c r="B6689" i="33"/>
  <c r="B6690" i="33"/>
  <c r="B6691" i="33"/>
  <c r="B6692" i="33"/>
  <c r="B6693" i="33"/>
  <c r="B6694" i="33"/>
  <c r="B6695" i="33"/>
  <c r="K240" i="23"/>
  <c r="K239" i="23"/>
  <c r="K217" i="23"/>
  <c r="K216" i="23"/>
  <c r="K214" i="23"/>
  <c r="K204" i="23"/>
  <c r="K134" i="23"/>
  <c r="K183" i="23"/>
  <c r="K184" i="23"/>
  <c r="K170" i="23"/>
  <c r="K157" i="23"/>
  <c r="K153" i="23"/>
  <c r="A3040" i="33"/>
  <c r="B3040" i="33"/>
  <c r="K143" i="23"/>
  <c r="K142" i="23"/>
  <c r="K140" i="23"/>
  <c r="K138" i="23"/>
  <c r="K136" i="23"/>
  <c r="K133" i="23"/>
  <c r="K132" i="23"/>
  <c r="K131" i="23"/>
  <c r="K130" i="23"/>
  <c r="K129" i="23"/>
  <c r="K124" i="23"/>
  <c r="K125" i="23"/>
  <c r="K126" i="23"/>
  <c r="K127" i="23"/>
  <c r="K123" i="23"/>
  <c r="K121" i="23"/>
  <c r="K120" i="23"/>
  <c r="K118" i="23"/>
  <c r="K117" i="23"/>
  <c r="K88" i="23"/>
  <c r="K82" i="23"/>
  <c r="K64" i="23"/>
  <c r="K65" i="23"/>
  <c r="K67" i="23"/>
  <c r="K69" i="23"/>
  <c r="K71" i="23"/>
  <c r="K72" i="23"/>
  <c r="K73" i="23"/>
  <c r="K75" i="23"/>
  <c r="K76" i="23"/>
  <c r="K77" i="23"/>
  <c r="K78" i="23"/>
  <c r="K79" i="23"/>
  <c r="K80" i="23"/>
  <c r="K81" i="23"/>
  <c r="K83" i="23"/>
  <c r="K84" i="23"/>
  <c r="A1728" i="33"/>
  <c r="B1728" i="33"/>
  <c r="K55" i="23"/>
  <c r="K54" i="23"/>
  <c r="K47" i="23"/>
  <c r="K41" i="23"/>
  <c r="K27" i="23" l="1"/>
  <c r="K26" i="23"/>
  <c r="K24" i="23"/>
  <c r="K23" i="23"/>
  <c r="K17" i="23"/>
  <c r="K18" i="23"/>
  <c r="K10" i="23"/>
  <c r="K2" i="23"/>
  <c r="K4" i="23"/>
  <c r="K5" i="23"/>
  <c r="K6" i="23"/>
  <c r="K7" i="23"/>
  <c r="K8" i="23"/>
  <c r="K9" i="23"/>
  <c r="K13" i="23"/>
  <c r="K14" i="23"/>
  <c r="K15" i="23"/>
  <c r="K16" i="23"/>
  <c r="K19" i="23"/>
  <c r="K20" i="23"/>
  <c r="K21" i="23"/>
  <c r="K22" i="23"/>
  <c r="K25" i="23"/>
  <c r="K30" i="23"/>
  <c r="K31" i="23"/>
  <c r="K32" i="23"/>
  <c r="K33" i="23"/>
  <c r="K34" i="23"/>
  <c r="K35" i="23"/>
  <c r="K37" i="23"/>
  <c r="K38" i="23"/>
  <c r="K39" i="23"/>
  <c r="K42" i="23"/>
  <c r="K43" i="23"/>
  <c r="K44" i="23"/>
  <c r="K45" i="23"/>
  <c r="K46" i="23"/>
  <c r="K48" i="23"/>
  <c r="K49" i="23"/>
  <c r="K50" i="23"/>
  <c r="K51" i="23"/>
  <c r="K52" i="23"/>
  <c r="K56" i="23"/>
  <c r="K57" i="23"/>
  <c r="K58" i="23"/>
  <c r="K59" i="23"/>
  <c r="K60" i="23"/>
  <c r="K61" i="23"/>
  <c r="K63" i="23"/>
  <c r="K85" i="23"/>
  <c r="K86" i="23"/>
  <c r="K87" i="23"/>
  <c r="K89" i="23"/>
  <c r="K90" i="23"/>
  <c r="K91" i="23"/>
  <c r="K92" i="23"/>
  <c r="K94" i="23"/>
  <c r="K95" i="23"/>
  <c r="K98" i="23"/>
  <c r="K99" i="23"/>
  <c r="K102" i="23"/>
  <c r="K103" i="23"/>
  <c r="K104" i="23"/>
  <c r="K106" i="23"/>
  <c r="K107" i="23"/>
  <c r="K109" i="23"/>
  <c r="K110" i="23"/>
  <c r="K111" i="23"/>
  <c r="K112" i="23"/>
  <c r="K113" i="23"/>
  <c r="K114" i="23"/>
  <c r="K115" i="23"/>
  <c r="K116" i="23"/>
  <c r="K119" i="23"/>
  <c r="K122" i="23"/>
  <c r="K128" i="23"/>
  <c r="K135" i="23"/>
  <c r="K137" i="23"/>
  <c r="K139" i="23"/>
  <c r="K141" i="23"/>
  <c r="K144" i="23"/>
  <c r="K145" i="23"/>
  <c r="K146" i="23"/>
  <c r="K147" i="23"/>
  <c r="K148" i="23"/>
  <c r="K149" i="23"/>
  <c r="K150" i="23"/>
  <c r="K151" i="23"/>
  <c r="K152" i="23"/>
  <c r="K154" i="23"/>
  <c r="K155" i="23"/>
  <c r="K158" i="23"/>
  <c r="K159" i="23"/>
  <c r="K160" i="23"/>
  <c r="K161" i="23"/>
  <c r="K162" i="23"/>
  <c r="K163" i="23"/>
  <c r="K164" i="23"/>
  <c r="K165" i="23"/>
  <c r="K166" i="23"/>
  <c r="K167" i="23"/>
  <c r="K168" i="23"/>
  <c r="K169" i="23"/>
  <c r="K171" i="23"/>
  <c r="K172" i="23"/>
  <c r="K173" i="23"/>
  <c r="K174" i="23"/>
  <c r="K175" i="23"/>
  <c r="K176" i="23"/>
  <c r="K177" i="23"/>
  <c r="K178" i="23"/>
  <c r="K179" i="23"/>
  <c r="K180" i="23"/>
  <c r="K182" i="23"/>
  <c r="K185" i="23"/>
  <c r="K187" i="23"/>
  <c r="K188" i="23"/>
  <c r="K190" i="23"/>
  <c r="K191" i="23"/>
  <c r="K192" i="23"/>
  <c r="K193" i="23"/>
  <c r="K194" i="23"/>
  <c r="K195" i="23"/>
  <c r="K196" i="23"/>
  <c r="K197" i="23"/>
  <c r="K198" i="23"/>
  <c r="K199" i="23"/>
  <c r="K200" i="23"/>
  <c r="K202" i="23"/>
  <c r="K205" i="23"/>
  <c r="K207" i="23"/>
  <c r="K208" i="23"/>
  <c r="K209" i="23"/>
  <c r="K211" i="23"/>
  <c r="K212" i="23"/>
  <c r="K213" i="23"/>
  <c r="K219" i="23"/>
  <c r="K220" i="23"/>
  <c r="K221" i="23"/>
  <c r="K223" i="23"/>
  <c r="K225" i="23"/>
  <c r="K226" i="23"/>
  <c r="K227" i="23"/>
  <c r="K228" i="23"/>
  <c r="K229" i="23"/>
  <c r="K232" i="23"/>
  <c r="K233" i="23"/>
  <c r="K234" i="23"/>
  <c r="K236" i="23"/>
  <c r="K238" i="23"/>
  <c r="K241" i="23"/>
  <c r="K242"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K655" i="23"/>
  <c r="K656" i="23"/>
  <c r="K657" i="23"/>
  <c r="K658" i="23"/>
  <c r="K659" i="23"/>
  <c r="K660" i="23"/>
  <c r="K661" i="23"/>
  <c r="K662" i="23"/>
  <c r="K663" i="23"/>
  <c r="K664" i="23"/>
  <c r="K665" i="23"/>
  <c r="K666" i="23"/>
  <c r="K667" i="23"/>
  <c r="K668" i="23"/>
  <c r="K669" i="23"/>
  <c r="K670" i="23"/>
  <c r="K671" i="23"/>
  <c r="K672" i="23"/>
  <c r="K673" i="23"/>
  <c r="K674" i="23"/>
  <c r="K675" i="23"/>
  <c r="K676" i="23"/>
  <c r="K677" i="23"/>
  <c r="K678" i="23"/>
  <c r="K679" i="23"/>
  <c r="K680" i="23"/>
  <c r="K681" i="23"/>
  <c r="K682" i="23"/>
  <c r="K683" i="23"/>
  <c r="K684" i="23"/>
  <c r="K685" i="23"/>
  <c r="K686" i="23"/>
  <c r="K687" i="23"/>
  <c r="K688" i="23"/>
  <c r="K689" i="23"/>
  <c r="K690" i="23"/>
  <c r="K691" i="23"/>
  <c r="K692" i="23"/>
  <c r="K693" i="23"/>
  <c r="K694" i="23"/>
  <c r="K695" i="23"/>
  <c r="K696" i="23"/>
  <c r="K697" i="23"/>
  <c r="K698" i="23"/>
  <c r="K699" i="23"/>
  <c r="K700" i="23"/>
  <c r="K701" i="23"/>
  <c r="K702" i="23"/>
  <c r="K703" i="23"/>
  <c r="K704" i="23"/>
  <c r="K705" i="23"/>
  <c r="K706" i="23"/>
  <c r="K707" i="23"/>
  <c r="K708" i="23"/>
  <c r="K709" i="23"/>
  <c r="K710" i="23"/>
  <c r="K711" i="23"/>
  <c r="K712" i="23"/>
  <c r="K713" i="23"/>
  <c r="K714" i="23"/>
  <c r="K715" i="23"/>
  <c r="K716" i="23"/>
  <c r="K717" i="23"/>
  <c r="K718" i="23"/>
  <c r="K719" i="23"/>
  <c r="K720" i="23"/>
  <c r="K721" i="23"/>
  <c r="K722" i="23"/>
  <c r="K723" i="23"/>
  <c r="K724" i="23"/>
  <c r="K725" i="23"/>
  <c r="K726" i="23"/>
  <c r="K727" i="23"/>
  <c r="K728" i="23"/>
  <c r="K729" i="23"/>
  <c r="K730" i="23"/>
  <c r="K731" i="23"/>
  <c r="K732" i="23"/>
  <c r="K733" i="23"/>
  <c r="K734" i="23"/>
  <c r="K735" i="23"/>
  <c r="K736" i="23"/>
  <c r="K737" i="23"/>
  <c r="K738" i="23"/>
  <c r="K739" i="23"/>
  <c r="K740" i="23"/>
  <c r="K741" i="23"/>
  <c r="K742" i="23"/>
  <c r="K743" i="23"/>
  <c r="K744" i="23"/>
  <c r="K745" i="23"/>
  <c r="K746" i="23"/>
  <c r="K747" i="23"/>
  <c r="K748" i="23"/>
  <c r="K749" i="23"/>
  <c r="K750" i="23"/>
  <c r="K751" i="23"/>
  <c r="K752" i="23"/>
  <c r="K753" i="23"/>
  <c r="K754" i="23"/>
  <c r="K755" i="23"/>
  <c r="K756" i="23"/>
  <c r="K757" i="23"/>
  <c r="K758" i="23"/>
  <c r="K759" i="23"/>
  <c r="K760" i="23"/>
  <c r="K761" i="23"/>
  <c r="K762" i="23"/>
  <c r="K763" i="23"/>
  <c r="K764" i="23"/>
  <c r="K765" i="23"/>
  <c r="K766" i="23"/>
  <c r="K767" i="23"/>
  <c r="K768" i="23"/>
  <c r="K769" i="23"/>
  <c r="K770" i="23"/>
  <c r="K771" i="23"/>
  <c r="K772" i="23"/>
  <c r="K773" i="23"/>
  <c r="K774" i="23"/>
  <c r="K775" i="23"/>
  <c r="K776" i="23"/>
  <c r="K777" i="23"/>
  <c r="K778" i="23"/>
  <c r="K779" i="23"/>
  <c r="K780" i="23"/>
  <c r="K781" i="23"/>
  <c r="K782" i="23"/>
  <c r="K783" i="23"/>
  <c r="K784" i="23"/>
  <c r="K785" i="23"/>
  <c r="K786" i="23"/>
  <c r="K787" i="23"/>
  <c r="K788" i="23"/>
  <c r="K789" i="23"/>
  <c r="K790" i="23"/>
  <c r="K791" i="23"/>
  <c r="K792" i="23"/>
  <c r="K793" i="23"/>
  <c r="K794" i="23"/>
  <c r="K795" i="23"/>
  <c r="K796" i="23"/>
  <c r="K797" i="23"/>
  <c r="K798" i="23"/>
  <c r="K799" i="23"/>
  <c r="K800" i="23"/>
  <c r="K801" i="23"/>
  <c r="K802" i="23"/>
  <c r="K803" i="23"/>
  <c r="K804" i="23"/>
  <c r="K805" i="23"/>
  <c r="K806" i="23"/>
  <c r="K807" i="23"/>
  <c r="K808" i="23"/>
  <c r="K809" i="23"/>
  <c r="K810" i="23"/>
  <c r="K811" i="23"/>
  <c r="K812" i="23"/>
  <c r="K813" i="23"/>
  <c r="K814" i="23"/>
  <c r="K815" i="23"/>
  <c r="K816" i="23"/>
  <c r="K817" i="23"/>
  <c r="K818" i="23"/>
  <c r="K819" i="23"/>
  <c r="K820" i="23"/>
  <c r="K821" i="23"/>
  <c r="K822" i="23"/>
  <c r="K823" i="23"/>
  <c r="K824" i="23"/>
  <c r="K825" i="23"/>
  <c r="K826" i="23"/>
  <c r="K827" i="23"/>
  <c r="K828" i="23"/>
  <c r="K829" i="23"/>
  <c r="K830" i="23"/>
  <c r="K831" i="23"/>
  <c r="K832" i="23"/>
  <c r="K833" i="23"/>
  <c r="K834" i="23"/>
  <c r="K835" i="23"/>
  <c r="K836" i="23"/>
  <c r="K837" i="23"/>
  <c r="K838" i="23"/>
  <c r="K839" i="23"/>
  <c r="K840" i="23"/>
  <c r="K841" i="23"/>
  <c r="K842" i="23"/>
  <c r="K843" i="23"/>
  <c r="K844" i="23"/>
  <c r="K845" i="23"/>
  <c r="K846" i="23"/>
  <c r="K847" i="23"/>
  <c r="K848" i="23"/>
  <c r="K849" i="23"/>
  <c r="K850" i="23"/>
  <c r="K851" i="23"/>
  <c r="K852" i="23"/>
  <c r="K853" i="23"/>
  <c r="K854" i="23"/>
  <c r="K855" i="23"/>
  <c r="K856" i="23"/>
  <c r="K857" i="23"/>
  <c r="K858" i="23"/>
  <c r="K859" i="23"/>
  <c r="K860" i="23"/>
  <c r="K861" i="23"/>
  <c r="K862" i="23"/>
  <c r="K863" i="23"/>
  <c r="K864" i="23"/>
  <c r="K865" i="23"/>
  <c r="K866" i="23"/>
  <c r="K867" i="23"/>
  <c r="K868" i="23"/>
  <c r="K869" i="23"/>
  <c r="K870" i="23"/>
  <c r="K871" i="23"/>
  <c r="K872" i="23"/>
  <c r="K873" i="23"/>
  <c r="K874" i="23"/>
  <c r="K875" i="23"/>
  <c r="K876" i="23"/>
  <c r="K877" i="23"/>
  <c r="K878" i="23"/>
  <c r="K879" i="23"/>
  <c r="K880" i="23"/>
  <c r="K881" i="23"/>
  <c r="K882" i="23"/>
  <c r="K883" i="23"/>
  <c r="K884" i="23"/>
  <c r="K885" i="23"/>
  <c r="K886" i="23"/>
  <c r="K887" i="23"/>
  <c r="K888" i="23"/>
  <c r="K889" i="23"/>
  <c r="K890" i="23"/>
  <c r="K891" i="23"/>
  <c r="K892" i="23"/>
  <c r="K893" i="23"/>
  <c r="K894" i="23"/>
  <c r="K895" i="23"/>
  <c r="K896" i="23"/>
  <c r="K897" i="23"/>
  <c r="K898" i="23"/>
  <c r="K899" i="23"/>
  <c r="K900" i="23"/>
  <c r="K901" i="23"/>
  <c r="K902" i="23"/>
  <c r="K903" i="23"/>
  <c r="K904" i="23"/>
  <c r="K905" i="23"/>
  <c r="K906" i="23"/>
  <c r="K907" i="23"/>
  <c r="K908" i="23"/>
  <c r="K909" i="23"/>
  <c r="K910" i="23"/>
  <c r="K911" i="23"/>
  <c r="K912" i="23"/>
  <c r="K913" i="23"/>
  <c r="K914" i="23"/>
  <c r="K915" i="23"/>
  <c r="K916" i="23"/>
  <c r="K917" i="23"/>
  <c r="K918" i="23"/>
  <c r="K919" i="23"/>
  <c r="K920" i="23"/>
  <c r="K921" i="23"/>
  <c r="K922" i="23"/>
  <c r="K923" i="23"/>
  <c r="K924" i="23"/>
  <c r="K925" i="23"/>
  <c r="K926" i="23"/>
  <c r="K927" i="23"/>
  <c r="K928" i="23"/>
  <c r="K929" i="23"/>
  <c r="K930" i="23"/>
  <c r="K931" i="23"/>
  <c r="K932" i="23"/>
  <c r="K933" i="23"/>
  <c r="K934" i="23"/>
  <c r="K935" i="23"/>
  <c r="K936" i="23"/>
  <c r="K937" i="23"/>
  <c r="K938" i="23"/>
  <c r="K939" i="23"/>
  <c r="K940" i="23"/>
  <c r="K941" i="23"/>
  <c r="K942" i="23"/>
  <c r="K943" i="23"/>
  <c r="K944" i="23"/>
  <c r="K945" i="23"/>
  <c r="K946" i="23"/>
  <c r="K947" i="23"/>
  <c r="K948" i="23"/>
  <c r="K949" i="23"/>
  <c r="K950" i="23"/>
  <c r="K951" i="23"/>
  <c r="K3" i="23"/>
  <c r="K28" i="23" l="1"/>
  <c r="K29" i="23"/>
  <c r="K36" i="23"/>
  <c r="K40" i="23"/>
  <c r="K101" i="23"/>
  <c r="K231" i="23"/>
  <c r="E10" i="31"/>
  <c r="E109" i="31"/>
  <c r="E110" i="31"/>
  <c r="E111" i="31"/>
  <c r="E115" i="31"/>
  <c r="E116" i="31"/>
  <c r="E117" i="31"/>
  <c r="E118" i="31"/>
  <c r="E119" i="31"/>
  <c r="E120" i="31"/>
  <c r="E153" i="31"/>
  <c r="E154" i="31"/>
  <c r="J12" i="23"/>
  <c r="K12" i="23"/>
  <c r="K62" i="23"/>
  <c r="I66" i="23"/>
  <c r="J66" i="23"/>
  <c r="K66" i="23"/>
  <c r="J68" i="23"/>
  <c r="K68" i="23"/>
  <c r="J70" i="23"/>
  <c r="K70" i="23"/>
  <c r="J74" i="23"/>
  <c r="K74" i="23"/>
  <c r="J96" i="23"/>
  <c r="K96" i="23"/>
  <c r="J97" i="23"/>
  <c r="K97" i="23"/>
  <c r="J100" i="23"/>
  <c r="K100" i="23"/>
  <c r="J108" i="23"/>
  <c r="K108" i="23"/>
  <c r="J186" i="23"/>
  <c r="K186" i="23"/>
  <c r="J210" i="23"/>
  <c r="K210" i="2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A109" i="33"/>
  <c r="B109" i="33"/>
  <c r="A110" i="33"/>
  <c r="B110" i="33"/>
  <c r="A111" i="33"/>
  <c r="B111" i="33"/>
  <c r="A112" i="33"/>
  <c r="B112" i="33"/>
  <c r="A113" i="33"/>
  <c r="B113" i="33"/>
  <c r="A114" i="33"/>
  <c r="B114" i="33"/>
  <c r="A115" i="33"/>
  <c r="B115" i="33"/>
  <c r="A116" i="33"/>
  <c r="B116" i="33"/>
  <c r="A117" i="33"/>
  <c r="B117" i="33"/>
  <c r="A118" i="33"/>
  <c r="B118" i="33"/>
  <c r="A119" i="33"/>
  <c r="B119" i="33"/>
  <c r="A120" i="33"/>
  <c r="B120" i="33"/>
  <c r="A121" i="33"/>
  <c r="B121" i="33"/>
  <c r="A122" i="33"/>
  <c r="B122" i="33"/>
  <c r="A123" i="33"/>
  <c r="B123" i="33"/>
  <c r="A124" i="33"/>
  <c r="B124" i="33"/>
  <c r="A125" i="33"/>
  <c r="B125" i="33"/>
  <c r="A126" i="33"/>
  <c r="B126" i="33"/>
  <c r="A127" i="33"/>
  <c r="B127" i="33"/>
  <c r="A128" i="33"/>
  <c r="B128" i="33"/>
  <c r="A129" i="33"/>
  <c r="B129" i="33"/>
  <c r="A130" i="33"/>
  <c r="B130" i="33"/>
  <c r="A131" i="33"/>
  <c r="B131" i="33"/>
  <c r="A132" i="33"/>
  <c r="B132" i="33"/>
  <c r="A133" i="33"/>
  <c r="B133" i="33"/>
  <c r="A134" i="33"/>
  <c r="B134" i="33"/>
  <c r="A135" i="33"/>
  <c r="B135" i="33"/>
  <c r="A136" i="33"/>
  <c r="B136" i="33"/>
  <c r="A137" i="33"/>
  <c r="B137" i="33"/>
  <c r="A138" i="33"/>
  <c r="B138" i="33"/>
  <c r="A139" i="33"/>
  <c r="B139" i="33"/>
  <c r="A140" i="33"/>
  <c r="B140" i="33"/>
  <c r="A141" i="33"/>
  <c r="B141" i="33"/>
  <c r="A142" i="33"/>
  <c r="B142" i="33"/>
  <c r="A143" i="33"/>
  <c r="B143" i="33"/>
  <c r="A144" i="33"/>
  <c r="B144" i="33"/>
  <c r="A145" i="33"/>
  <c r="B145" i="33"/>
  <c r="A146" i="33"/>
  <c r="B146" i="33"/>
  <c r="A147" i="33"/>
  <c r="B147" i="33"/>
  <c r="A148" i="33"/>
  <c r="B148" i="33"/>
  <c r="A149" i="33"/>
  <c r="B149" i="33"/>
  <c r="A150" i="33"/>
  <c r="B150" i="33"/>
  <c r="A151" i="33"/>
  <c r="B151" i="33"/>
  <c r="A152" i="33"/>
  <c r="B152" i="33"/>
  <c r="A153" i="33"/>
  <c r="B153" i="33"/>
  <c r="A154" i="33"/>
  <c r="B154" i="33"/>
  <c r="A155" i="33"/>
  <c r="B155" i="33"/>
  <c r="A156" i="33"/>
  <c r="B156" i="33"/>
  <c r="A157" i="33"/>
  <c r="B157" i="33"/>
  <c r="A158" i="33"/>
  <c r="B158" i="33"/>
  <c r="A159" i="33"/>
  <c r="B159" i="33"/>
  <c r="A160" i="33"/>
  <c r="B160" i="33"/>
  <c r="A161" i="33"/>
  <c r="B161" i="33"/>
  <c r="A162" i="33"/>
  <c r="B162" i="33"/>
  <c r="A163" i="33"/>
  <c r="B163" i="33"/>
  <c r="A164" i="33"/>
  <c r="B164" i="33"/>
  <c r="A165" i="33"/>
  <c r="B165" i="33"/>
  <c r="A166" i="33"/>
  <c r="B166" i="33"/>
  <c r="A167" i="33"/>
  <c r="B167" i="33"/>
  <c r="A168" i="33"/>
  <c r="B168" i="33"/>
  <c r="A169" i="33"/>
  <c r="B169" i="33"/>
  <c r="A170" i="33"/>
  <c r="B170" i="33"/>
  <c r="A171" i="33"/>
  <c r="B171" i="33"/>
  <c r="A172" i="33"/>
  <c r="B172" i="33"/>
  <c r="A173" i="33"/>
  <c r="B173" i="33"/>
  <c r="A174" i="33"/>
  <c r="B174" i="33"/>
  <c r="A175" i="33"/>
  <c r="B175" i="33"/>
  <c r="A176" i="33"/>
  <c r="B176" i="33"/>
  <c r="A177" i="33"/>
  <c r="B177" i="33"/>
  <c r="A178" i="33"/>
  <c r="B178" i="33"/>
  <c r="A179" i="33"/>
  <c r="B179" i="33"/>
  <c r="A180" i="33"/>
  <c r="B180" i="33"/>
  <c r="A181" i="33"/>
  <c r="B181" i="33"/>
  <c r="A182" i="33"/>
  <c r="B182" i="33"/>
  <c r="A183" i="33"/>
  <c r="B183" i="33"/>
  <c r="A184" i="33"/>
  <c r="B184" i="33"/>
  <c r="A185" i="33"/>
  <c r="B185" i="33"/>
  <c r="A186" i="33"/>
  <c r="B186" i="33"/>
  <c r="A187" i="33"/>
  <c r="B187" i="33"/>
  <c r="A188" i="33"/>
  <c r="B188" i="33"/>
  <c r="A189" i="33"/>
  <c r="B189" i="33"/>
  <c r="A190" i="33"/>
  <c r="B190" i="33"/>
  <c r="A191" i="33"/>
  <c r="B191" i="33"/>
  <c r="A192" i="33"/>
  <c r="B192" i="33"/>
  <c r="A193" i="33"/>
  <c r="B193" i="33"/>
  <c r="A194" i="33"/>
  <c r="B194" i="33"/>
  <c r="A195" i="33"/>
  <c r="B195" i="33"/>
  <c r="A196" i="33"/>
  <c r="B196" i="33"/>
  <c r="A197" i="33"/>
  <c r="B197" i="33"/>
  <c r="A198" i="33"/>
  <c r="B198" i="33"/>
  <c r="A199" i="33"/>
  <c r="B199" i="33"/>
  <c r="A200" i="33"/>
  <c r="B200" i="33"/>
  <c r="A201" i="33"/>
  <c r="B201" i="33"/>
  <c r="A202" i="33"/>
  <c r="B202" i="33"/>
  <c r="A203" i="33"/>
  <c r="B203" i="33"/>
  <c r="A204" i="33"/>
  <c r="B204" i="33"/>
  <c r="A205" i="33"/>
  <c r="B205" i="33"/>
  <c r="A206" i="33"/>
  <c r="B206" i="33"/>
  <c r="A207" i="33"/>
  <c r="B207" i="33"/>
  <c r="A208" i="33"/>
  <c r="B208" i="33"/>
  <c r="A209" i="33"/>
  <c r="B209" i="33"/>
  <c r="A210" i="33"/>
  <c r="B210" i="33"/>
  <c r="A211" i="33"/>
  <c r="B211" i="33"/>
  <c r="A212" i="33"/>
  <c r="B212" i="33"/>
  <c r="A213" i="33"/>
  <c r="B213" i="33"/>
  <c r="A214" i="33"/>
  <c r="B214" i="33"/>
  <c r="A215" i="33"/>
  <c r="B215" i="33"/>
  <c r="A216" i="33"/>
  <c r="B216" i="33"/>
  <c r="A217" i="33"/>
  <c r="B217" i="33"/>
  <c r="A218" i="33"/>
  <c r="B218" i="33"/>
  <c r="A219" i="33"/>
  <c r="B219" i="33"/>
  <c r="A220" i="33"/>
  <c r="B220" i="33"/>
  <c r="A221" i="33"/>
  <c r="B221" i="33"/>
  <c r="A222" i="33"/>
  <c r="B222" i="33"/>
  <c r="A223" i="33"/>
  <c r="B223" i="33"/>
  <c r="A224" i="33"/>
  <c r="B224" i="33"/>
  <c r="A225" i="33"/>
  <c r="B225" i="33"/>
  <c r="A226" i="33"/>
  <c r="B226" i="33"/>
  <c r="A227" i="33"/>
  <c r="B227" i="33"/>
  <c r="A228" i="33"/>
  <c r="B228" i="33"/>
  <c r="A229" i="33"/>
  <c r="B229" i="33"/>
  <c r="A230" i="33"/>
  <c r="B230" i="33"/>
  <c r="A231" i="33"/>
  <c r="A232" i="33"/>
  <c r="A233" i="33"/>
  <c r="A234" i="33"/>
  <c r="A235" i="33"/>
  <c r="A236" i="33"/>
  <c r="A237" i="33"/>
  <c r="A238" i="33"/>
  <c r="A239" i="33"/>
  <c r="A240" i="33"/>
  <c r="A241" i="33"/>
  <c r="A242" i="33"/>
  <c r="A243" i="33"/>
  <c r="A244" i="33"/>
  <c r="B244" i="33"/>
  <c r="A245" i="33"/>
  <c r="A246" i="33"/>
  <c r="B246" i="33"/>
  <c r="A247" i="33"/>
  <c r="B247" i="33"/>
  <c r="A248" i="33"/>
  <c r="B248" i="33"/>
  <c r="A249" i="33"/>
  <c r="B249" i="33"/>
  <c r="A250" i="33"/>
  <c r="B250" i="33"/>
  <c r="A251" i="33"/>
  <c r="B251" i="33"/>
  <c r="A252" i="33"/>
  <c r="B252" i="33"/>
  <c r="A253" i="33"/>
  <c r="B253" i="33"/>
  <c r="A254" i="33"/>
  <c r="B254" i="33"/>
  <c r="A255" i="33"/>
  <c r="B255" i="33"/>
  <c r="A256" i="33"/>
  <c r="B256" i="33"/>
  <c r="A257" i="33"/>
  <c r="B257" i="33"/>
  <c r="A258" i="33"/>
  <c r="B258" i="33"/>
  <c r="A259" i="33"/>
  <c r="B259" i="33"/>
  <c r="A260" i="33"/>
  <c r="B260" i="33"/>
  <c r="A261" i="33"/>
  <c r="B261" i="33"/>
  <c r="A262" i="33"/>
  <c r="B262" i="33"/>
  <c r="A263" i="33"/>
  <c r="B263" i="33"/>
  <c r="A264" i="33"/>
  <c r="B264" i="33"/>
  <c r="A265" i="33"/>
  <c r="B265" i="33"/>
  <c r="A266" i="33"/>
  <c r="B266" i="33"/>
  <c r="A267" i="33"/>
  <c r="B267" i="33"/>
  <c r="A268" i="33"/>
  <c r="B268" i="33"/>
  <c r="A269" i="33"/>
  <c r="B269" i="33"/>
  <c r="A270" i="33"/>
  <c r="A271" i="33"/>
  <c r="A272" i="33"/>
  <c r="B272" i="33"/>
  <c r="A273" i="33"/>
  <c r="B273" i="33"/>
  <c r="A274" i="33"/>
  <c r="B274" i="33"/>
  <c r="A275" i="33"/>
  <c r="B275" i="33"/>
  <c r="A276" i="33"/>
  <c r="B276" i="33"/>
  <c r="A277" i="33"/>
  <c r="B277" i="33"/>
  <c r="A278" i="33"/>
  <c r="B278" i="33"/>
  <c r="A279" i="33"/>
  <c r="B279" i="33"/>
  <c r="A280" i="33"/>
  <c r="B280" i="33"/>
  <c r="A281" i="33"/>
  <c r="B281" i="33"/>
  <c r="A282" i="33"/>
  <c r="B282" i="33"/>
  <c r="A283" i="33"/>
  <c r="B283" i="33"/>
  <c r="A284" i="33"/>
  <c r="B284" i="33"/>
  <c r="A285" i="33"/>
  <c r="B285" i="33"/>
  <c r="A286" i="33"/>
  <c r="B286" i="33"/>
  <c r="A287" i="33"/>
  <c r="B287" i="33"/>
  <c r="A288" i="33"/>
  <c r="A289" i="33"/>
  <c r="B289" i="33"/>
  <c r="A290" i="33"/>
  <c r="B290" i="33"/>
  <c r="A291" i="33"/>
  <c r="B291" i="33"/>
  <c r="A292" i="33"/>
  <c r="B292" i="33"/>
  <c r="A293" i="33"/>
  <c r="B293" i="33"/>
  <c r="A294" i="33"/>
  <c r="B294" i="33"/>
  <c r="A295" i="33"/>
  <c r="B295" i="33"/>
  <c r="A296" i="33"/>
  <c r="B296" i="33"/>
  <c r="A297" i="33"/>
  <c r="B297" i="33"/>
  <c r="A298" i="33"/>
  <c r="B298" i="33"/>
  <c r="A299" i="33"/>
  <c r="B299" i="33"/>
  <c r="A300" i="33"/>
  <c r="B300" i="33"/>
  <c r="A301" i="33"/>
  <c r="B301" i="33"/>
  <c r="A302" i="33"/>
  <c r="B302" i="33"/>
  <c r="A303" i="33"/>
  <c r="B303" i="33"/>
  <c r="A304" i="33"/>
  <c r="B304" i="33"/>
  <c r="A305" i="33"/>
  <c r="B305" i="33"/>
  <c r="A306" i="33"/>
  <c r="B306" i="33"/>
  <c r="A307" i="33"/>
  <c r="B307" i="33"/>
  <c r="A308" i="33"/>
  <c r="B308" i="33"/>
  <c r="A309" i="33"/>
  <c r="B309" i="33"/>
  <c r="A310" i="33"/>
  <c r="B310" i="33"/>
  <c r="A311" i="33"/>
  <c r="B311" i="33"/>
  <c r="A312" i="33"/>
  <c r="B312" i="33"/>
  <c r="A313" i="33"/>
  <c r="B313" i="33"/>
  <c r="A314" i="33"/>
  <c r="B314" i="33"/>
  <c r="A315" i="33"/>
  <c r="B315" i="33"/>
  <c r="A316" i="33"/>
  <c r="B316" i="33"/>
  <c r="A317" i="33"/>
  <c r="A318" i="33"/>
  <c r="B318" i="33"/>
  <c r="A319" i="33"/>
  <c r="B319" i="33"/>
  <c r="A320" i="33"/>
  <c r="B320" i="33"/>
  <c r="A321" i="33"/>
  <c r="B321" i="33"/>
  <c r="A322" i="33"/>
  <c r="B322" i="33"/>
  <c r="A323" i="33"/>
  <c r="B323" i="33"/>
  <c r="A324" i="33"/>
  <c r="B324" i="33"/>
  <c r="A325" i="33"/>
  <c r="B325" i="33"/>
  <c r="A326" i="33"/>
  <c r="B326" i="33"/>
  <c r="A327" i="33"/>
  <c r="B327" i="33"/>
  <c r="A328" i="33"/>
  <c r="B328" i="33"/>
  <c r="A329" i="33"/>
  <c r="B329" i="33"/>
  <c r="A330" i="33"/>
  <c r="B330" i="33"/>
  <c r="A331" i="33"/>
  <c r="B331" i="33"/>
  <c r="A332" i="33"/>
  <c r="B332" i="33"/>
  <c r="A333" i="33"/>
  <c r="B333" i="33"/>
  <c r="A334" i="33"/>
  <c r="B334" i="33"/>
  <c r="A335" i="33"/>
  <c r="B335" i="33"/>
  <c r="A336" i="33"/>
  <c r="B336" i="33"/>
  <c r="A337" i="33"/>
  <c r="B337" i="33"/>
  <c r="A338" i="33"/>
  <c r="B338" i="33"/>
  <c r="A339" i="33"/>
  <c r="B339" i="33"/>
  <c r="A340" i="33"/>
  <c r="B340" i="33"/>
  <c r="A341" i="33"/>
  <c r="B341" i="33"/>
  <c r="A342" i="33"/>
  <c r="B342" i="33"/>
  <c r="A343" i="33"/>
  <c r="B343" i="33"/>
  <c r="A344" i="33"/>
  <c r="B344" i="33"/>
  <c r="A345" i="33"/>
  <c r="B345" i="33"/>
  <c r="A346" i="33"/>
  <c r="B346" i="33"/>
  <c r="A347" i="33"/>
  <c r="B347" i="33"/>
  <c r="A348" i="33"/>
  <c r="B348" i="33"/>
  <c r="A349" i="33"/>
  <c r="B349" i="33"/>
  <c r="A350" i="33"/>
  <c r="B350" i="33"/>
  <c r="A351" i="33"/>
  <c r="B351" i="33"/>
  <c r="A352" i="33"/>
  <c r="B352" i="33"/>
  <c r="A353" i="33"/>
  <c r="B353" i="33"/>
  <c r="A354" i="33"/>
  <c r="B354" i="33"/>
  <c r="A355" i="33"/>
  <c r="B355" i="33"/>
  <c r="A356" i="33"/>
  <c r="B356" i="33"/>
  <c r="A357" i="33"/>
  <c r="B357" i="33"/>
  <c r="A358" i="33"/>
  <c r="B358" i="33"/>
  <c r="A359" i="33"/>
  <c r="B359" i="33"/>
  <c r="A360" i="33"/>
  <c r="B360" i="33"/>
  <c r="A361" i="33"/>
  <c r="B361" i="33"/>
  <c r="A362" i="33"/>
  <c r="B362" i="33"/>
  <c r="A363" i="33"/>
  <c r="B363" i="33"/>
  <c r="A364" i="33"/>
  <c r="B364" i="33"/>
  <c r="A365" i="33"/>
  <c r="B365" i="33"/>
  <c r="A366" i="33"/>
  <c r="B366" i="33"/>
  <c r="A367" i="33"/>
  <c r="B367" i="33"/>
  <c r="A368" i="33"/>
  <c r="B368" i="33"/>
  <c r="A369" i="33"/>
  <c r="B369" i="33"/>
  <c r="A370" i="33"/>
  <c r="B370" i="33"/>
  <c r="A371" i="33"/>
  <c r="B371" i="33"/>
  <c r="A372" i="33"/>
  <c r="B372" i="33"/>
  <c r="A373" i="33"/>
  <c r="B373" i="33"/>
  <c r="A374" i="33"/>
  <c r="B374" i="33"/>
  <c r="A375" i="33"/>
  <c r="B375" i="33"/>
  <c r="A376" i="33"/>
  <c r="B376" i="33"/>
  <c r="A377" i="33"/>
  <c r="B377" i="33"/>
  <c r="A378" i="33"/>
  <c r="B378" i="33"/>
  <c r="A379" i="33"/>
  <c r="B379" i="33"/>
  <c r="A380" i="33"/>
  <c r="B380" i="33"/>
  <c r="A381" i="33"/>
  <c r="B381" i="33"/>
  <c r="A382" i="33"/>
  <c r="B382" i="33"/>
  <c r="A383" i="33"/>
  <c r="B383" i="33"/>
  <c r="A384" i="33"/>
  <c r="B384" i="33"/>
  <c r="A385" i="33"/>
  <c r="B385" i="33"/>
  <c r="A386" i="33"/>
  <c r="B386" i="33"/>
  <c r="A387" i="33"/>
  <c r="B387" i="33"/>
  <c r="A388" i="33"/>
  <c r="B388" i="33"/>
  <c r="A389" i="33"/>
  <c r="B389" i="33"/>
  <c r="A390" i="33"/>
  <c r="B390" i="33"/>
  <c r="A391" i="33"/>
  <c r="B391" i="33"/>
  <c r="A392" i="33"/>
  <c r="B392" i="33"/>
  <c r="A393" i="33"/>
  <c r="B393" i="33"/>
  <c r="A394" i="33"/>
  <c r="B394" i="33"/>
  <c r="A395" i="33"/>
  <c r="B395" i="33"/>
  <c r="A396" i="33"/>
  <c r="B396" i="33"/>
  <c r="A397" i="33"/>
  <c r="B397" i="33"/>
  <c r="A398" i="33"/>
  <c r="B398" i="33"/>
  <c r="A399" i="33"/>
  <c r="B399" i="33"/>
  <c r="A400" i="33"/>
  <c r="B400" i="33"/>
  <c r="A401" i="33"/>
  <c r="B401" i="33"/>
  <c r="A402" i="33"/>
  <c r="B402" i="33"/>
  <c r="A403" i="33"/>
  <c r="B403" i="33"/>
  <c r="A404" i="33"/>
  <c r="B404" i="33"/>
  <c r="A405" i="33"/>
  <c r="B405" i="33"/>
  <c r="A406" i="33"/>
  <c r="B406" i="33"/>
  <c r="A407" i="33"/>
  <c r="B407" i="33"/>
  <c r="A408" i="33"/>
  <c r="B408" i="33"/>
  <c r="A409" i="33"/>
  <c r="B409" i="33"/>
  <c r="A410" i="33"/>
  <c r="B410" i="33"/>
  <c r="A411" i="33"/>
  <c r="B411" i="33"/>
  <c r="A412" i="33"/>
  <c r="B412" i="33"/>
  <c r="A413" i="33"/>
  <c r="B413" i="33"/>
  <c r="A414" i="33"/>
  <c r="B414" i="33"/>
  <c r="A415" i="33"/>
  <c r="B415" i="33"/>
  <c r="A416" i="33"/>
  <c r="B416" i="33"/>
  <c r="A417" i="33"/>
  <c r="B417" i="33"/>
  <c r="A418" i="33"/>
  <c r="B418" i="33"/>
  <c r="A419" i="33"/>
  <c r="B419" i="33"/>
  <c r="A420" i="33"/>
  <c r="B420" i="33"/>
  <c r="A421" i="33"/>
  <c r="A422" i="33"/>
  <c r="B422" i="33"/>
  <c r="A423" i="33"/>
  <c r="B423" i="33"/>
  <c r="A424" i="33"/>
  <c r="B424" i="33"/>
  <c r="A425" i="33"/>
  <c r="B425" i="33"/>
  <c r="A426" i="33"/>
  <c r="B426" i="33"/>
  <c r="A427" i="33"/>
  <c r="B427" i="33"/>
  <c r="A428" i="33"/>
  <c r="B428" i="33"/>
  <c r="A429" i="33"/>
  <c r="B429" i="33"/>
  <c r="A430" i="33"/>
  <c r="B430" i="33"/>
  <c r="A431" i="33"/>
  <c r="B431" i="33"/>
  <c r="A434" i="33"/>
  <c r="B434" i="33"/>
  <c r="A435" i="33"/>
  <c r="B435" i="33"/>
  <c r="A437" i="33"/>
  <c r="B437" i="33"/>
  <c r="A438" i="33"/>
  <c r="B438" i="33"/>
  <c r="A439" i="33"/>
  <c r="B439" i="33"/>
  <c r="A440" i="33"/>
  <c r="B440" i="33"/>
  <c r="A441" i="33"/>
  <c r="B441" i="33"/>
  <c r="A442" i="33"/>
  <c r="B442" i="33"/>
  <c r="A443" i="33"/>
  <c r="B443" i="33"/>
  <c r="A444" i="33"/>
  <c r="B444" i="33"/>
  <c r="A445" i="33"/>
  <c r="B445" i="33"/>
  <c r="A446" i="33"/>
  <c r="B446" i="33"/>
  <c r="A447" i="33"/>
  <c r="B447" i="33"/>
  <c r="A448" i="33"/>
  <c r="B448" i="33"/>
  <c r="A449" i="33"/>
  <c r="B449" i="33"/>
  <c r="A450" i="33"/>
  <c r="B450" i="33"/>
  <c r="A451" i="33"/>
  <c r="B451" i="33"/>
  <c r="A452" i="33"/>
  <c r="B452" i="33"/>
  <c r="A453" i="33"/>
  <c r="B453" i="33"/>
  <c r="A454" i="33"/>
  <c r="B454" i="33"/>
  <c r="A455" i="33"/>
  <c r="B455" i="33"/>
  <c r="A456" i="33"/>
  <c r="B456" i="33"/>
  <c r="A457" i="33"/>
  <c r="B457" i="33"/>
  <c r="A458" i="33"/>
  <c r="B458" i="33"/>
  <c r="A459" i="33"/>
  <c r="B459" i="33"/>
  <c r="A460" i="33"/>
  <c r="B460" i="33"/>
  <c r="A461" i="33"/>
  <c r="B461" i="33"/>
  <c r="A463" i="33"/>
  <c r="B463" i="33"/>
  <c r="A464" i="33"/>
  <c r="B464" i="33"/>
  <c r="A465" i="33"/>
  <c r="B465" i="33"/>
  <c r="A466" i="33"/>
  <c r="B466" i="33"/>
  <c r="A467" i="33"/>
  <c r="B467" i="33"/>
  <c r="A468" i="33"/>
  <c r="B468" i="33"/>
  <c r="A469" i="33"/>
  <c r="B469" i="33"/>
  <c r="A470" i="33"/>
  <c r="B470" i="33"/>
  <c r="A471" i="33"/>
  <c r="B471" i="33"/>
  <c r="A472" i="33"/>
  <c r="B472" i="33"/>
  <c r="A473" i="33"/>
  <c r="B473" i="33"/>
  <c r="A474" i="33"/>
  <c r="B474" i="33"/>
  <c r="A475" i="33"/>
  <c r="B475" i="33"/>
  <c r="A476" i="33"/>
  <c r="B476" i="33"/>
  <c r="A477" i="33"/>
  <c r="B477" i="33"/>
  <c r="A478" i="33"/>
  <c r="B478" i="33"/>
  <c r="A479" i="33"/>
  <c r="B479" i="33"/>
  <c r="A480" i="33"/>
  <c r="B480" i="33"/>
  <c r="A481" i="33"/>
  <c r="B481" i="33"/>
  <c r="A482" i="33"/>
  <c r="B482" i="33"/>
  <c r="A483" i="33"/>
  <c r="B483" i="33"/>
  <c r="A484" i="33"/>
  <c r="B484" i="33"/>
  <c r="A485" i="33"/>
  <c r="B485" i="33"/>
  <c r="A486" i="33"/>
  <c r="B486" i="33"/>
  <c r="A487" i="33"/>
  <c r="B487" i="33"/>
  <c r="A488" i="33"/>
  <c r="B488" i="33"/>
  <c r="A489" i="33"/>
  <c r="B489" i="33"/>
  <c r="A490" i="33"/>
  <c r="B490" i="33"/>
  <c r="A491" i="33"/>
  <c r="B491" i="33"/>
  <c r="A492" i="33"/>
  <c r="B492" i="33"/>
  <c r="A493" i="33"/>
  <c r="B493" i="33"/>
  <c r="A494" i="33"/>
  <c r="B494" i="33"/>
  <c r="A495" i="33"/>
  <c r="B495" i="33"/>
  <c r="A496" i="33"/>
  <c r="B496" i="33"/>
  <c r="A497" i="33"/>
  <c r="B497" i="33"/>
  <c r="A498" i="33"/>
  <c r="B498" i="33"/>
  <c r="A499" i="33"/>
  <c r="B499" i="33"/>
  <c r="A500" i="33"/>
  <c r="B500" i="33"/>
  <c r="A501" i="33"/>
  <c r="B501" i="33"/>
  <c r="A502" i="33"/>
  <c r="B502" i="33"/>
  <c r="A503" i="33"/>
  <c r="B503" i="33"/>
  <c r="A504" i="33"/>
  <c r="B504" i="33"/>
  <c r="A505" i="33"/>
  <c r="B505" i="33"/>
  <c r="A506" i="33"/>
  <c r="B506" i="33"/>
  <c r="A507" i="33"/>
  <c r="B507" i="33"/>
  <c r="A508" i="33"/>
  <c r="B508" i="33"/>
  <c r="A509" i="33"/>
  <c r="B509" i="33"/>
  <c r="A510" i="33"/>
  <c r="B510" i="33"/>
  <c r="A511" i="33"/>
  <c r="B511" i="33"/>
  <c r="A512" i="33"/>
  <c r="B512" i="33"/>
  <c r="A513" i="33"/>
  <c r="B513" i="33"/>
  <c r="A514" i="33"/>
  <c r="B514" i="33"/>
  <c r="A515" i="33"/>
  <c r="B515" i="33"/>
  <c r="A516" i="33"/>
  <c r="B516" i="33"/>
  <c r="A517" i="33"/>
  <c r="B517" i="33"/>
  <c r="A518" i="33"/>
  <c r="B518" i="33"/>
  <c r="A519" i="33"/>
  <c r="B519" i="33"/>
  <c r="A520" i="33"/>
  <c r="B520" i="33"/>
  <c r="A521" i="33"/>
  <c r="B521" i="33"/>
  <c r="A522" i="33"/>
  <c r="B522" i="33"/>
  <c r="A523" i="33"/>
  <c r="B523" i="33"/>
  <c r="A524" i="33"/>
  <c r="B524" i="33"/>
  <c r="A525" i="33"/>
  <c r="B525" i="33"/>
  <c r="A526" i="33"/>
  <c r="B526" i="33"/>
  <c r="A527" i="33"/>
  <c r="B527" i="33"/>
  <c r="A528" i="33"/>
  <c r="B528" i="33"/>
  <c r="A529" i="33"/>
  <c r="B529" i="33"/>
  <c r="A530" i="33"/>
  <c r="B530" i="33"/>
  <c r="A531" i="33"/>
  <c r="B531" i="33"/>
  <c r="A532" i="33"/>
  <c r="B532" i="33"/>
  <c r="A533" i="33"/>
  <c r="B533" i="33"/>
  <c r="A534" i="33"/>
  <c r="B534" i="33"/>
  <c r="A535" i="33"/>
  <c r="B535" i="33"/>
  <c r="A536" i="33"/>
  <c r="B536" i="33"/>
  <c r="A537" i="33"/>
  <c r="B537" i="33"/>
  <c r="A538" i="33"/>
  <c r="B538" i="33"/>
  <c r="A539" i="33"/>
  <c r="B539" i="33"/>
  <c r="A540" i="33"/>
  <c r="B540" i="33"/>
  <c r="A541" i="33"/>
  <c r="B541" i="33"/>
  <c r="A542" i="33"/>
  <c r="B542" i="33"/>
  <c r="A543" i="33"/>
  <c r="B543" i="33"/>
  <c r="A544" i="33"/>
  <c r="B544" i="33"/>
  <c r="A545" i="33"/>
  <c r="B545" i="33"/>
  <c r="A546" i="33"/>
  <c r="B546" i="33"/>
  <c r="A547" i="33"/>
  <c r="B547" i="33"/>
  <c r="A548" i="33"/>
  <c r="B548" i="33"/>
  <c r="A549" i="33"/>
  <c r="B549" i="33"/>
  <c r="A550" i="33"/>
  <c r="B550" i="33"/>
  <c r="A551" i="33"/>
  <c r="B551" i="33"/>
  <c r="A552" i="33"/>
  <c r="B552" i="33"/>
  <c r="A553" i="33"/>
  <c r="B553" i="33"/>
  <c r="A554" i="33"/>
  <c r="B554" i="33"/>
  <c r="A555" i="33"/>
  <c r="B555" i="33"/>
  <c r="A556" i="33"/>
  <c r="B556" i="33"/>
  <c r="A557" i="33"/>
  <c r="B557" i="33"/>
  <c r="A558" i="33"/>
  <c r="B558" i="33"/>
  <c r="A559" i="33"/>
  <c r="B559" i="33"/>
  <c r="A560" i="33"/>
  <c r="B560" i="33"/>
  <c r="A561" i="33"/>
  <c r="B561" i="33"/>
  <c r="A562" i="33"/>
  <c r="B562" i="33"/>
  <c r="A563" i="33"/>
  <c r="B563" i="33"/>
  <c r="A564" i="33"/>
  <c r="B564" i="33"/>
  <c r="A565" i="33"/>
  <c r="B565" i="33"/>
  <c r="A566" i="33"/>
  <c r="B566" i="33"/>
  <c r="A567" i="33"/>
  <c r="B567" i="33"/>
  <c r="A568" i="33"/>
  <c r="B568" i="33"/>
  <c r="A569" i="33"/>
  <c r="B569" i="33"/>
  <c r="A570" i="33"/>
  <c r="B570" i="33"/>
  <c r="A571" i="33"/>
  <c r="B571" i="33"/>
  <c r="A572" i="33"/>
  <c r="B572" i="33"/>
  <c r="A573" i="33"/>
  <c r="B573" i="33"/>
  <c r="A574" i="33"/>
  <c r="B574" i="33"/>
  <c r="A575" i="33"/>
  <c r="B575" i="33"/>
  <c r="A576" i="33"/>
  <c r="B576" i="33"/>
  <c r="A577" i="33"/>
  <c r="B577" i="33"/>
  <c r="A578" i="33"/>
  <c r="A579" i="33"/>
  <c r="B579" i="33"/>
  <c r="A580" i="33"/>
  <c r="B580" i="33"/>
  <c r="A581" i="33"/>
  <c r="B581" i="33"/>
  <c r="A582" i="33"/>
  <c r="B582" i="33"/>
  <c r="A583" i="33"/>
  <c r="B583" i="33"/>
  <c r="A584" i="33"/>
  <c r="B584" i="33"/>
  <c r="A585" i="33"/>
  <c r="B585" i="33"/>
  <c r="A586" i="33"/>
  <c r="B586" i="33"/>
  <c r="A587" i="33"/>
  <c r="B587" i="33"/>
  <c r="A588" i="33"/>
  <c r="B588" i="33"/>
  <c r="A589" i="33"/>
  <c r="B589" i="33"/>
  <c r="A590" i="33"/>
  <c r="B590" i="33"/>
  <c r="A591" i="33"/>
  <c r="B591" i="33"/>
  <c r="A592" i="33"/>
  <c r="B592" i="33"/>
  <c r="A593" i="33"/>
  <c r="B593" i="33"/>
  <c r="A594" i="33"/>
  <c r="B594" i="33"/>
  <c r="A595" i="33"/>
  <c r="B595" i="33"/>
  <c r="A596" i="33"/>
  <c r="B596" i="33"/>
  <c r="A597" i="33"/>
  <c r="B597" i="33"/>
  <c r="A598" i="33"/>
  <c r="B598" i="33"/>
  <c r="A599" i="33"/>
  <c r="B599" i="33"/>
  <c r="A600" i="33"/>
  <c r="B600" i="33"/>
  <c r="A601" i="33"/>
  <c r="B601" i="33"/>
  <c r="A602" i="33"/>
  <c r="B602" i="33"/>
  <c r="A603" i="33"/>
  <c r="B603" i="33"/>
  <c r="A604" i="33"/>
  <c r="B604" i="33"/>
  <c r="A605" i="33"/>
  <c r="B605" i="33"/>
  <c r="A606" i="33"/>
  <c r="B606" i="33"/>
  <c r="A607" i="33"/>
  <c r="B607" i="33"/>
  <c r="A608" i="33"/>
  <c r="B608" i="33"/>
  <c r="A609" i="33"/>
  <c r="B609" i="33"/>
  <c r="A610" i="33"/>
  <c r="B610" i="33"/>
  <c r="A611" i="33"/>
  <c r="B611" i="33"/>
  <c r="A612" i="33"/>
  <c r="B612" i="33"/>
  <c r="A613" i="33"/>
  <c r="B613" i="33"/>
  <c r="A614" i="33"/>
  <c r="B614" i="33"/>
  <c r="A615" i="33"/>
  <c r="A616" i="33"/>
  <c r="B616" i="33"/>
  <c r="A617" i="33"/>
  <c r="B617" i="33"/>
  <c r="A618" i="33"/>
  <c r="B618" i="33"/>
  <c r="A619" i="33"/>
  <c r="B619" i="33"/>
  <c r="A620" i="33"/>
  <c r="B620" i="33"/>
  <c r="A621" i="33"/>
  <c r="B621" i="33"/>
  <c r="A622" i="33"/>
  <c r="B622" i="33"/>
  <c r="A623" i="33"/>
  <c r="B623" i="33"/>
  <c r="A624" i="33"/>
  <c r="B624" i="33"/>
  <c r="A625" i="33"/>
  <c r="B625" i="33"/>
  <c r="A626" i="33"/>
  <c r="B626" i="33"/>
  <c r="A627" i="33"/>
  <c r="B627" i="33"/>
  <c r="A628" i="33"/>
  <c r="B628" i="33"/>
  <c r="A629" i="33"/>
  <c r="B629" i="33"/>
  <c r="A630" i="33"/>
  <c r="B630" i="33"/>
  <c r="A631" i="33"/>
  <c r="B631" i="33"/>
  <c r="A632" i="33"/>
  <c r="B632" i="33"/>
  <c r="A633" i="33"/>
  <c r="B633" i="33"/>
  <c r="A634" i="33"/>
  <c r="B634" i="33"/>
  <c r="A635" i="33"/>
  <c r="B635" i="33"/>
  <c r="A636" i="33"/>
  <c r="B636" i="33"/>
  <c r="A637" i="33"/>
  <c r="B637" i="33"/>
  <c r="A638" i="33"/>
  <c r="B638" i="33"/>
  <c r="A639" i="33"/>
  <c r="B639" i="33"/>
  <c r="A640" i="33"/>
  <c r="B640" i="33"/>
  <c r="A641" i="33"/>
  <c r="B641" i="33"/>
  <c r="A642" i="33"/>
  <c r="B642" i="33"/>
  <c r="A643" i="33"/>
  <c r="B643" i="33"/>
  <c r="A644" i="33"/>
  <c r="B644" i="33"/>
  <c r="A645" i="33"/>
  <c r="B645" i="33"/>
  <c r="A646" i="33"/>
  <c r="B646" i="33"/>
  <c r="A647" i="33"/>
  <c r="B647" i="33"/>
  <c r="A648" i="33"/>
  <c r="B648" i="33"/>
  <c r="A649" i="33"/>
  <c r="B649" i="33"/>
  <c r="A650" i="33"/>
  <c r="B650" i="33"/>
  <c r="A651" i="33"/>
  <c r="B651" i="33"/>
  <c r="A652" i="33"/>
  <c r="B652" i="33"/>
  <c r="A653" i="33"/>
  <c r="B653" i="33"/>
  <c r="A654" i="33"/>
  <c r="B654" i="33"/>
  <c r="A655" i="33"/>
  <c r="B655" i="33"/>
  <c r="A656" i="33"/>
  <c r="B656" i="33"/>
  <c r="A657" i="33"/>
  <c r="B657" i="33"/>
  <c r="A658" i="33"/>
  <c r="B658" i="33"/>
  <c r="A659" i="33"/>
  <c r="B659" i="33"/>
  <c r="A660" i="33"/>
  <c r="B660" i="33"/>
  <c r="A661" i="33"/>
  <c r="B661" i="33"/>
  <c r="A662" i="33"/>
  <c r="B662" i="33"/>
  <c r="A663" i="33"/>
  <c r="B663" i="33"/>
  <c r="A664" i="33"/>
  <c r="B664" i="33"/>
  <c r="A665" i="33"/>
  <c r="B665" i="33"/>
  <c r="A666" i="33"/>
  <c r="B666" i="33"/>
  <c r="A667" i="33"/>
  <c r="B667" i="33"/>
  <c r="A668" i="33"/>
  <c r="B668" i="33"/>
  <c r="A669" i="33"/>
  <c r="B669" i="33"/>
  <c r="A670" i="33"/>
  <c r="B670" i="33"/>
  <c r="A671" i="33"/>
  <c r="B671" i="33"/>
  <c r="A672" i="33"/>
  <c r="B672" i="33"/>
  <c r="A673" i="33"/>
  <c r="B673" i="33"/>
  <c r="A674" i="33"/>
  <c r="B674" i="33"/>
  <c r="A675" i="33"/>
  <c r="B675" i="33"/>
  <c r="A676" i="33"/>
  <c r="B676" i="33"/>
  <c r="A677" i="33"/>
  <c r="B677" i="33"/>
  <c r="A678" i="33"/>
  <c r="B678" i="33"/>
  <c r="A679" i="33"/>
  <c r="B679" i="33"/>
  <c r="A680" i="33"/>
  <c r="B680" i="33"/>
  <c r="A681" i="33"/>
  <c r="B681" i="33"/>
  <c r="A682" i="33"/>
  <c r="B682" i="33"/>
  <c r="A683" i="33"/>
  <c r="B683" i="33"/>
  <c r="A684" i="33"/>
  <c r="B684" i="33"/>
  <c r="A685" i="33"/>
  <c r="B685" i="33"/>
  <c r="A686" i="33"/>
  <c r="B686" i="33"/>
  <c r="A687" i="33"/>
  <c r="B687" i="33"/>
  <c r="A688" i="33"/>
  <c r="B688" i="33"/>
  <c r="A689" i="33"/>
  <c r="B689" i="33"/>
  <c r="A690" i="33"/>
  <c r="B690" i="33"/>
  <c r="A691" i="33"/>
  <c r="B691" i="33"/>
  <c r="A692" i="33"/>
  <c r="B692" i="33"/>
  <c r="A693" i="33"/>
  <c r="B693" i="33"/>
  <c r="A694" i="33"/>
  <c r="B694" i="33"/>
  <c r="A695" i="33"/>
  <c r="B695" i="33"/>
  <c r="A696" i="33"/>
  <c r="B696" i="33"/>
  <c r="A697" i="33"/>
  <c r="B697" i="33"/>
  <c r="A698" i="33"/>
  <c r="B698" i="33"/>
  <c r="A699" i="33"/>
  <c r="B699" i="33"/>
  <c r="A700" i="33"/>
  <c r="B700" i="33"/>
  <c r="A701" i="33"/>
  <c r="B701" i="33"/>
  <c r="A702" i="33"/>
  <c r="B702" i="33"/>
  <c r="A703" i="33"/>
  <c r="B703" i="33"/>
  <c r="A704" i="33"/>
  <c r="B704" i="33"/>
  <c r="A705" i="33"/>
  <c r="B705" i="33"/>
  <c r="A706" i="33"/>
  <c r="B706" i="33"/>
  <c r="A707" i="33"/>
  <c r="B707" i="33"/>
  <c r="A708" i="33"/>
  <c r="B708" i="33"/>
  <c r="A709" i="33"/>
  <c r="B709" i="33"/>
  <c r="A710" i="33"/>
  <c r="B710" i="33"/>
  <c r="A711" i="33"/>
  <c r="B711" i="33"/>
  <c r="A712" i="33"/>
  <c r="B712" i="33"/>
  <c r="A713" i="33"/>
  <c r="B713" i="33"/>
  <c r="A714" i="33"/>
  <c r="B714" i="33"/>
  <c r="A715" i="33"/>
  <c r="B715" i="33"/>
  <c r="A716" i="33"/>
  <c r="B716" i="33"/>
  <c r="A717" i="33"/>
  <c r="B717" i="33"/>
  <c r="A718" i="33"/>
  <c r="B718" i="33"/>
  <c r="A719" i="33"/>
  <c r="B719" i="33"/>
  <c r="A720" i="33"/>
  <c r="B720" i="33"/>
  <c r="A721" i="33"/>
  <c r="B721" i="33"/>
  <c r="A722" i="33"/>
  <c r="B722" i="33"/>
  <c r="A723" i="33"/>
  <c r="B723" i="33"/>
  <c r="A724" i="33"/>
  <c r="B724" i="33"/>
  <c r="A725" i="33"/>
  <c r="B725" i="33"/>
  <c r="A726" i="33"/>
  <c r="B726" i="33"/>
  <c r="A727" i="33"/>
  <c r="B727" i="33"/>
  <c r="A728" i="33"/>
  <c r="B728" i="33"/>
  <c r="A729" i="33"/>
  <c r="B729" i="33"/>
  <c r="A730" i="33"/>
  <c r="B730" i="33"/>
  <c r="A731" i="33"/>
  <c r="B731" i="33"/>
  <c r="A732" i="33"/>
  <c r="B732" i="33"/>
  <c r="A733" i="33"/>
  <c r="B733" i="33"/>
  <c r="A734" i="33"/>
  <c r="B734" i="33"/>
  <c r="A735" i="33"/>
  <c r="B735" i="33"/>
  <c r="A736" i="33"/>
  <c r="B736" i="33"/>
  <c r="A737" i="33"/>
  <c r="B737" i="33"/>
  <c r="A738" i="33"/>
  <c r="B738" i="33"/>
  <c r="A739" i="33"/>
  <c r="B739" i="33"/>
  <c r="A740" i="33"/>
  <c r="B740" i="33"/>
  <c r="A741" i="33"/>
  <c r="B741" i="33"/>
  <c r="A742" i="33"/>
  <c r="B742" i="33"/>
  <c r="A743" i="33"/>
  <c r="B743" i="33"/>
  <c r="A744" i="33"/>
  <c r="B744" i="33"/>
  <c r="A745" i="33"/>
  <c r="B745" i="33"/>
  <c r="A746" i="33"/>
  <c r="B746" i="33"/>
  <c r="A747" i="33"/>
  <c r="B747" i="33"/>
  <c r="A748" i="33"/>
  <c r="B748" i="33"/>
  <c r="A749" i="33"/>
  <c r="B749" i="33"/>
  <c r="A750" i="33"/>
  <c r="B750" i="33"/>
  <c r="A751" i="33"/>
  <c r="B751" i="33"/>
  <c r="A752" i="33"/>
  <c r="B752" i="33"/>
  <c r="A753" i="33"/>
  <c r="B753" i="33"/>
  <c r="A754" i="33"/>
  <c r="B754" i="33"/>
  <c r="A755" i="33"/>
  <c r="B755" i="33"/>
  <c r="A756" i="33"/>
  <c r="B756" i="33"/>
  <c r="A757" i="33"/>
  <c r="B757" i="33"/>
  <c r="A758" i="33"/>
  <c r="B758" i="33"/>
  <c r="A759" i="33"/>
  <c r="B759" i="33"/>
  <c r="A760" i="33"/>
  <c r="B760" i="33"/>
  <c r="A761" i="33"/>
  <c r="B761" i="33"/>
  <c r="A762" i="33"/>
  <c r="B762" i="33"/>
  <c r="A763" i="33"/>
  <c r="B763" i="33"/>
  <c r="A764" i="33"/>
  <c r="B764" i="33"/>
  <c r="A765" i="33"/>
  <c r="B765" i="33"/>
  <c r="A766" i="33"/>
  <c r="A767" i="33"/>
  <c r="A768" i="33"/>
  <c r="B768" i="33"/>
  <c r="A769" i="33"/>
  <c r="B769" i="33"/>
  <c r="A770" i="33"/>
  <c r="B770" i="33"/>
  <c r="A771" i="33"/>
  <c r="B771" i="33"/>
  <c r="A772" i="33"/>
  <c r="B772" i="33"/>
  <c r="A773" i="33"/>
  <c r="B773" i="33"/>
  <c r="A774" i="33"/>
  <c r="B774" i="33"/>
  <c r="A775" i="33"/>
  <c r="B775" i="33"/>
  <c r="A776" i="33"/>
  <c r="B776" i="33"/>
  <c r="A777" i="33"/>
  <c r="B777" i="33"/>
  <c r="A778" i="33"/>
  <c r="B778" i="33"/>
  <c r="A779" i="33"/>
  <c r="B779" i="33"/>
  <c r="A780" i="33"/>
  <c r="B780" i="33"/>
  <c r="A781" i="33"/>
  <c r="B781" i="33"/>
  <c r="A782" i="33"/>
  <c r="B782" i="33"/>
  <c r="A783" i="33"/>
  <c r="B783" i="33"/>
  <c r="A784" i="33"/>
  <c r="B784" i="33"/>
  <c r="A785" i="33"/>
  <c r="B785" i="33"/>
  <c r="A786" i="33"/>
  <c r="B786" i="33"/>
  <c r="A787" i="33"/>
  <c r="B787" i="33"/>
  <c r="A788" i="33"/>
  <c r="B788" i="33"/>
  <c r="A789" i="33"/>
  <c r="A790" i="33"/>
  <c r="B790" i="33"/>
  <c r="A791" i="33"/>
  <c r="B791" i="33"/>
  <c r="A792" i="33"/>
  <c r="B792" i="33"/>
  <c r="A793" i="33"/>
  <c r="B793" i="33"/>
  <c r="A794" i="33"/>
  <c r="B794" i="33"/>
  <c r="A795" i="33"/>
  <c r="B795" i="33"/>
  <c r="A796" i="33"/>
  <c r="B796" i="33"/>
  <c r="A797" i="33"/>
  <c r="B797" i="33"/>
  <c r="A798" i="33"/>
  <c r="B798" i="33"/>
  <c r="A799" i="33"/>
  <c r="B799" i="33"/>
  <c r="A800" i="33"/>
  <c r="B800" i="33"/>
  <c r="A801" i="33"/>
  <c r="B801" i="33"/>
  <c r="A802" i="33"/>
  <c r="B802" i="33"/>
  <c r="A803" i="33"/>
  <c r="B803" i="33"/>
  <c r="A804" i="33"/>
  <c r="B804" i="33"/>
  <c r="A805" i="33"/>
  <c r="B805" i="33"/>
  <c r="A806" i="33"/>
  <c r="B806" i="33"/>
  <c r="A807" i="33"/>
  <c r="B807" i="33"/>
  <c r="A808" i="33"/>
  <c r="B808" i="33"/>
  <c r="A809" i="33"/>
  <c r="B809" i="33"/>
  <c r="A810" i="33"/>
  <c r="B810" i="33"/>
  <c r="A811" i="33"/>
  <c r="B811" i="33"/>
  <c r="A812" i="33"/>
  <c r="B812" i="33"/>
  <c r="A813" i="33"/>
  <c r="B813" i="33"/>
  <c r="A814" i="33"/>
  <c r="B814" i="33"/>
  <c r="A815" i="33"/>
  <c r="B815" i="33"/>
  <c r="A816" i="33"/>
  <c r="B816" i="33"/>
  <c r="A817" i="33"/>
  <c r="B817" i="33"/>
  <c r="A818" i="33"/>
  <c r="B818" i="33"/>
  <c r="A819" i="33"/>
  <c r="B819" i="33"/>
  <c r="A820" i="33"/>
  <c r="B820" i="33"/>
  <c r="A821" i="33"/>
  <c r="B821" i="33"/>
  <c r="A822" i="33"/>
  <c r="B822" i="33"/>
  <c r="A823" i="33"/>
  <c r="B823" i="33"/>
  <c r="A824" i="33"/>
  <c r="B824" i="33"/>
  <c r="A825" i="33"/>
  <c r="B825" i="33"/>
  <c r="A826" i="33"/>
  <c r="B826" i="33"/>
  <c r="A827" i="33"/>
  <c r="B827" i="33"/>
  <c r="A828" i="33"/>
  <c r="B828" i="33"/>
  <c r="A829" i="33"/>
  <c r="B829" i="33"/>
  <c r="A830" i="33"/>
  <c r="B830" i="33"/>
  <c r="A831" i="33"/>
  <c r="B831" i="33"/>
  <c r="A832" i="33"/>
  <c r="B832" i="33"/>
  <c r="A833" i="33"/>
  <c r="B833" i="33"/>
  <c r="A834" i="33"/>
  <c r="B834" i="33"/>
  <c r="A835" i="33"/>
  <c r="B835" i="33"/>
  <c r="A836" i="33"/>
  <c r="B836" i="33"/>
  <c r="A837" i="33"/>
  <c r="B837" i="33"/>
  <c r="A838" i="33"/>
  <c r="B838" i="33"/>
  <c r="A839" i="33"/>
  <c r="B839" i="33"/>
  <c r="A840" i="33"/>
  <c r="B840" i="33"/>
  <c r="A841" i="33"/>
  <c r="B841" i="33"/>
  <c r="A842" i="33"/>
  <c r="B842" i="33"/>
  <c r="A843" i="33"/>
  <c r="B843" i="33"/>
  <c r="A844" i="33"/>
  <c r="B844" i="33"/>
  <c r="A845" i="33"/>
  <c r="B845" i="33"/>
  <c r="A846" i="33"/>
  <c r="B846" i="33"/>
  <c r="A847" i="33"/>
  <c r="B847" i="33"/>
  <c r="A848" i="33"/>
  <c r="B848" i="33"/>
  <c r="A849" i="33"/>
  <c r="B849" i="33"/>
  <c r="A850" i="33"/>
  <c r="B850" i="33"/>
  <c r="A851" i="33"/>
  <c r="B851" i="33"/>
  <c r="A852" i="33"/>
  <c r="B852" i="33"/>
  <c r="A853" i="33"/>
  <c r="B853" i="33"/>
  <c r="A854" i="33"/>
  <c r="B854" i="33"/>
  <c r="A855" i="33"/>
  <c r="B855" i="33"/>
  <c r="A856" i="33"/>
  <c r="B856" i="33"/>
  <c r="A857" i="33"/>
  <c r="B857" i="33"/>
  <c r="A858" i="33"/>
  <c r="B858" i="33"/>
  <c r="A859" i="33"/>
  <c r="B859" i="33"/>
  <c r="A860" i="33"/>
  <c r="A861" i="33"/>
  <c r="B861" i="33"/>
  <c r="A862" i="33"/>
  <c r="B862" i="33"/>
  <c r="A863" i="33"/>
  <c r="B863" i="33"/>
  <c r="A864" i="33"/>
  <c r="B864" i="33"/>
  <c r="A865" i="33"/>
  <c r="B865" i="33"/>
  <c r="A866" i="33"/>
  <c r="B866" i="33"/>
  <c r="A867" i="33"/>
  <c r="B867" i="33"/>
  <c r="A868" i="33"/>
  <c r="B868" i="33"/>
  <c r="A869" i="33"/>
  <c r="B869" i="33"/>
  <c r="A870" i="33"/>
  <c r="B870" i="33"/>
  <c r="A871" i="33"/>
  <c r="B871" i="33"/>
  <c r="A872" i="33"/>
  <c r="B872" i="33"/>
  <c r="A873" i="33"/>
  <c r="B873" i="33"/>
  <c r="A874" i="33"/>
  <c r="B874" i="33"/>
  <c r="A875" i="33"/>
  <c r="B875" i="33"/>
  <c r="A876" i="33"/>
  <c r="B876" i="33"/>
  <c r="A877" i="33"/>
  <c r="B877" i="33"/>
  <c r="A878" i="33"/>
  <c r="B878" i="33"/>
  <c r="A879" i="33"/>
  <c r="A880" i="33"/>
  <c r="B880" i="33"/>
  <c r="A881" i="33"/>
  <c r="B881" i="33"/>
  <c r="A882" i="33"/>
  <c r="B882" i="33"/>
  <c r="A883" i="33"/>
  <c r="B883" i="33"/>
  <c r="A884" i="33"/>
  <c r="B884" i="33"/>
  <c r="A885" i="33"/>
  <c r="B885" i="33"/>
  <c r="A886" i="33"/>
  <c r="B886" i="33"/>
  <c r="A887" i="33"/>
  <c r="B887" i="33"/>
  <c r="A888" i="33"/>
  <c r="B888" i="33"/>
  <c r="A889" i="33"/>
  <c r="B889" i="33"/>
  <c r="A890" i="33"/>
  <c r="B890" i="33"/>
  <c r="A891" i="33"/>
  <c r="B891" i="33"/>
  <c r="A892" i="33"/>
  <c r="B892" i="33"/>
  <c r="A893" i="33"/>
  <c r="B893" i="33"/>
  <c r="A894" i="33"/>
  <c r="B894" i="33"/>
  <c r="A895" i="33"/>
  <c r="B895" i="33"/>
  <c r="A896" i="33"/>
  <c r="B896" i="33"/>
  <c r="A897" i="33"/>
  <c r="B897" i="33"/>
  <c r="A898" i="33"/>
  <c r="B898" i="33"/>
  <c r="A899" i="33"/>
  <c r="B899" i="33"/>
  <c r="A900" i="33"/>
  <c r="B900" i="33"/>
  <c r="A901" i="33"/>
  <c r="B901" i="33"/>
  <c r="A902" i="33"/>
  <c r="B902" i="33"/>
  <c r="A903" i="33"/>
  <c r="B903" i="33"/>
  <c r="A904" i="33"/>
  <c r="B904" i="33"/>
  <c r="A905" i="33"/>
  <c r="B905" i="33"/>
  <c r="A906" i="33"/>
  <c r="B906" i="33"/>
  <c r="A907" i="33"/>
  <c r="B907" i="33"/>
  <c r="A908" i="33"/>
  <c r="B908" i="33"/>
  <c r="A909" i="33"/>
  <c r="B909" i="33"/>
  <c r="A910" i="33"/>
  <c r="B910" i="33"/>
  <c r="A911" i="33"/>
  <c r="B911" i="33"/>
  <c r="A912" i="33"/>
  <c r="A913" i="33"/>
  <c r="B913" i="33"/>
  <c r="A914" i="33"/>
  <c r="B914" i="33"/>
  <c r="A915" i="33"/>
  <c r="B915" i="33"/>
  <c r="A916" i="33"/>
  <c r="B916" i="33"/>
  <c r="A917" i="33"/>
  <c r="B917" i="33"/>
  <c r="A918" i="33"/>
  <c r="B918" i="33"/>
  <c r="A919" i="33"/>
  <c r="B919" i="33"/>
  <c r="A920" i="33"/>
  <c r="B920" i="33"/>
  <c r="A921" i="33"/>
  <c r="A922" i="33"/>
  <c r="B922" i="33"/>
  <c r="A923" i="33"/>
  <c r="B923" i="33"/>
  <c r="A924" i="33"/>
  <c r="B924" i="33"/>
  <c r="A925" i="33"/>
  <c r="B925" i="33"/>
  <c r="A926" i="33"/>
  <c r="B926" i="33"/>
  <c r="A927" i="33"/>
  <c r="B927" i="33"/>
  <c r="A928" i="33"/>
  <c r="B928" i="33"/>
  <c r="A929" i="33"/>
  <c r="B929" i="33"/>
  <c r="A930" i="33"/>
  <c r="B930" i="33"/>
  <c r="A931" i="33"/>
  <c r="B931" i="33"/>
  <c r="A932" i="33"/>
  <c r="B932" i="33"/>
  <c r="A933" i="33"/>
  <c r="B933" i="33"/>
  <c r="A934" i="33"/>
  <c r="B934" i="33"/>
  <c r="A935" i="33"/>
  <c r="B935" i="33"/>
  <c r="A936" i="33"/>
  <c r="B936" i="33"/>
  <c r="A937" i="33"/>
  <c r="B937" i="33"/>
  <c r="A938" i="33"/>
  <c r="B938" i="33"/>
  <c r="A939" i="33"/>
  <c r="A940" i="33"/>
  <c r="A941" i="33"/>
  <c r="A942" i="33"/>
  <c r="A943" i="33"/>
  <c r="A944" i="33"/>
  <c r="B944" i="33"/>
  <c r="A945" i="33"/>
  <c r="B945" i="33"/>
  <c r="A946" i="33"/>
  <c r="B946" i="33"/>
  <c r="A947" i="33"/>
  <c r="B947" i="33"/>
  <c r="A948" i="33"/>
  <c r="B948" i="33"/>
  <c r="A949" i="33"/>
  <c r="B949" i="33"/>
  <c r="A950" i="33"/>
  <c r="B950" i="33"/>
  <c r="A951" i="33"/>
  <c r="B951" i="33"/>
  <c r="A952" i="33"/>
  <c r="B952" i="33"/>
  <c r="A953" i="33"/>
  <c r="B953" i="33"/>
  <c r="A954" i="33"/>
  <c r="B954" i="33"/>
  <c r="A955" i="33"/>
  <c r="B955" i="33"/>
  <c r="A956" i="33"/>
  <c r="B956" i="33"/>
  <c r="A957" i="33"/>
  <c r="B957" i="33"/>
  <c r="A958" i="33"/>
  <c r="B958" i="33"/>
  <c r="A959" i="33"/>
  <c r="B959" i="33"/>
  <c r="A960" i="33"/>
  <c r="B960" i="33"/>
  <c r="A961" i="33"/>
  <c r="B961" i="33"/>
  <c r="A962" i="33"/>
  <c r="B962" i="33"/>
  <c r="A963" i="33"/>
  <c r="B963" i="33"/>
  <c r="A964" i="33"/>
  <c r="B964" i="33"/>
  <c r="A965" i="33"/>
  <c r="B965" i="33"/>
  <c r="A966" i="33"/>
  <c r="B966" i="33"/>
  <c r="A967" i="33"/>
  <c r="B967" i="33"/>
  <c r="A968" i="33"/>
  <c r="B968" i="33"/>
  <c r="A969" i="33"/>
  <c r="B969" i="33"/>
  <c r="A970" i="33"/>
  <c r="B970" i="33"/>
  <c r="A971" i="33"/>
  <c r="B971" i="33"/>
  <c r="A972" i="33"/>
  <c r="B972" i="33"/>
  <c r="A973" i="33"/>
  <c r="B973" i="33"/>
  <c r="A974" i="33"/>
  <c r="B974" i="33"/>
  <c r="A975" i="33"/>
  <c r="B975" i="33"/>
  <c r="A976" i="33"/>
  <c r="B976" i="33"/>
  <c r="A977" i="33"/>
  <c r="B977" i="33"/>
  <c r="A978" i="33"/>
  <c r="B978" i="33"/>
  <c r="A979" i="33"/>
  <c r="B979" i="33"/>
  <c r="A980" i="33"/>
  <c r="B980" i="33"/>
  <c r="A981" i="33"/>
  <c r="B981" i="33"/>
  <c r="A982" i="33"/>
  <c r="B982" i="33"/>
  <c r="A983" i="33"/>
  <c r="B983" i="33"/>
  <c r="A984" i="33"/>
  <c r="B984" i="33"/>
  <c r="A985" i="33"/>
  <c r="B985" i="33"/>
  <c r="A986" i="33"/>
  <c r="B986" i="33"/>
  <c r="A987" i="33"/>
  <c r="B987" i="33"/>
  <c r="A988" i="33"/>
  <c r="B988" i="33"/>
  <c r="A989" i="33"/>
  <c r="B989" i="33"/>
  <c r="A990" i="33"/>
  <c r="B990" i="33"/>
  <c r="A991" i="33"/>
  <c r="B991" i="33"/>
  <c r="A992" i="33"/>
  <c r="B992" i="33"/>
  <c r="A993" i="33"/>
  <c r="B993" i="33"/>
  <c r="A994" i="33"/>
  <c r="B994" i="33"/>
  <c r="A995" i="33"/>
  <c r="B995" i="33"/>
  <c r="A996" i="33"/>
  <c r="A997" i="33"/>
  <c r="B997" i="33"/>
  <c r="A998" i="33"/>
  <c r="B998" i="33"/>
  <c r="A999" i="33"/>
  <c r="B999" i="33"/>
  <c r="A1000" i="33"/>
  <c r="B1000" i="33"/>
  <c r="A1001" i="33"/>
  <c r="B1001" i="33"/>
  <c r="A1002" i="33"/>
  <c r="B1002" i="33"/>
  <c r="A1003" i="33"/>
  <c r="B1003" i="33"/>
  <c r="A1004" i="33"/>
  <c r="B1004" i="33"/>
  <c r="A1005" i="33"/>
  <c r="B1005" i="33"/>
  <c r="A1006" i="33"/>
  <c r="B1006" i="33"/>
  <c r="A1007" i="33"/>
  <c r="B1007" i="33"/>
  <c r="A1008" i="33"/>
  <c r="B1008" i="33"/>
  <c r="A1009" i="33"/>
  <c r="B1009" i="33"/>
  <c r="A1010" i="33"/>
  <c r="B1010" i="33"/>
  <c r="A1011" i="33"/>
  <c r="B1011" i="33"/>
  <c r="A1012" i="33"/>
  <c r="B1012" i="33"/>
  <c r="A1013" i="33"/>
  <c r="B1013" i="33"/>
  <c r="A1014" i="33"/>
  <c r="B1014" i="33"/>
  <c r="A1015" i="33"/>
  <c r="B1015" i="33"/>
  <c r="A1016" i="33"/>
  <c r="B1016" i="33"/>
  <c r="A1017" i="33"/>
  <c r="B1017" i="33"/>
  <c r="A1018" i="33"/>
  <c r="B1018" i="33"/>
  <c r="A1019" i="33"/>
  <c r="B1019" i="33"/>
  <c r="A1020" i="33"/>
  <c r="B1020" i="33"/>
  <c r="A1021" i="33"/>
  <c r="B1021" i="33"/>
  <c r="A1022" i="33"/>
  <c r="B1022" i="33"/>
  <c r="A1023" i="33"/>
  <c r="B1023" i="33"/>
  <c r="A1024" i="33"/>
  <c r="B1024" i="33"/>
  <c r="A1025" i="33"/>
  <c r="B1025" i="33"/>
  <c r="A1026" i="33"/>
  <c r="B1026" i="33"/>
  <c r="A1027" i="33"/>
  <c r="B1027" i="33"/>
  <c r="A1028" i="33"/>
  <c r="B1028" i="33"/>
  <c r="A1029" i="33"/>
  <c r="B1029" i="33"/>
  <c r="A1030" i="33"/>
  <c r="B1030" i="33"/>
  <c r="A1031" i="33"/>
  <c r="B1031" i="33"/>
  <c r="A1032" i="33"/>
  <c r="B1032" i="33"/>
  <c r="A1033" i="33"/>
  <c r="B1033" i="33"/>
  <c r="A1034" i="33"/>
  <c r="B1034" i="33"/>
  <c r="A1035" i="33"/>
  <c r="B1035" i="33"/>
  <c r="A1036" i="33"/>
  <c r="B1036" i="33"/>
  <c r="A1037" i="33"/>
  <c r="B1037" i="33"/>
  <c r="A1038" i="33"/>
  <c r="B1038" i="33"/>
  <c r="A1039" i="33"/>
  <c r="B1039" i="33"/>
  <c r="A1040" i="33"/>
  <c r="B1040" i="33"/>
  <c r="A1041" i="33"/>
  <c r="B1041" i="33"/>
  <c r="A1042" i="33"/>
  <c r="B1042" i="33"/>
  <c r="A1043" i="33"/>
  <c r="B1043" i="33"/>
  <c r="A1044" i="33"/>
  <c r="B1044" i="33"/>
  <c r="A1045" i="33"/>
  <c r="B1045" i="33"/>
  <c r="A1046" i="33"/>
  <c r="B1046" i="33"/>
  <c r="A1047" i="33"/>
  <c r="B1047" i="33"/>
  <c r="A1048" i="33"/>
  <c r="B1048" i="33"/>
  <c r="A1049" i="33"/>
  <c r="B1049" i="33"/>
  <c r="A1050" i="33"/>
  <c r="B1050" i="33"/>
  <c r="A1051" i="33"/>
  <c r="B1051" i="33"/>
  <c r="A1052" i="33"/>
  <c r="B1052" i="33"/>
  <c r="A1053" i="33"/>
  <c r="B1053" i="33"/>
  <c r="A1054" i="33"/>
  <c r="B1054" i="33"/>
  <c r="A1055" i="33"/>
  <c r="B1055" i="33"/>
  <c r="A1056" i="33"/>
  <c r="B1056" i="33"/>
  <c r="A1057" i="33"/>
  <c r="B1057" i="33"/>
  <c r="A1058" i="33"/>
  <c r="B1058" i="33"/>
  <c r="A1059" i="33"/>
  <c r="A1060" i="33"/>
  <c r="B1060" i="33"/>
  <c r="A1061" i="33"/>
  <c r="B1061" i="33"/>
  <c r="A1062" i="33"/>
  <c r="B1062" i="33"/>
  <c r="A1063" i="33"/>
  <c r="B1063" i="33"/>
  <c r="A1064" i="33"/>
  <c r="B1064" i="33"/>
  <c r="A1065" i="33"/>
  <c r="B1065" i="33"/>
  <c r="A1066" i="33"/>
  <c r="B1066" i="33"/>
  <c r="A1067" i="33"/>
  <c r="B1067" i="33"/>
  <c r="A1068" i="33"/>
  <c r="B1068" i="33"/>
  <c r="A1069" i="33"/>
  <c r="B1069" i="33"/>
  <c r="A1070" i="33"/>
  <c r="B1070" i="33"/>
  <c r="A1071" i="33"/>
  <c r="B1071" i="33"/>
  <c r="A1072" i="33"/>
  <c r="B1072" i="33"/>
  <c r="A1073" i="33"/>
  <c r="A1074" i="33"/>
  <c r="B1074" i="33"/>
  <c r="A1075" i="33"/>
  <c r="B1075" i="33"/>
  <c r="A1076" i="33"/>
  <c r="B1076" i="33"/>
  <c r="A1077" i="33"/>
  <c r="B1077" i="33"/>
  <c r="A1078" i="33"/>
  <c r="B1078" i="33"/>
  <c r="A1079" i="33"/>
  <c r="B1079" i="33"/>
  <c r="A1080" i="33"/>
  <c r="B1080" i="33"/>
  <c r="A1081" i="33"/>
  <c r="B1081" i="33"/>
  <c r="A1082" i="33"/>
  <c r="B1082" i="33"/>
  <c r="A1083" i="33"/>
  <c r="B1083" i="33"/>
  <c r="A1084" i="33"/>
  <c r="B1084" i="33"/>
  <c r="A1085" i="33"/>
  <c r="B1085" i="33"/>
  <c r="A1086" i="33"/>
  <c r="B1086" i="33"/>
  <c r="A1087" i="33"/>
  <c r="B1087" i="33"/>
  <c r="A1088" i="33"/>
  <c r="B1088" i="33"/>
  <c r="A1089" i="33"/>
  <c r="B1089" i="33"/>
  <c r="A1090" i="33"/>
  <c r="A1091" i="33"/>
  <c r="B1091" i="33"/>
  <c r="A1092" i="33"/>
  <c r="A1093" i="33"/>
  <c r="B1093" i="33"/>
  <c r="A1094" i="33"/>
  <c r="B1094" i="33"/>
  <c r="A1095" i="33"/>
  <c r="B1095" i="33"/>
  <c r="A1096" i="33"/>
  <c r="B1096" i="33"/>
  <c r="A1097" i="33"/>
  <c r="B1097" i="33"/>
  <c r="A1098" i="33"/>
  <c r="B1098" i="33"/>
  <c r="A1099" i="33"/>
  <c r="B1099" i="33"/>
  <c r="A1100" i="33"/>
  <c r="B1100" i="33"/>
  <c r="A1101" i="33"/>
  <c r="B1101" i="33"/>
  <c r="A1102" i="33"/>
  <c r="B1102" i="33"/>
  <c r="A1103" i="33"/>
  <c r="B1103" i="33"/>
  <c r="A1104" i="33"/>
  <c r="B1104" i="33"/>
  <c r="A1105" i="33"/>
  <c r="B1105" i="33"/>
  <c r="A1106" i="33"/>
  <c r="A1107" i="33"/>
  <c r="B1107" i="33"/>
  <c r="A1108" i="33"/>
  <c r="B1108" i="33"/>
  <c r="A1109" i="33"/>
  <c r="B1109" i="33"/>
  <c r="A1110" i="33"/>
  <c r="B1110" i="33"/>
  <c r="A1111" i="33"/>
  <c r="B1111" i="33"/>
  <c r="A1112" i="33"/>
  <c r="B1112" i="33"/>
  <c r="A1113" i="33"/>
  <c r="A1114" i="33"/>
  <c r="A1115" i="33"/>
  <c r="A1116" i="33"/>
  <c r="A1117" i="33"/>
  <c r="A1118" i="33"/>
  <c r="B1118" i="33"/>
  <c r="A1119" i="33"/>
  <c r="B1119" i="33"/>
  <c r="A1120" i="33"/>
  <c r="B1120" i="33"/>
  <c r="A1121" i="33"/>
  <c r="B1121" i="33"/>
  <c r="A1122" i="33"/>
  <c r="B1122" i="33"/>
  <c r="A1123" i="33"/>
  <c r="B1123" i="33"/>
  <c r="A1124" i="33"/>
  <c r="B1124" i="33"/>
  <c r="A1125" i="33"/>
  <c r="B1125" i="33"/>
  <c r="A1126" i="33"/>
  <c r="B1126" i="33"/>
  <c r="A1127" i="33"/>
  <c r="B1127" i="33"/>
  <c r="A1128" i="33"/>
  <c r="B1128" i="33"/>
  <c r="A1129" i="33"/>
  <c r="B1129" i="33"/>
  <c r="A1130" i="33"/>
  <c r="B1130" i="33"/>
  <c r="A1131" i="33"/>
  <c r="B1131" i="33"/>
  <c r="A1132" i="33"/>
  <c r="B1132" i="33"/>
  <c r="A1133" i="33"/>
  <c r="B1133" i="33"/>
  <c r="A1134" i="33"/>
  <c r="B1134" i="33"/>
  <c r="A1135" i="33"/>
  <c r="B1135" i="33"/>
  <c r="A1136" i="33"/>
  <c r="B1136" i="33"/>
  <c r="A1137" i="33"/>
  <c r="B1137" i="33"/>
  <c r="A1138" i="33"/>
  <c r="B1138" i="33"/>
  <c r="A1139" i="33"/>
  <c r="B1139" i="33"/>
  <c r="A1140" i="33"/>
  <c r="B1140" i="33"/>
  <c r="A1141" i="33"/>
  <c r="B1141" i="33"/>
  <c r="A1142" i="33"/>
  <c r="B1142" i="33"/>
  <c r="A1143" i="33"/>
  <c r="B1143" i="33"/>
  <c r="A1144" i="33"/>
  <c r="B1144" i="33"/>
  <c r="A1145" i="33"/>
  <c r="B1145" i="33"/>
  <c r="A1146" i="33"/>
  <c r="B1146" i="33"/>
  <c r="A1147" i="33"/>
  <c r="B1147" i="33"/>
  <c r="A1148" i="33"/>
  <c r="B1148" i="33"/>
  <c r="A1149" i="33"/>
  <c r="B1149" i="33"/>
  <c r="A1150" i="33"/>
  <c r="B1150" i="33"/>
  <c r="A1151" i="33"/>
  <c r="B1151" i="33"/>
  <c r="A1152" i="33"/>
  <c r="B1152" i="33"/>
  <c r="A1153" i="33"/>
  <c r="B1153" i="33"/>
  <c r="A1154" i="33"/>
  <c r="B1154" i="33"/>
  <c r="A1155" i="33"/>
  <c r="B1155" i="33"/>
  <c r="A1156" i="33"/>
  <c r="B1156" i="33"/>
  <c r="A1157" i="33"/>
  <c r="B1157" i="33"/>
  <c r="A1158" i="33"/>
  <c r="B1158" i="33"/>
  <c r="A1159" i="33"/>
  <c r="B1159" i="33"/>
  <c r="A1160" i="33"/>
  <c r="B1160" i="33"/>
  <c r="A1161" i="33"/>
  <c r="B1161" i="33"/>
  <c r="A1162" i="33"/>
  <c r="B1162" i="33"/>
  <c r="A1163" i="33"/>
  <c r="B1163" i="33"/>
  <c r="A1164" i="33"/>
  <c r="B1164" i="33"/>
  <c r="A1165" i="33"/>
  <c r="B1165" i="33"/>
  <c r="A1166" i="33"/>
  <c r="B1166" i="33"/>
  <c r="A1167" i="33"/>
  <c r="B1167" i="33"/>
  <c r="A1168" i="33"/>
  <c r="B1168" i="33"/>
  <c r="A1169" i="33"/>
  <c r="A1170" i="33"/>
  <c r="B1170" i="33"/>
  <c r="A1171" i="33"/>
  <c r="B1171" i="33"/>
  <c r="A1172" i="33"/>
  <c r="B1172" i="33"/>
  <c r="A1173" i="33"/>
  <c r="B1173" i="33"/>
  <c r="A1174" i="33"/>
  <c r="B1174" i="33"/>
  <c r="A1175" i="33"/>
  <c r="B1175" i="33"/>
  <c r="A1176" i="33"/>
  <c r="B1176" i="33"/>
  <c r="A1177" i="33"/>
  <c r="B1177" i="33"/>
  <c r="A1178" i="33"/>
  <c r="B1178" i="33"/>
  <c r="A1179" i="33"/>
  <c r="B1179" i="33"/>
  <c r="A1180" i="33"/>
  <c r="B1180" i="33"/>
  <c r="A1181" i="33"/>
  <c r="B1181" i="33"/>
  <c r="A1182" i="33"/>
  <c r="B1182" i="33"/>
  <c r="A1183" i="33"/>
  <c r="B1183" i="33"/>
  <c r="A1184" i="33"/>
  <c r="B1184" i="33"/>
  <c r="A1185" i="33"/>
  <c r="B1185" i="33"/>
  <c r="A1186" i="33"/>
  <c r="B1186" i="33"/>
  <c r="A1187" i="33"/>
  <c r="B1187" i="33"/>
  <c r="A1188" i="33"/>
  <c r="B1188" i="33"/>
  <c r="A1189" i="33"/>
  <c r="B1189" i="33"/>
  <c r="A1190" i="33"/>
  <c r="B1190" i="33"/>
  <c r="A1191" i="33"/>
  <c r="B1191" i="33"/>
  <c r="A1192" i="33"/>
  <c r="B1192" i="33"/>
  <c r="A1193" i="33"/>
  <c r="B1193" i="33"/>
  <c r="A1194" i="33"/>
  <c r="B1194" i="33"/>
  <c r="A1195" i="33"/>
  <c r="B1195" i="33"/>
  <c r="A1196" i="33"/>
  <c r="A1197" i="33"/>
  <c r="B1197" i="33"/>
  <c r="A1198" i="33"/>
  <c r="B1198" i="33"/>
  <c r="A1199" i="33"/>
  <c r="B1199" i="33"/>
  <c r="A1200" i="33"/>
  <c r="B1200" i="33"/>
  <c r="A1201" i="33"/>
  <c r="B1201" i="33"/>
  <c r="A1202" i="33"/>
  <c r="B1202" i="33"/>
  <c r="A1203" i="33"/>
  <c r="B1203" i="33"/>
  <c r="A1204" i="33"/>
  <c r="B1204" i="33"/>
  <c r="A1205" i="33"/>
  <c r="B1205" i="33"/>
  <c r="A1206" i="33"/>
  <c r="B1206" i="33"/>
  <c r="A1207" i="33"/>
  <c r="B1207" i="33"/>
  <c r="A1208" i="33"/>
  <c r="B1208" i="33"/>
  <c r="A1209" i="33"/>
  <c r="B1209" i="33"/>
  <c r="A1210" i="33"/>
  <c r="B1210" i="33"/>
  <c r="A1211" i="33"/>
  <c r="B1211" i="33"/>
  <c r="A1212" i="33"/>
  <c r="B1212" i="33"/>
  <c r="A1213" i="33"/>
  <c r="B1213" i="33"/>
  <c r="A1214" i="33"/>
  <c r="B1214" i="33"/>
  <c r="A1215" i="33"/>
  <c r="B1215" i="33"/>
  <c r="A1216" i="33"/>
  <c r="B1216" i="33"/>
  <c r="A1217" i="33"/>
  <c r="B1217" i="33"/>
  <c r="A1218" i="33"/>
  <c r="B1218" i="33"/>
  <c r="A1219" i="33"/>
  <c r="B1219" i="33"/>
  <c r="A1220" i="33"/>
  <c r="B1220" i="33"/>
  <c r="A1221" i="33"/>
  <c r="B1221" i="33"/>
  <c r="A1222" i="33"/>
  <c r="B1222" i="33"/>
  <c r="A1223" i="33"/>
  <c r="B1223" i="33"/>
  <c r="A1224" i="33"/>
  <c r="B1224" i="33"/>
  <c r="A1225" i="33"/>
  <c r="B1225" i="33"/>
  <c r="A1226" i="33"/>
  <c r="B1226" i="33"/>
  <c r="A1227" i="33"/>
  <c r="B1227" i="33"/>
  <c r="A1228" i="33"/>
  <c r="B1228" i="33"/>
  <c r="A1229" i="33"/>
  <c r="B1229" i="33"/>
  <c r="A1230" i="33"/>
  <c r="B1230" i="33"/>
  <c r="A1231" i="33"/>
  <c r="B1231" i="33"/>
  <c r="A1232" i="33"/>
  <c r="B1232" i="33"/>
  <c r="A1233" i="33"/>
  <c r="B1233" i="33"/>
  <c r="A1234" i="33"/>
  <c r="B1234" i="33"/>
  <c r="A1235" i="33"/>
  <c r="B1235" i="33"/>
  <c r="A1236" i="33"/>
  <c r="B1236" i="33"/>
  <c r="A1237" i="33"/>
  <c r="B1237" i="33"/>
  <c r="A1238" i="33"/>
  <c r="B1238" i="33"/>
  <c r="A1239" i="33"/>
  <c r="B1239" i="33"/>
  <c r="A1240" i="33"/>
  <c r="B1240" i="33"/>
  <c r="A1241" i="33"/>
  <c r="B1241" i="33"/>
  <c r="A1242" i="33"/>
  <c r="B1242" i="33"/>
  <c r="A1243" i="33"/>
  <c r="B1243" i="33"/>
  <c r="A1244" i="33"/>
  <c r="B1244" i="33"/>
  <c r="A1245" i="33"/>
  <c r="B1245" i="33"/>
  <c r="A1246" i="33"/>
  <c r="B1246" i="33"/>
  <c r="A1247" i="33"/>
  <c r="B1247" i="33"/>
  <c r="A1248" i="33"/>
  <c r="B1248" i="33"/>
  <c r="A1249" i="33"/>
  <c r="B1249" i="33"/>
  <c r="A1250" i="33"/>
  <c r="B1250" i="33"/>
  <c r="A1251" i="33"/>
  <c r="B1251" i="33"/>
  <c r="A1252" i="33"/>
  <c r="B1252" i="33"/>
  <c r="A1253" i="33"/>
  <c r="B1253" i="33"/>
  <c r="A1254" i="33"/>
  <c r="B1254" i="33"/>
  <c r="A1255" i="33"/>
  <c r="B1255" i="33"/>
  <c r="A1256" i="33"/>
  <c r="B1256" i="33"/>
  <c r="A1257" i="33"/>
  <c r="B1257" i="33"/>
  <c r="A1258" i="33"/>
  <c r="B1258" i="33"/>
  <c r="A1259" i="33"/>
  <c r="B1259" i="33"/>
  <c r="A1260" i="33"/>
  <c r="B1260" i="33"/>
  <c r="A1261" i="33"/>
  <c r="B1261" i="33"/>
  <c r="A1262" i="33"/>
  <c r="B1262" i="33"/>
  <c r="A1263" i="33"/>
  <c r="B1263" i="33"/>
  <c r="A1264" i="33"/>
  <c r="B1264" i="33"/>
  <c r="A1265" i="33"/>
  <c r="B1265" i="33"/>
  <c r="A1266" i="33"/>
  <c r="B1266" i="33"/>
  <c r="A1267" i="33"/>
  <c r="B1267" i="33"/>
  <c r="A1268" i="33"/>
  <c r="B1268" i="33"/>
  <c r="A1269" i="33"/>
  <c r="B1269" i="33"/>
  <c r="A1270" i="33"/>
  <c r="B1270" i="33"/>
  <c r="A1271" i="33"/>
  <c r="B1271" i="33"/>
  <c r="A1272" i="33"/>
  <c r="B1272" i="33"/>
  <c r="A1273" i="33"/>
  <c r="B1273" i="33"/>
  <c r="A1274" i="33"/>
  <c r="B1274" i="33"/>
  <c r="A1275" i="33"/>
  <c r="B1275" i="33"/>
  <c r="A1276" i="33"/>
  <c r="B1276" i="33"/>
  <c r="A1277" i="33"/>
  <c r="B1277" i="33"/>
  <c r="A1278" i="33"/>
  <c r="B1278" i="33"/>
  <c r="A1279" i="33"/>
  <c r="B1279" i="33"/>
  <c r="A1280" i="33"/>
  <c r="B1280" i="33"/>
  <c r="A1281" i="33"/>
  <c r="B1281" i="33"/>
  <c r="A1282" i="33"/>
  <c r="B1282" i="33"/>
  <c r="A1283" i="33"/>
  <c r="B1283" i="33"/>
  <c r="A1284" i="33"/>
  <c r="B1284" i="33"/>
  <c r="A1285" i="33"/>
  <c r="B1285" i="33"/>
  <c r="A1286" i="33"/>
  <c r="B1286" i="33"/>
  <c r="A1287" i="33"/>
  <c r="B1287" i="33"/>
  <c r="A1288" i="33"/>
  <c r="B1288" i="33"/>
  <c r="A1289" i="33"/>
  <c r="B1289" i="33"/>
  <c r="A1290" i="33"/>
  <c r="B1290" i="33"/>
  <c r="A1291" i="33"/>
  <c r="B1291" i="33"/>
  <c r="A1292" i="33"/>
  <c r="B1292" i="33"/>
  <c r="A1293" i="33"/>
  <c r="B1293" i="33"/>
  <c r="A1294" i="33"/>
  <c r="B1294" i="33"/>
  <c r="A1295" i="33"/>
  <c r="B1295" i="33"/>
  <c r="A1296" i="33"/>
  <c r="B1296" i="33"/>
  <c r="A1297" i="33"/>
  <c r="B1297" i="33"/>
  <c r="A1298" i="33"/>
  <c r="B1298" i="33"/>
  <c r="A1299" i="33"/>
  <c r="B1299" i="33"/>
  <c r="A1300" i="33"/>
  <c r="B1300" i="33"/>
  <c r="A1301" i="33"/>
  <c r="B1301" i="33"/>
  <c r="A1302" i="33"/>
  <c r="B1302" i="33"/>
  <c r="A1303" i="33"/>
  <c r="B1303" i="33"/>
  <c r="A1304" i="33"/>
  <c r="B1304" i="33"/>
  <c r="A1305" i="33"/>
  <c r="B1305" i="33"/>
  <c r="A1306" i="33"/>
  <c r="B1306" i="33"/>
  <c r="A1307" i="33"/>
  <c r="B1307" i="33"/>
  <c r="A1308" i="33"/>
  <c r="B1308" i="33"/>
  <c r="A1309" i="33"/>
  <c r="B1309" i="33"/>
  <c r="A1310" i="33"/>
  <c r="B1310" i="33"/>
  <c r="A1311" i="33"/>
  <c r="B1311" i="33"/>
  <c r="A1312" i="33"/>
  <c r="B1312" i="33"/>
  <c r="A1313" i="33"/>
  <c r="B1313" i="33"/>
  <c r="A1314" i="33"/>
  <c r="B1314" i="33"/>
  <c r="A1315" i="33"/>
  <c r="B1315" i="33"/>
  <c r="A1316" i="33"/>
  <c r="B1316" i="33"/>
  <c r="A1317" i="33"/>
  <c r="B1317" i="33"/>
  <c r="A1318" i="33"/>
  <c r="B1318" i="33"/>
  <c r="A1319" i="33"/>
  <c r="B1319" i="33"/>
  <c r="A1320" i="33"/>
  <c r="B1320" i="33"/>
  <c r="A1321" i="33"/>
  <c r="B1321" i="33"/>
  <c r="A1322" i="33"/>
  <c r="B1322" i="33"/>
  <c r="A1323" i="33"/>
  <c r="B1323" i="33"/>
  <c r="A1324" i="33"/>
  <c r="B1324" i="33"/>
  <c r="A1325" i="33"/>
  <c r="B1325" i="33"/>
  <c r="A1326" i="33"/>
  <c r="B1326" i="33"/>
  <c r="A1327" i="33"/>
  <c r="B1327" i="33"/>
  <c r="A1328" i="33"/>
  <c r="B1328" i="33"/>
  <c r="A1329" i="33"/>
  <c r="B1329" i="33"/>
  <c r="A1330" i="33"/>
  <c r="B1330" i="33"/>
  <c r="A1331" i="33"/>
  <c r="B1331" i="33"/>
  <c r="A1332" i="33"/>
  <c r="B1332" i="33"/>
  <c r="A1333" i="33"/>
  <c r="B1333" i="33"/>
  <c r="A1334" i="33"/>
  <c r="B1334" i="33"/>
  <c r="A1335" i="33"/>
  <c r="B1335" i="33"/>
  <c r="A1336" i="33"/>
  <c r="B1336" i="33"/>
  <c r="A1337" i="33"/>
  <c r="B1337" i="33"/>
  <c r="A1338" i="33"/>
  <c r="B1338" i="33"/>
  <c r="A1339" i="33"/>
  <c r="B1339" i="33"/>
  <c r="A1340" i="33"/>
  <c r="B1340" i="33"/>
  <c r="A1341" i="33"/>
  <c r="B1341" i="33"/>
  <c r="A1342" i="33"/>
  <c r="B1342" i="33"/>
  <c r="A1343" i="33"/>
  <c r="B1343" i="33"/>
  <c r="A1344" i="33"/>
  <c r="B1344" i="33"/>
  <c r="A1345" i="33"/>
  <c r="B1345" i="33"/>
  <c r="A1346" i="33"/>
  <c r="B1346" i="33"/>
  <c r="A1347" i="33"/>
  <c r="B1347" i="33"/>
  <c r="A1348" i="33"/>
  <c r="B1348" i="33"/>
  <c r="A1349" i="33"/>
  <c r="B1349" i="33"/>
  <c r="A1350" i="33"/>
  <c r="B1350" i="33"/>
  <c r="A1351" i="33"/>
  <c r="B1351" i="33"/>
  <c r="A1352" i="33"/>
  <c r="B1352" i="33"/>
  <c r="A1353" i="33"/>
  <c r="B1353" i="33"/>
  <c r="A1354" i="33"/>
  <c r="B1354" i="33"/>
  <c r="A1355" i="33"/>
  <c r="B1355" i="33"/>
  <c r="A1356" i="33"/>
  <c r="B1356" i="33"/>
  <c r="A1357" i="33"/>
  <c r="B1357" i="33"/>
  <c r="A1358" i="33"/>
  <c r="B1358" i="33"/>
  <c r="A1359" i="33"/>
  <c r="B1359" i="33"/>
  <c r="A1360" i="33"/>
  <c r="B1360" i="33"/>
  <c r="A1361" i="33"/>
  <c r="B1361" i="33"/>
  <c r="A1362" i="33"/>
  <c r="B1362" i="33"/>
  <c r="A1363" i="33"/>
  <c r="B1363" i="33"/>
  <c r="A1364" i="33"/>
  <c r="B1364" i="33"/>
  <c r="A1365" i="33"/>
  <c r="B1365" i="33"/>
  <c r="A1366" i="33"/>
  <c r="B1366" i="33"/>
  <c r="A1367" i="33"/>
  <c r="B1367" i="33"/>
  <c r="A1368" i="33"/>
  <c r="B1368" i="33"/>
  <c r="A1369" i="33"/>
  <c r="B1369" i="33"/>
  <c r="A1370" i="33"/>
  <c r="B1370" i="33"/>
  <c r="A1371" i="33"/>
  <c r="B1371" i="33"/>
  <c r="A1372" i="33"/>
  <c r="B1372" i="33"/>
  <c r="A1373" i="33"/>
  <c r="B1373" i="33"/>
  <c r="A1374" i="33"/>
  <c r="B1374" i="33"/>
  <c r="A1375" i="33"/>
  <c r="A1376" i="33"/>
  <c r="B1376" i="33"/>
  <c r="A1377" i="33"/>
  <c r="B1377" i="33"/>
  <c r="A1378" i="33"/>
  <c r="B1378" i="33"/>
  <c r="A1379" i="33"/>
  <c r="B1379" i="33"/>
  <c r="A1380" i="33"/>
  <c r="B1380" i="33"/>
  <c r="A1381" i="33"/>
  <c r="B1381" i="33"/>
  <c r="A1382" i="33"/>
  <c r="B1382" i="33"/>
  <c r="A1383" i="33"/>
  <c r="B1383" i="33"/>
  <c r="A1384" i="33"/>
  <c r="B1384" i="33"/>
  <c r="A1385" i="33"/>
  <c r="B1385" i="33"/>
  <c r="A1386" i="33"/>
  <c r="B1386" i="33"/>
  <c r="A1387" i="33"/>
  <c r="B1387" i="33"/>
  <c r="A1388" i="33"/>
  <c r="B1388" i="33"/>
  <c r="A1389" i="33"/>
  <c r="B1389" i="33"/>
  <c r="A1390" i="33"/>
  <c r="B1390" i="33"/>
  <c r="A1391" i="33"/>
  <c r="B1391" i="33"/>
  <c r="A1392" i="33"/>
  <c r="B1392" i="33"/>
  <c r="A1393" i="33"/>
  <c r="B1393" i="33"/>
  <c r="A1395" i="33"/>
  <c r="B1395" i="33"/>
  <c r="A1396" i="33"/>
  <c r="B1396" i="33"/>
  <c r="A1397" i="33"/>
  <c r="B1397" i="33"/>
  <c r="A1398" i="33"/>
  <c r="B1398" i="33"/>
  <c r="A1399" i="33"/>
  <c r="B1399" i="33"/>
  <c r="A1400" i="33"/>
  <c r="B1400" i="33"/>
  <c r="A1401" i="33"/>
  <c r="B1401" i="33"/>
  <c r="A1402" i="33"/>
  <c r="B1402" i="33"/>
  <c r="A1403" i="33"/>
  <c r="B1403" i="33"/>
  <c r="A1404" i="33"/>
  <c r="B1404" i="33"/>
  <c r="A1405" i="33"/>
  <c r="B1405" i="33"/>
  <c r="A1406" i="33"/>
  <c r="B1406" i="33"/>
  <c r="A1407" i="33"/>
  <c r="B1407" i="33"/>
  <c r="A1408" i="33"/>
  <c r="B1408" i="33"/>
  <c r="A1409" i="33"/>
  <c r="B1409" i="33"/>
  <c r="A1410" i="33"/>
  <c r="B1410" i="33"/>
  <c r="A1411" i="33"/>
  <c r="B1411" i="33"/>
  <c r="A1412" i="33"/>
  <c r="B1412" i="33"/>
  <c r="A1413" i="33"/>
  <c r="B1413" i="33"/>
  <c r="A1414" i="33"/>
  <c r="B1414" i="33"/>
  <c r="A1415" i="33"/>
  <c r="B1415" i="33"/>
  <c r="A1416" i="33"/>
  <c r="B1416" i="33"/>
  <c r="A1417" i="33"/>
  <c r="B1417" i="33"/>
  <c r="A1418" i="33"/>
  <c r="B1418" i="33"/>
  <c r="A1419" i="33"/>
  <c r="B1419" i="33"/>
  <c r="A1420" i="33"/>
  <c r="B1420" i="33"/>
  <c r="A1421" i="33"/>
  <c r="B1421" i="33"/>
  <c r="A1422" i="33"/>
  <c r="B1422" i="33"/>
  <c r="A1423" i="33"/>
  <c r="B1423" i="33"/>
  <c r="A1424" i="33"/>
  <c r="B1424" i="33"/>
  <c r="A1425" i="33"/>
  <c r="B1425" i="33"/>
  <c r="A1426" i="33"/>
  <c r="B1426" i="33"/>
  <c r="A1427" i="33"/>
  <c r="B1427" i="33"/>
  <c r="A1428" i="33"/>
  <c r="B1428" i="33"/>
  <c r="A1429" i="33"/>
  <c r="B1429" i="33"/>
  <c r="A1430" i="33"/>
  <c r="B1430" i="33"/>
  <c r="A1431" i="33"/>
  <c r="B1431" i="33"/>
  <c r="A1432" i="33"/>
  <c r="B1432" i="33"/>
  <c r="A1433" i="33"/>
  <c r="B1433" i="33"/>
  <c r="A1434" i="33"/>
  <c r="B1434" i="33"/>
  <c r="A1435" i="33"/>
  <c r="B1435" i="33"/>
  <c r="A1436" i="33"/>
  <c r="B1436" i="33"/>
  <c r="A1437" i="33"/>
  <c r="B1437" i="33"/>
  <c r="A1438" i="33"/>
  <c r="B1438" i="33"/>
  <c r="A1439" i="33"/>
  <c r="B1439" i="33"/>
  <c r="A1440" i="33"/>
  <c r="B1440" i="33"/>
  <c r="A1441" i="33"/>
  <c r="B1441" i="33"/>
  <c r="A1442" i="33"/>
  <c r="B1442" i="33"/>
  <c r="A1443" i="33"/>
  <c r="B1443" i="33"/>
  <c r="A1444" i="33"/>
  <c r="B1444" i="33"/>
  <c r="A1445" i="33"/>
  <c r="B1445" i="33"/>
  <c r="A1446" i="33"/>
  <c r="B1446" i="33"/>
  <c r="A1447" i="33"/>
  <c r="B1447" i="33"/>
  <c r="A1448" i="33"/>
  <c r="B1448" i="33"/>
  <c r="A1449" i="33"/>
  <c r="B1449" i="33"/>
  <c r="A1450" i="33"/>
  <c r="B1450" i="33"/>
  <c r="A1451" i="33"/>
  <c r="B1451" i="33"/>
  <c r="A1452" i="33"/>
  <c r="B1452" i="33"/>
  <c r="A1453" i="33"/>
  <c r="B1453" i="33"/>
  <c r="A1454" i="33"/>
  <c r="B1454" i="33"/>
  <c r="A1455" i="33"/>
  <c r="B1455" i="33"/>
  <c r="A1456" i="33"/>
  <c r="B1456" i="33"/>
  <c r="A1457" i="33"/>
  <c r="B1457" i="33"/>
  <c r="A1458" i="33"/>
  <c r="B1458" i="33"/>
  <c r="A1459" i="33"/>
  <c r="B1459" i="33"/>
  <c r="A1460" i="33"/>
  <c r="B1460" i="33"/>
  <c r="A1461" i="33"/>
  <c r="B1461" i="33"/>
  <c r="A1462" i="33"/>
  <c r="B1462" i="33"/>
  <c r="A1463" i="33"/>
  <c r="B1463" i="33"/>
  <c r="A1464" i="33"/>
  <c r="B1464" i="33"/>
  <c r="A1465" i="33"/>
  <c r="B1465" i="33"/>
  <c r="A1466" i="33"/>
  <c r="B1466" i="33"/>
  <c r="A1467" i="33"/>
  <c r="B1467" i="33"/>
  <c r="A1468" i="33"/>
  <c r="B1468" i="33"/>
  <c r="A1469" i="33"/>
  <c r="B1469" i="33"/>
  <c r="A1470" i="33"/>
  <c r="B1470" i="33"/>
  <c r="A1471" i="33"/>
  <c r="B1471" i="33"/>
  <c r="A1472" i="33"/>
  <c r="B1472" i="33"/>
  <c r="A1473" i="33"/>
  <c r="B1473" i="33"/>
  <c r="A1474" i="33"/>
  <c r="B1474" i="33"/>
  <c r="A1475" i="33"/>
  <c r="B1475" i="33"/>
  <c r="A1476" i="33"/>
  <c r="B1476" i="33"/>
  <c r="A1477" i="33"/>
  <c r="B1477" i="33"/>
  <c r="A1478" i="33"/>
  <c r="B1478" i="33"/>
  <c r="A1479" i="33"/>
  <c r="B1479" i="33"/>
  <c r="A1480" i="33"/>
  <c r="B1480" i="33"/>
  <c r="A1481" i="33"/>
  <c r="B1481" i="33"/>
  <c r="A1482" i="33"/>
  <c r="B1482" i="33"/>
  <c r="A1483" i="33"/>
  <c r="B1483" i="33"/>
  <c r="A1484" i="33"/>
  <c r="B1484" i="33"/>
  <c r="A1485" i="33"/>
  <c r="B1485" i="33"/>
  <c r="A1486" i="33"/>
  <c r="B1486" i="33"/>
  <c r="A1487" i="33"/>
  <c r="B1487" i="33"/>
  <c r="A1488" i="33"/>
  <c r="B1488" i="33"/>
  <c r="A1489" i="33"/>
  <c r="B1489" i="33"/>
  <c r="A1490" i="33"/>
  <c r="B1490" i="33"/>
  <c r="A1491" i="33"/>
  <c r="B1491" i="33"/>
  <c r="A1492" i="33"/>
  <c r="B1492" i="33"/>
  <c r="A1493" i="33"/>
  <c r="B1493" i="33"/>
  <c r="A1494" i="33"/>
  <c r="B1494" i="33"/>
  <c r="A1495" i="33"/>
  <c r="B1495" i="33"/>
  <c r="A1496" i="33"/>
  <c r="B1496" i="33"/>
  <c r="A1497" i="33"/>
  <c r="B1497" i="33"/>
  <c r="A1498" i="33"/>
  <c r="B1498" i="33"/>
  <c r="A1499" i="33"/>
  <c r="B1499" i="33"/>
  <c r="A1500" i="33"/>
  <c r="B1500" i="33"/>
  <c r="A1501" i="33"/>
  <c r="B1501" i="33"/>
  <c r="A1502" i="33"/>
  <c r="B1502" i="33"/>
  <c r="A1503" i="33"/>
  <c r="B1503" i="33"/>
  <c r="A1504" i="33"/>
  <c r="B1504" i="33"/>
  <c r="A1505" i="33"/>
  <c r="B1505" i="33"/>
  <c r="A1506" i="33"/>
  <c r="B1506" i="33"/>
  <c r="A1507" i="33"/>
  <c r="B1507" i="33"/>
  <c r="A1508" i="33"/>
  <c r="B1508" i="33"/>
  <c r="A1509" i="33"/>
  <c r="B1509" i="33"/>
  <c r="A1510" i="33"/>
  <c r="B1510" i="33"/>
  <c r="A1511" i="33"/>
  <c r="B1511" i="33"/>
  <c r="A1512" i="33"/>
  <c r="B1512" i="33"/>
  <c r="A1513" i="33"/>
  <c r="B1513" i="33"/>
  <c r="A1514" i="33"/>
  <c r="B1514" i="33"/>
  <c r="A1515" i="33"/>
  <c r="B1515" i="33"/>
  <c r="A1516" i="33"/>
  <c r="B1516" i="33"/>
  <c r="A1517" i="33"/>
  <c r="B1517" i="33"/>
  <c r="A1518" i="33"/>
  <c r="B1518" i="33"/>
  <c r="A1519" i="33"/>
  <c r="B1519" i="33"/>
  <c r="A1520" i="33"/>
  <c r="B1520" i="33"/>
  <c r="A1521" i="33"/>
  <c r="B1521" i="33"/>
  <c r="A1522" i="33"/>
  <c r="B1522" i="33"/>
  <c r="A1523" i="33"/>
  <c r="B1523" i="33"/>
  <c r="A1524" i="33"/>
  <c r="B1524" i="33"/>
  <c r="A1525" i="33"/>
  <c r="B1525" i="33"/>
  <c r="A1526" i="33"/>
  <c r="B1526" i="33"/>
  <c r="A1527" i="33"/>
  <c r="B1527" i="33"/>
  <c r="A1528" i="33"/>
  <c r="B1528" i="33"/>
  <c r="A1529" i="33"/>
  <c r="B1529" i="33"/>
  <c r="A1530" i="33"/>
  <c r="B1530" i="33"/>
  <c r="A1531" i="33"/>
  <c r="B1531" i="33"/>
  <c r="A1532" i="33"/>
  <c r="B1532" i="33"/>
  <c r="A1533" i="33"/>
  <c r="B1533" i="33"/>
  <c r="A1534" i="33"/>
  <c r="B1534" i="33"/>
  <c r="A1535" i="33"/>
  <c r="B1535" i="33"/>
  <c r="A1536" i="33"/>
  <c r="B1536" i="33"/>
  <c r="A1537" i="33"/>
  <c r="B1537" i="33"/>
  <c r="A1538" i="33"/>
  <c r="B1538" i="33"/>
  <c r="A1539" i="33"/>
  <c r="B1539" i="33"/>
  <c r="A1540" i="33"/>
  <c r="B1540" i="33"/>
  <c r="A1541" i="33"/>
  <c r="B1541" i="33"/>
  <c r="A1542" i="33"/>
  <c r="B1542" i="33"/>
  <c r="A1543" i="33"/>
  <c r="B1543" i="33"/>
  <c r="A1544" i="33"/>
  <c r="B1544" i="33"/>
  <c r="A1545" i="33"/>
  <c r="B1545" i="33"/>
  <c r="A1546" i="33"/>
  <c r="B1546" i="33"/>
  <c r="A1547" i="33"/>
  <c r="B1547" i="33"/>
  <c r="A1548" i="33"/>
  <c r="B1548" i="33"/>
  <c r="A1549" i="33"/>
  <c r="B1549" i="33"/>
  <c r="A1550" i="33"/>
  <c r="B1550" i="33"/>
  <c r="A1551" i="33"/>
  <c r="B1551" i="33"/>
  <c r="A1552" i="33"/>
  <c r="B1552" i="33"/>
  <c r="A1553" i="33"/>
  <c r="B1553" i="33"/>
  <c r="A1554" i="33"/>
  <c r="B1554" i="33"/>
  <c r="A1555" i="33"/>
  <c r="B1555" i="33"/>
  <c r="A1556" i="33"/>
  <c r="B1556" i="33"/>
  <c r="A1557" i="33"/>
  <c r="B1557" i="33"/>
  <c r="A1558" i="33"/>
  <c r="B1558" i="33"/>
  <c r="A1559" i="33"/>
  <c r="B1559" i="33"/>
  <c r="A1560" i="33"/>
  <c r="B1560" i="33"/>
  <c r="A1561" i="33"/>
  <c r="B1561" i="33"/>
  <c r="A1562" i="33"/>
  <c r="B1562" i="33"/>
  <c r="A1563" i="33"/>
  <c r="B1563" i="33"/>
  <c r="A1564" i="33"/>
  <c r="B1564" i="33"/>
  <c r="A1565" i="33"/>
  <c r="B1565" i="33"/>
  <c r="A1566" i="33"/>
  <c r="B1566" i="33"/>
  <c r="A1567" i="33"/>
  <c r="B1567" i="33"/>
  <c r="A1568" i="33"/>
  <c r="B1568" i="33"/>
  <c r="A1569" i="33"/>
  <c r="B1569" i="33"/>
  <c r="A1570" i="33"/>
  <c r="B1570" i="33"/>
  <c r="A1571" i="33"/>
  <c r="B1571" i="33"/>
  <c r="A1572" i="33"/>
  <c r="B1572" i="33"/>
  <c r="A1573" i="33"/>
  <c r="B1573" i="33"/>
  <c r="A1574" i="33"/>
  <c r="B1574" i="33"/>
  <c r="A1575" i="33"/>
  <c r="B1575" i="33"/>
  <c r="A1576" i="33"/>
  <c r="B1576" i="33"/>
  <c r="A1577" i="33"/>
  <c r="B1577" i="33"/>
  <c r="A1578" i="33"/>
  <c r="B1578" i="33"/>
  <c r="A1579" i="33"/>
  <c r="B1579" i="33"/>
  <c r="A1580" i="33"/>
  <c r="B1580" i="33"/>
  <c r="A1581" i="33"/>
  <c r="B1581" i="33"/>
  <c r="A1582" i="33"/>
  <c r="B1582" i="33"/>
  <c r="A1583" i="33"/>
  <c r="B1583" i="33"/>
  <c r="A1584" i="33"/>
  <c r="B1584" i="33"/>
  <c r="A1585" i="33"/>
  <c r="B1585" i="33"/>
  <c r="A1586" i="33"/>
  <c r="B1586" i="33"/>
  <c r="A1587" i="33"/>
  <c r="B1587" i="33"/>
  <c r="A1588" i="33"/>
  <c r="B1588" i="33"/>
  <c r="A1589" i="33"/>
  <c r="B1589" i="33"/>
  <c r="A1590" i="33"/>
  <c r="B1590" i="33"/>
  <c r="A1591" i="33"/>
  <c r="B1591" i="33"/>
  <c r="A1592" i="33"/>
  <c r="B1592" i="33"/>
  <c r="A1593" i="33"/>
  <c r="B1593" i="33"/>
  <c r="A1594" i="33"/>
  <c r="B1594" i="33"/>
  <c r="A1595" i="33"/>
  <c r="B1595" i="33"/>
  <c r="A1596" i="33"/>
  <c r="B1596" i="33"/>
  <c r="A1597" i="33"/>
  <c r="B1597" i="33"/>
  <c r="A1598" i="33"/>
  <c r="B1598" i="33"/>
  <c r="A1599" i="33"/>
  <c r="B1599" i="33"/>
  <c r="A1600" i="33"/>
  <c r="B1600" i="33"/>
  <c r="A1601" i="33"/>
  <c r="B1601" i="33"/>
  <c r="A1602" i="33"/>
  <c r="B1602" i="33"/>
  <c r="A1603" i="33"/>
  <c r="B1603" i="33"/>
  <c r="A1604" i="33"/>
  <c r="B1604" i="33"/>
  <c r="A1605" i="33"/>
  <c r="B1605" i="33"/>
  <c r="A1606" i="33"/>
  <c r="B1606" i="33"/>
  <c r="A1607" i="33"/>
  <c r="B1607" i="33"/>
  <c r="A1608" i="33"/>
  <c r="B1608" i="33"/>
  <c r="A1610" i="33"/>
  <c r="B1610" i="33"/>
  <c r="A1611" i="33"/>
  <c r="B1611" i="33"/>
  <c r="A1612" i="33"/>
  <c r="B1612" i="33"/>
  <c r="A1613" i="33"/>
  <c r="B1613" i="33"/>
  <c r="A1614" i="33"/>
  <c r="B1614" i="33"/>
  <c r="A1615" i="33"/>
  <c r="B1615" i="33"/>
  <c r="A1616" i="33"/>
  <c r="B1616" i="33"/>
  <c r="A1617" i="33"/>
  <c r="B1617" i="33"/>
  <c r="A1618" i="33"/>
  <c r="B1618" i="33"/>
  <c r="A1619" i="33"/>
  <c r="B1619" i="33"/>
  <c r="A1620" i="33"/>
  <c r="B1620" i="33"/>
  <c r="A1621" i="33"/>
  <c r="B1621" i="33"/>
  <c r="A1622" i="33"/>
  <c r="B1622" i="33"/>
  <c r="A1623" i="33"/>
  <c r="B1623" i="33"/>
  <c r="A1624" i="33"/>
  <c r="B1624" i="33"/>
  <c r="A1625" i="33"/>
  <c r="B1625" i="33"/>
  <c r="A1626" i="33"/>
  <c r="B1626" i="33"/>
  <c r="A1627" i="33"/>
  <c r="B1627" i="33"/>
  <c r="A1628" i="33"/>
  <c r="B1628" i="33"/>
  <c r="A1629" i="33"/>
  <c r="B1629" i="33"/>
  <c r="A1630" i="33"/>
  <c r="B1630" i="33"/>
  <c r="A1631" i="33"/>
  <c r="B1631" i="33"/>
  <c r="A1632" i="33"/>
  <c r="B1632" i="33"/>
  <c r="A1633" i="33"/>
  <c r="B1633" i="33"/>
  <c r="A1634" i="33"/>
  <c r="B1634" i="33"/>
  <c r="A1635" i="33"/>
  <c r="B1635" i="33"/>
  <c r="A1636" i="33"/>
  <c r="B1636" i="33"/>
  <c r="A1637" i="33"/>
  <c r="B1637" i="33"/>
  <c r="A1638" i="33"/>
  <c r="B1638" i="33"/>
  <c r="A1639" i="33"/>
  <c r="B1639" i="33"/>
  <c r="A1640" i="33"/>
  <c r="B1640" i="33"/>
  <c r="A1641" i="33"/>
  <c r="B1641" i="33"/>
  <c r="A1642" i="33"/>
  <c r="B1642" i="33"/>
  <c r="A1643" i="33"/>
  <c r="B1643" i="33"/>
  <c r="A1644" i="33"/>
  <c r="B1644" i="33"/>
  <c r="A1645" i="33"/>
  <c r="B1645" i="33"/>
  <c r="A1646" i="33"/>
  <c r="B1646" i="33"/>
  <c r="A1647" i="33"/>
  <c r="B1647" i="33"/>
  <c r="A1648" i="33"/>
  <c r="B1648" i="33"/>
  <c r="A1649" i="33"/>
  <c r="B1649" i="33"/>
  <c r="A1650" i="33"/>
  <c r="B1650" i="33"/>
  <c r="A1651" i="33"/>
  <c r="B1651" i="33"/>
  <c r="A1652" i="33"/>
  <c r="B1652" i="33"/>
  <c r="A1653" i="33"/>
  <c r="B1653" i="33"/>
  <c r="A1654" i="33"/>
  <c r="B1654" i="33"/>
  <c r="A1655" i="33"/>
  <c r="B1655" i="33"/>
  <c r="A1656" i="33"/>
  <c r="B1656" i="33"/>
  <c r="A1657" i="33"/>
  <c r="B1657" i="33"/>
  <c r="A1658" i="33"/>
  <c r="B1658" i="33"/>
  <c r="A1659" i="33"/>
  <c r="B1659" i="33"/>
  <c r="A1660" i="33"/>
  <c r="B1660" i="33"/>
  <c r="A1661" i="33"/>
  <c r="B1661" i="33"/>
  <c r="A1662" i="33"/>
  <c r="B1662" i="33"/>
  <c r="A1663" i="33"/>
  <c r="B1663" i="33"/>
  <c r="A1664" i="33"/>
  <c r="B1664" i="33"/>
  <c r="A1665" i="33"/>
  <c r="B1665" i="33"/>
  <c r="A1666" i="33"/>
  <c r="B1666" i="33"/>
  <c r="A1667" i="33"/>
  <c r="B1667" i="33"/>
  <c r="A1668" i="33"/>
  <c r="B1668" i="33"/>
  <c r="A1669" i="33"/>
  <c r="B1669" i="33"/>
  <c r="A1670" i="33"/>
  <c r="B1670" i="33"/>
  <c r="A1671" i="33"/>
  <c r="B1671" i="33"/>
  <c r="A1672" i="33"/>
  <c r="B1672" i="33"/>
  <c r="A1673" i="33"/>
  <c r="B1673" i="33"/>
  <c r="A1674" i="33"/>
  <c r="B1674" i="33"/>
  <c r="A1675" i="33"/>
  <c r="B1675" i="33"/>
  <c r="A1676" i="33"/>
  <c r="B1676" i="33"/>
  <c r="A1677" i="33"/>
  <c r="B1677" i="33"/>
  <c r="A1678" i="33"/>
  <c r="B1678" i="33"/>
  <c r="A1679" i="33"/>
  <c r="B1679" i="33"/>
  <c r="A1680" i="33"/>
  <c r="B1680" i="33"/>
  <c r="A1681" i="33"/>
  <c r="B1681" i="33"/>
  <c r="A1682" i="33"/>
  <c r="B1682" i="33"/>
  <c r="A1684" i="33"/>
  <c r="B1684" i="33"/>
  <c r="A1685" i="33"/>
  <c r="B1685" i="33"/>
  <c r="A1686" i="33"/>
  <c r="B1686" i="33"/>
  <c r="A1687" i="33"/>
  <c r="B1687" i="33"/>
  <c r="A1688" i="33"/>
  <c r="B1688" i="33"/>
  <c r="A1689" i="33"/>
  <c r="B1689" i="33"/>
  <c r="A1690" i="33"/>
  <c r="B1690" i="33"/>
  <c r="A1691" i="33"/>
  <c r="B1691" i="33"/>
  <c r="A1692" i="33"/>
  <c r="B1692" i="33"/>
  <c r="A1693" i="33"/>
  <c r="B1693" i="33"/>
  <c r="A1694" i="33"/>
  <c r="B1694" i="33"/>
  <c r="A1695" i="33"/>
  <c r="B1695" i="33"/>
  <c r="A1696" i="33"/>
  <c r="B1696" i="33"/>
  <c r="A1697" i="33"/>
  <c r="B1697" i="33"/>
  <c r="A1698" i="33"/>
  <c r="B1698" i="33"/>
  <c r="A1699" i="33"/>
  <c r="B1699" i="33"/>
  <c r="A1700" i="33"/>
  <c r="B1700" i="33"/>
  <c r="A1701" i="33"/>
  <c r="B1701" i="33"/>
  <c r="A1702" i="33"/>
  <c r="B1702" i="33"/>
  <c r="A1703" i="33"/>
  <c r="B1703" i="33"/>
  <c r="A1704" i="33"/>
  <c r="B1704" i="33"/>
  <c r="A1705" i="33"/>
  <c r="B1705" i="33"/>
  <c r="A1706" i="33"/>
  <c r="B1706" i="33"/>
  <c r="A1707" i="33"/>
  <c r="B1707" i="33"/>
  <c r="A1708" i="33"/>
  <c r="B1708" i="33"/>
  <c r="A1709" i="33"/>
  <c r="B1709" i="33"/>
  <c r="A1710" i="33"/>
  <c r="B1710" i="33"/>
  <c r="A1711" i="33"/>
  <c r="B1711" i="33"/>
  <c r="A1712" i="33"/>
  <c r="B1712" i="33"/>
  <c r="A1713" i="33"/>
  <c r="B1713" i="33"/>
  <c r="A1714" i="33"/>
  <c r="B1714" i="33"/>
  <c r="A1715" i="33"/>
  <c r="B1715" i="33"/>
  <c r="A1716" i="33"/>
  <c r="B1716" i="33"/>
  <c r="A1717" i="33"/>
  <c r="B1717" i="33"/>
  <c r="A1719" i="33"/>
  <c r="B1719" i="33"/>
  <c r="A1720" i="33"/>
  <c r="B1720" i="33"/>
  <c r="A1721" i="33"/>
  <c r="B1721" i="33"/>
  <c r="A1722" i="33"/>
  <c r="B1722" i="33"/>
  <c r="A1723" i="33"/>
  <c r="B1723" i="33"/>
  <c r="A1724" i="33"/>
  <c r="B1724" i="33"/>
  <c r="A1725" i="33"/>
  <c r="B1725" i="33"/>
  <c r="A1726" i="33"/>
  <c r="B1726" i="33"/>
  <c r="A1727" i="33"/>
  <c r="B1727" i="33"/>
  <c r="A1729" i="33"/>
  <c r="B1729" i="33"/>
  <c r="A1730" i="33"/>
  <c r="B1730" i="33"/>
  <c r="A1731" i="33"/>
  <c r="B1731" i="33"/>
  <c r="A1732" i="33"/>
  <c r="B1732" i="33"/>
  <c r="A1733" i="33"/>
  <c r="B1733" i="33"/>
  <c r="A1734" i="33"/>
  <c r="B1734" i="33"/>
  <c r="A1735" i="33"/>
  <c r="B1735" i="33"/>
  <c r="A1736" i="33"/>
  <c r="B1736" i="33"/>
  <c r="A1737" i="33"/>
  <c r="B1737" i="33"/>
  <c r="A1738" i="33"/>
  <c r="B1738" i="33"/>
  <c r="A1739" i="33"/>
  <c r="B1739" i="33"/>
  <c r="A1740" i="33"/>
  <c r="B1740" i="33"/>
  <c r="A1741" i="33"/>
  <c r="B1741" i="33"/>
  <c r="A1742" i="33"/>
  <c r="B1742" i="33"/>
  <c r="A1743" i="33"/>
  <c r="B1743" i="33"/>
  <c r="A1744" i="33"/>
  <c r="B1744" i="33"/>
  <c r="A1745" i="33"/>
  <c r="B1745" i="33"/>
  <c r="A1746" i="33"/>
  <c r="B1746" i="33"/>
  <c r="A1747" i="33"/>
  <c r="B1747" i="33"/>
  <c r="A1748" i="33"/>
  <c r="B1748" i="33"/>
  <c r="A1749" i="33"/>
  <c r="B1749" i="33"/>
  <c r="A1750" i="33"/>
  <c r="B1750" i="33"/>
  <c r="A1751" i="33"/>
  <c r="B1751" i="33"/>
  <c r="A1752" i="33"/>
  <c r="B1752" i="33"/>
  <c r="A1753" i="33"/>
  <c r="B1753" i="33"/>
  <c r="A1754" i="33"/>
  <c r="B1754" i="33"/>
  <c r="A1755" i="33"/>
  <c r="B1755" i="33"/>
  <c r="A1756" i="33"/>
  <c r="B1756" i="33"/>
  <c r="A1757" i="33"/>
  <c r="B1757" i="33"/>
  <c r="A1758" i="33"/>
  <c r="B1758" i="33"/>
  <c r="A1759" i="33"/>
  <c r="B1759" i="33"/>
  <c r="A1760" i="33"/>
  <c r="B1760" i="33"/>
  <c r="A1761" i="33"/>
  <c r="B1761" i="33"/>
  <c r="A1762" i="33"/>
  <c r="B1762" i="33"/>
  <c r="A1763" i="33"/>
  <c r="B1763" i="33"/>
  <c r="A1764" i="33"/>
  <c r="B1764" i="33"/>
  <c r="A1765" i="33"/>
  <c r="B1765" i="33"/>
  <c r="A1766" i="33"/>
  <c r="B1766" i="33"/>
  <c r="A1767" i="33"/>
  <c r="B1767" i="33"/>
  <c r="A1768" i="33"/>
  <c r="B1768" i="33"/>
  <c r="A1769" i="33"/>
  <c r="B1769" i="33"/>
  <c r="A1770" i="33"/>
  <c r="B1770" i="33"/>
  <c r="A1771" i="33"/>
  <c r="B1771" i="33"/>
  <c r="A1772" i="33"/>
  <c r="B1772" i="33"/>
  <c r="A1773" i="33"/>
  <c r="B1773" i="33"/>
  <c r="A1774" i="33"/>
  <c r="B1774" i="33"/>
  <c r="A1775" i="33"/>
  <c r="B1775" i="33"/>
  <c r="A1776" i="33"/>
  <c r="B1776" i="33"/>
  <c r="A1777" i="33"/>
  <c r="B1777" i="33"/>
  <c r="A1778" i="33"/>
  <c r="B1778" i="33"/>
  <c r="A1779" i="33"/>
  <c r="B1779" i="33"/>
  <c r="A1780" i="33"/>
  <c r="B1780" i="33"/>
  <c r="A1781" i="33"/>
  <c r="B1781" i="33"/>
  <c r="A1782" i="33"/>
  <c r="B1782" i="33"/>
  <c r="A1783" i="33"/>
  <c r="B1783" i="33"/>
  <c r="A1784" i="33"/>
  <c r="A1785" i="33"/>
  <c r="B1785" i="33"/>
  <c r="A1786" i="33"/>
  <c r="B1786" i="33"/>
  <c r="A1787" i="33"/>
  <c r="B1787" i="33"/>
  <c r="A1788" i="33"/>
  <c r="B1788" i="33"/>
  <c r="A1789" i="33"/>
  <c r="B1789" i="33"/>
  <c r="A1790" i="33"/>
  <c r="B1790" i="33"/>
  <c r="A1791" i="33"/>
  <c r="B1791" i="33"/>
  <c r="A1792" i="33"/>
  <c r="B1792" i="33"/>
  <c r="A1793" i="33"/>
  <c r="B1793" i="33"/>
  <c r="A1794" i="33"/>
  <c r="B1794" i="33"/>
  <c r="A1795" i="33"/>
  <c r="B1795" i="33"/>
  <c r="A1796" i="33"/>
  <c r="B1796" i="33"/>
  <c r="A1797" i="33"/>
  <c r="B1797" i="33"/>
  <c r="A1798" i="33"/>
  <c r="B1798" i="33"/>
  <c r="A1799" i="33"/>
  <c r="B1799" i="33"/>
  <c r="A1800" i="33"/>
  <c r="B1800" i="33"/>
  <c r="A1801" i="33"/>
  <c r="B1801" i="33"/>
  <c r="A1802" i="33"/>
  <c r="B1802" i="33"/>
  <c r="A1803" i="33"/>
  <c r="B1803" i="33"/>
  <c r="A1804" i="33"/>
  <c r="B1804" i="33"/>
  <c r="A1805" i="33"/>
  <c r="B1805" i="33"/>
  <c r="A1806" i="33"/>
  <c r="B1806" i="33"/>
  <c r="A1807" i="33"/>
  <c r="B1807" i="33"/>
  <c r="A1808" i="33"/>
  <c r="B1808" i="33"/>
  <c r="A1809" i="33"/>
  <c r="B1809" i="33"/>
  <c r="A1810" i="33"/>
  <c r="A1811" i="33"/>
  <c r="B1811" i="33"/>
  <c r="A1812" i="33"/>
  <c r="B1812" i="33"/>
  <c r="A1813" i="33"/>
  <c r="B1813" i="33"/>
  <c r="A1814" i="33"/>
  <c r="B1814" i="33"/>
  <c r="A1815" i="33"/>
  <c r="B1815" i="33"/>
  <c r="A1816" i="33"/>
  <c r="B1816" i="33"/>
  <c r="A1817" i="33"/>
  <c r="B1817" i="33"/>
  <c r="A1818" i="33"/>
  <c r="B1818" i="33"/>
  <c r="A1819" i="33"/>
  <c r="B1819" i="33"/>
  <c r="A1820" i="33"/>
  <c r="B1820" i="33"/>
  <c r="A1821" i="33"/>
  <c r="B1821" i="33"/>
  <c r="A1822" i="33"/>
  <c r="B1822" i="33"/>
  <c r="A1823" i="33"/>
  <c r="B1823" i="33"/>
  <c r="A1824" i="33"/>
  <c r="B1824" i="33"/>
  <c r="A1825" i="33"/>
  <c r="B1825" i="33"/>
  <c r="A1826" i="33"/>
  <c r="B1826" i="33"/>
  <c r="A1827" i="33"/>
  <c r="B1827" i="33"/>
  <c r="A1828" i="33"/>
  <c r="B1828" i="33"/>
  <c r="A1829" i="33"/>
  <c r="B1829" i="33"/>
  <c r="A1830" i="33"/>
  <c r="B1830" i="33"/>
  <c r="A1831" i="33"/>
  <c r="B1831" i="33"/>
  <c r="A1832" i="33"/>
  <c r="B1832" i="33"/>
  <c r="A1833" i="33"/>
  <c r="B1833" i="33"/>
  <c r="A1834" i="33"/>
  <c r="B1834" i="33"/>
  <c r="A1835" i="33"/>
  <c r="B1835" i="33"/>
  <c r="A1836" i="33"/>
  <c r="B1836" i="33"/>
  <c r="A1837" i="33"/>
  <c r="B1837" i="33"/>
  <c r="A1838" i="33"/>
  <c r="B1838" i="33"/>
  <c r="A1839" i="33"/>
  <c r="B1839" i="33"/>
  <c r="A1840" i="33"/>
  <c r="B1840" i="33"/>
  <c r="A1841" i="33"/>
  <c r="B1841" i="33"/>
  <c r="A1842" i="33"/>
  <c r="B1842" i="33"/>
  <c r="A1843" i="33"/>
  <c r="B1843" i="33"/>
  <c r="A1844" i="33"/>
  <c r="B1844" i="33"/>
  <c r="A1845" i="33"/>
  <c r="B1845" i="33"/>
  <c r="A1846" i="33"/>
  <c r="B1846" i="33"/>
  <c r="A1847" i="33"/>
  <c r="B1847" i="33"/>
  <c r="A1848" i="33"/>
  <c r="B1848" i="33"/>
  <c r="A1849" i="33"/>
  <c r="B1849" i="33"/>
  <c r="A1850" i="33"/>
  <c r="B1850" i="33"/>
  <c r="A1851" i="33"/>
  <c r="B1851" i="33"/>
  <c r="A1852" i="33"/>
  <c r="B1852" i="33"/>
  <c r="A1853" i="33"/>
  <c r="B1853" i="33"/>
  <c r="A1854" i="33"/>
  <c r="B1854" i="33"/>
  <c r="A1855" i="33"/>
  <c r="B1855" i="33"/>
  <c r="A1856" i="33"/>
  <c r="B1856" i="33"/>
  <c r="A1857" i="33"/>
  <c r="B1857" i="33"/>
  <c r="A1858" i="33"/>
  <c r="B1858" i="33"/>
  <c r="A1859" i="33"/>
  <c r="B1859" i="33"/>
  <c r="A1860" i="33"/>
  <c r="B1860" i="33"/>
  <c r="A1861" i="33"/>
  <c r="B1861" i="33"/>
  <c r="A1862" i="33"/>
  <c r="B1862" i="33"/>
  <c r="A1863" i="33"/>
  <c r="B1863" i="33"/>
  <c r="A1864" i="33"/>
  <c r="B1864" i="33"/>
  <c r="A1865" i="33"/>
  <c r="B1865" i="33"/>
  <c r="A1866" i="33"/>
  <c r="B1866" i="33"/>
  <c r="A1867" i="33"/>
  <c r="B1867" i="33"/>
  <c r="A1868" i="33"/>
  <c r="B1868" i="33"/>
  <c r="A1869" i="33"/>
  <c r="B1869" i="33"/>
  <c r="A1870" i="33"/>
  <c r="B1870" i="33"/>
  <c r="A1871" i="33"/>
  <c r="B1871" i="33"/>
  <c r="A1872" i="33"/>
  <c r="B1872" i="33"/>
  <c r="A1873" i="33"/>
  <c r="B1873" i="33"/>
  <c r="A1874" i="33"/>
  <c r="B1874" i="33"/>
  <c r="A1875" i="33"/>
  <c r="B1875" i="33"/>
  <c r="A1876" i="33"/>
  <c r="B1876" i="33"/>
  <c r="A1877" i="33"/>
  <c r="B1877" i="33"/>
  <c r="A1878" i="33"/>
  <c r="B1878" i="33"/>
  <c r="A1879" i="33"/>
  <c r="B1879" i="33"/>
  <c r="A1880" i="33"/>
  <c r="B1880" i="33"/>
  <c r="A1881" i="33"/>
  <c r="B1881" i="33"/>
  <c r="A1882" i="33"/>
  <c r="B1882" i="33"/>
  <c r="A1883" i="33"/>
  <c r="B1883" i="33"/>
  <c r="A1884" i="33"/>
  <c r="B1884" i="33"/>
  <c r="A1885" i="33"/>
  <c r="B1885" i="33"/>
  <c r="A1886" i="33"/>
  <c r="B1886" i="33"/>
  <c r="A1887" i="33"/>
  <c r="B1887" i="33"/>
  <c r="A1888" i="33"/>
  <c r="B1888" i="33"/>
  <c r="A1889" i="33"/>
  <c r="B1889" i="33"/>
  <c r="A1890" i="33"/>
  <c r="B1890" i="33"/>
  <c r="A1891" i="33"/>
  <c r="B1891" i="33"/>
  <c r="A1892" i="33"/>
  <c r="B1892" i="33"/>
  <c r="A1893" i="33"/>
  <c r="B1893" i="33"/>
  <c r="A1894" i="33"/>
  <c r="B1894" i="33"/>
  <c r="A1895" i="33"/>
  <c r="B1895" i="33"/>
  <c r="A1896" i="33"/>
  <c r="B1896" i="33"/>
  <c r="A1897" i="33"/>
  <c r="B1897" i="33"/>
  <c r="A1898" i="33"/>
  <c r="B1898" i="33"/>
  <c r="A1899" i="33"/>
  <c r="B1899" i="33"/>
  <c r="A1900" i="33"/>
  <c r="B1900" i="33"/>
  <c r="A1901" i="33"/>
  <c r="B1901" i="33"/>
  <c r="A1902" i="33"/>
  <c r="A1903" i="33"/>
  <c r="B1903" i="33"/>
  <c r="A1904" i="33"/>
  <c r="B1904" i="33"/>
  <c r="A1905" i="33"/>
  <c r="B1905" i="33"/>
  <c r="A1906" i="33"/>
  <c r="B1906" i="33"/>
  <c r="A1907" i="33"/>
  <c r="B1907" i="33"/>
  <c r="A1908" i="33"/>
  <c r="B1908" i="33"/>
  <c r="A1909" i="33"/>
  <c r="B1909" i="33"/>
  <c r="A1910" i="33"/>
  <c r="B1910" i="33"/>
  <c r="A1911" i="33"/>
  <c r="B1911" i="33"/>
  <c r="A1912" i="33"/>
  <c r="B1912" i="33"/>
  <c r="A1913" i="33"/>
  <c r="B1913" i="33"/>
  <c r="A1914" i="33"/>
  <c r="B1914" i="33"/>
  <c r="A1915" i="33"/>
  <c r="B1915" i="33"/>
  <c r="A1916" i="33"/>
  <c r="B1916" i="33"/>
  <c r="A1917" i="33"/>
  <c r="B1917" i="33"/>
  <c r="A1918" i="33"/>
  <c r="B1918" i="33"/>
  <c r="A1919" i="33"/>
  <c r="B1919" i="33"/>
  <c r="A1920" i="33"/>
  <c r="B1920" i="33"/>
  <c r="A1921" i="33"/>
  <c r="B1921" i="33"/>
  <c r="A1922" i="33"/>
  <c r="B1922" i="33"/>
  <c r="A1923" i="33"/>
  <c r="B1923" i="33"/>
  <c r="A1924" i="33"/>
  <c r="B1924" i="33"/>
  <c r="A1925" i="33"/>
  <c r="B1925" i="33"/>
  <c r="A1926" i="33"/>
  <c r="B1926" i="33"/>
  <c r="A1927" i="33"/>
  <c r="B1927" i="33"/>
  <c r="A1928" i="33"/>
  <c r="B1928" i="33"/>
  <c r="A1929" i="33"/>
  <c r="B1929" i="33"/>
  <c r="A1930" i="33"/>
  <c r="B1930" i="33"/>
  <c r="A1931" i="33"/>
  <c r="B1931" i="33"/>
  <c r="A1932" i="33"/>
  <c r="B1932" i="33"/>
  <c r="A1933" i="33"/>
  <c r="B1933" i="33"/>
  <c r="A1934" i="33"/>
  <c r="B1934" i="33"/>
  <c r="A1935" i="33"/>
  <c r="B1935" i="33"/>
  <c r="A1936" i="33"/>
  <c r="B1936" i="33"/>
  <c r="A1937" i="33"/>
  <c r="B1937" i="33"/>
  <c r="A1938" i="33"/>
  <c r="B1938" i="33"/>
  <c r="A1939" i="33"/>
  <c r="B1939" i="33"/>
  <c r="A1940" i="33"/>
  <c r="B1940" i="33"/>
  <c r="A1941" i="33"/>
  <c r="B1941" i="33"/>
  <c r="A1942" i="33"/>
  <c r="B1942" i="33"/>
  <c r="A1943" i="33"/>
  <c r="B1943" i="33"/>
  <c r="A1944" i="33"/>
  <c r="B1944" i="33"/>
  <c r="A1945" i="33"/>
  <c r="B1945" i="33"/>
  <c r="A1946" i="33"/>
  <c r="B1946" i="33"/>
  <c r="A1947" i="33"/>
  <c r="B1947" i="33"/>
  <c r="A1948" i="33"/>
  <c r="B1948" i="33"/>
  <c r="A1949" i="33"/>
  <c r="B1949" i="33"/>
  <c r="A1950" i="33"/>
  <c r="B1950" i="33"/>
  <c r="A1951" i="33"/>
  <c r="B1951" i="33"/>
  <c r="A1952" i="33"/>
  <c r="B1952" i="33"/>
  <c r="A1953" i="33"/>
  <c r="B1953" i="33"/>
  <c r="A1954" i="33"/>
  <c r="B1954" i="33"/>
  <c r="A1955" i="33"/>
  <c r="B1955" i="33"/>
  <c r="A1956" i="33"/>
  <c r="B1956" i="33"/>
  <c r="A1957" i="33"/>
  <c r="B1957" i="33"/>
  <c r="A1958" i="33"/>
  <c r="B1958" i="33"/>
  <c r="A1959" i="33"/>
  <c r="B1959" i="33"/>
  <c r="A1960" i="33"/>
  <c r="B1960" i="33"/>
  <c r="A1961" i="33"/>
  <c r="B1961" i="33"/>
  <c r="A1962" i="33"/>
  <c r="B1962" i="33"/>
  <c r="A1963" i="33"/>
  <c r="B1963" i="33"/>
  <c r="A1964" i="33"/>
  <c r="B1964" i="33"/>
  <c r="A1965" i="33"/>
  <c r="B1965" i="33"/>
  <c r="A1966" i="33"/>
  <c r="B1966" i="33"/>
  <c r="A1967" i="33"/>
  <c r="B1967" i="33"/>
  <c r="A1968" i="33"/>
  <c r="B1968" i="33"/>
  <c r="A1969" i="33"/>
  <c r="B1969" i="33"/>
  <c r="A1970" i="33"/>
  <c r="B1970" i="33"/>
  <c r="A1971" i="33"/>
  <c r="B1971" i="33"/>
  <c r="A1972" i="33"/>
  <c r="B1972" i="33"/>
  <c r="A1973" i="33"/>
  <c r="B1973" i="33"/>
  <c r="A1974" i="33"/>
  <c r="B1974" i="33"/>
  <c r="A1975" i="33"/>
  <c r="B1975" i="33"/>
  <c r="A1976" i="33"/>
  <c r="B1976" i="33"/>
  <c r="A1977" i="33"/>
  <c r="B1977" i="33"/>
  <c r="A1978" i="33"/>
  <c r="B1978" i="33"/>
  <c r="A1979" i="33"/>
  <c r="B1979" i="33"/>
  <c r="A1980" i="33"/>
  <c r="B1980" i="33"/>
  <c r="A1981" i="33"/>
  <c r="B1981" i="33"/>
  <c r="A1982" i="33"/>
  <c r="A1983" i="33"/>
  <c r="B1983" i="33"/>
  <c r="A1984" i="33"/>
  <c r="B1984" i="33"/>
  <c r="A1985" i="33"/>
  <c r="B1985" i="33"/>
  <c r="A1986" i="33"/>
  <c r="B1986" i="33"/>
  <c r="A1987" i="33"/>
  <c r="B1987" i="33"/>
  <c r="A1988" i="33"/>
  <c r="B1988" i="33"/>
  <c r="A1989" i="33"/>
  <c r="B1989" i="33"/>
  <c r="A1990" i="33"/>
  <c r="B1990" i="33"/>
  <c r="A1991" i="33"/>
  <c r="B1991" i="33"/>
  <c r="A1992" i="33"/>
  <c r="B1992" i="33"/>
  <c r="A1993" i="33"/>
  <c r="B1993" i="33"/>
  <c r="A1994" i="33"/>
  <c r="B1994" i="33"/>
  <c r="A1995" i="33"/>
  <c r="B1995" i="33"/>
  <c r="A1996" i="33"/>
  <c r="B1996" i="33"/>
  <c r="A1997" i="33"/>
  <c r="B1997" i="33"/>
  <c r="A1998" i="33"/>
  <c r="B1998" i="33"/>
  <c r="A1999" i="33"/>
  <c r="B1999" i="33"/>
  <c r="A2000" i="33"/>
  <c r="B2000" i="33"/>
  <c r="A2001" i="33"/>
  <c r="B2001" i="33"/>
  <c r="A2002" i="33"/>
  <c r="B2002" i="33"/>
  <c r="A2003" i="33"/>
  <c r="B2003" i="33"/>
  <c r="A2004" i="33"/>
  <c r="B2004" i="33"/>
  <c r="A2005" i="33"/>
  <c r="B2005" i="33"/>
  <c r="A2006" i="33"/>
  <c r="B2006" i="33"/>
  <c r="A2007" i="33"/>
  <c r="B2007" i="33"/>
  <c r="A2008" i="33"/>
  <c r="B2008" i="33"/>
  <c r="A2009" i="33"/>
  <c r="B2009" i="33"/>
  <c r="A2010" i="33"/>
  <c r="B2010" i="33"/>
  <c r="A2011" i="33"/>
  <c r="B2011" i="33"/>
  <c r="A2012" i="33"/>
  <c r="B2012" i="33"/>
  <c r="A2013" i="33"/>
  <c r="B2013" i="33"/>
  <c r="A2014" i="33"/>
  <c r="B2014" i="33"/>
  <c r="A2015" i="33"/>
  <c r="B2015" i="33"/>
  <c r="A2016" i="33"/>
  <c r="B2016" i="33"/>
  <c r="A2017" i="33"/>
  <c r="B2017" i="33"/>
  <c r="A2018" i="33"/>
  <c r="B2018" i="33"/>
  <c r="A2019" i="33"/>
  <c r="B2019" i="33"/>
  <c r="A2020" i="33"/>
  <c r="B2020" i="33"/>
  <c r="A2021" i="33"/>
  <c r="B2021" i="33"/>
  <c r="A2022" i="33"/>
  <c r="B2022" i="33"/>
  <c r="A2023" i="33"/>
  <c r="B2023" i="33"/>
  <c r="A2024" i="33"/>
  <c r="A2025" i="33"/>
  <c r="B2025" i="33"/>
  <c r="A2026" i="33"/>
  <c r="B2026" i="33"/>
  <c r="A2027" i="33"/>
  <c r="B2027" i="33"/>
  <c r="A2028" i="33"/>
  <c r="B2028" i="33"/>
  <c r="A2029" i="33"/>
  <c r="B2029" i="33"/>
  <c r="A2030" i="33"/>
  <c r="B2030" i="33"/>
  <c r="A2031" i="33"/>
  <c r="B2031" i="33"/>
  <c r="A2032" i="33"/>
  <c r="B2032" i="33"/>
  <c r="A2033" i="33"/>
  <c r="B2033" i="33"/>
  <c r="A2034" i="33"/>
  <c r="B2034" i="33"/>
  <c r="A2035" i="33"/>
  <c r="B2035" i="33"/>
  <c r="A2036" i="33"/>
  <c r="B2036" i="33"/>
  <c r="A2037" i="33"/>
  <c r="B2037" i="33"/>
  <c r="A2038" i="33"/>
  <c r="B2038" i="33"/>
  <c r="A2039" i="33"/>
  <c r="B2039" i="33"/>
  <c r="A2040" i="33"/>
  <c r="B2040" i="33"/>
  <c r="A2041" i="33"/>
  <c r="B2041" i="33"/>
  <c r="A2042" i="33"/>
  <c r="B2042" i="33"/>
  <c r="A2043" i="33"/>
  <c r="B2043" i="33"/>
  <c r="A2044" i="33"/>
  <c r="B2044" i="33"/>
  <c r="A2045" i="33"/>
  <c r="B2045" i="33"/>
  <c r="A2046" i="33"/>
  <c r="B2046" i="33"/>
  <c r="A2047" i="33"/>
  <c r="B2047" i="33"/>
  <c r="A2048" i="33"/>
  <c r="B2048" i="33"/>
  <c r="A2049" i="33"/>
  <c r="B2049" i="33"/>
  <c r="A2050" i="33"/>
  <c r="B2050" i="33"/>
  <c r="A2051" i="33"/>
  <c r="A2052" i="33"/>
  <c r="B2052" i="33"/>
  <c r="A2053" i="33"/>
  <c r="B2053" i="33"/>
  <c r="A2054" i="33"/>
  <c r="B2054" i="33"/>
  <c r="A2055" i="33"/>
  <c r="B2055" i="33"/>
  <c r="A2056" i="33"/>
  <c r="B2056" i="33"/>
  <c r="A2057" i="33"/>
  <c r="B2057" i="33"/>
  <c r="A2058" i="33"/>
  <c r="B2058" i="33"/>
  <c r="A2059" i="33"/>
  <c r="B2059" i="33"/>
  <c r="A2060" i="33"/>
  <c r="B2060" i="33"/>
  <c r="A2061" i="33"/>
  <c r="B2061" i="33"/>
  <c r="A2062" i="33"/>
  <c r="B2062" i="33"/>
  <c r="A2063" i="33"/>
  <c r="B2063" i="33"/>
  <c r="A2064" i="33"/>
  <c r="B2064" i="33"/>
  <c r="A2065" i="33"/>
  <c r="B2065" i="33"/>
  <c r="A2066" i="33"/>
  <c r="B2066" i="33"/>
  <c r="A2067" i="33"/>
  <c r="B2067" i="33"/>
  <c r="A2068" i="33"/>
  <c r="B2068" i="33"/>
  <c r="A2069" i="33"/>
  <c r="B2069" i="33"/>
  <c r="A2070" i="33"/>
  <c r="B2070" i="33"/>
  <c r="A2071" i="33"/>
  <c r="B2071" i="33"/>
  <c r="A2072" i="33"/>
  <c r="B2072" i="33"/>
  <c r="A2073" i="33"/>
  <c r="B2073" i="33"/>
  <c r="A2074" i="33"/>
  <c r="B2074" i="33"/>
  <c r="A2075" i="33"/>
  <c r="B2075" i="33"/>
  <c r="A2076" i="33"/>
  <c r="B2076" i="33"/>
  <c r="A2077" i="33"/>
  <c r="B2077" i="33"/>
  <c r="A2078" i="33"/>
  <c r="B2078" i="33"/>
  <c r="A2079" i="33"/>
  <c r="B2079" i="33"/>
  <c r="A2080" i="33"/>
  <c r="B2080" i="33"/>
  <c r="A2081" i="33"/>
  <c r="B2081" i="33"/>
  <c r="A2082" i="33"/>
  <c r="B2082" i="33"/>
  <c r="A2083" i="33"/>
  <c r="B2083" i="33"/>
  <c r="A2084" i="33"/>
  <c r="B2084" i="33"/>
  <c r="A2085" i="33"/>
  <c r="B2085" i="33"/>
  <c r="A2086" i="33"/>
  <c r="B2086" i="33"/>
  <c r="A2087" i="33"/>
  <c r="B2087" i="33"/>
  <c r="A2088" i="33"/>
  <c r="B2088" i="33"/>
  <c r="A2089" i="33"/>
  <c r="B2089" i="33"/>
  <c r="A2090" i="33"/>
  <c r="B2090" i="33"/>
  <c r="A2091" i="33"/>
  <c r="B2091" i="33"/>
  <c r="A2092" i="33"/>
  <c r="B2092" i="33"/>
  <c r="A2093" i="33"/>
  <c r="B2093" i="33"/>
  <c r="A2094" i="33"/>
  <c r="B2094" i="33"/>
  <c r="A2095" i="33"/>
  <c r="B2095" i="33"/>
  <c r="A2096" i="33"/>
  <c r="B2096" i="33"/>
  <c r="A2097" i="33"/>
  <c r="B2097" i="33"/>
  <c r="A2098" i="33"/>
  <c r="B2098" i="33"/>
  <c r="A2099" i="33"/>
  <c r="B2099" i="33"/>
  <c r="A2100" i="33"/>
  <c r="B2100" i="33"/>
  <c r="A2101" i="33"/>
  <c r="B2101" i="33"/>
  <c r="A2102" i="33"/>
  <c r="B2102" i="33"/>
  <c r="A2103" i="33"/>
  <c r="B2103" i="33"/>
  <c r="A2104" i="33"/>
  <c r="B2104" i="33"/>
  <c r="A2105" i="33"/>
  <c r="B2105" i="33"/>
  <c r="A2106" i="33"/>
  <c r="B2106" i="33"/>
  <c r="A2107" i="33"/>
  <c r="B2107" i="33"/>
  <c r="A2108" i="33"/>
  <c r="B2108" i="33"/>
  <c r="A2109" i="33"/>
  <c r="B2109" i="33"/>
  <c r="A2110" i="33"/>
  <c r="B2110" i="33"/>
  <c r="A2111" i="33"/>
  <c r="B2111" i="33"/>
  <c r="A2112" i="33"/>
  <c r="B2112" i="33"/>
  <c r="A2113" i="33"/>
  <c r="B2113" i="33"/>
  <c r="A2114" i="33"/>
  <c r="B2114" i="33"/>
  <c r="A2115" i="33"/>
  <c r="B2115" i="33"/>
  <c r="A2116" i="33"/>
  <c r="B2116" i="33"/>
  <c r="A2117" i="33"/>
  <c r="B2117" i="33"/>
  <c r="A2118" i="33"/>
  <c r="B2118" i="33"/>
  <c r="A2119" i="33"/>
  <c r="B2119" i="33"/>
  <c r="A2120" i="33"/>
  <c r="B2120" i="33"/>
  <c r="A2122" i="33"/>
  <c r="B2122" i="33"/>
  <c r="A2123" i="33"/>
  <c r="B2123" i="33"/>
  <c r="A2124" i="33"/>
  <c r="B2124" i="33"/>
  <c r="A2125" i="33"/>
  <c r="B2125" i="33"/>
  <c r="A2126" i="33"/>
  <c r="B2126" i="33"/>
  <c r="A2127" i="33"/>
  <c r="B2127" i="33"/>
  <c r="A2128" i="33"/>
  <c r="B2128" i="33"/>
  <c r="A2129" i="33"/>
  <c r="B2129" i="33"/>
  <c r="A2130" i="33"/>
  <c r="B2130" i="33"/>
  <c r="A2131" i="33"/>
  <c r="B2131" i="33"/>
  <c r="A2132" i="33"/>
  <c r="B2132" i="33"/>
  <c r="A2133" i="33"/>
  <c r="B2133" i="33"/>
  <c r="A2134" i="33"/>
  <c r="B2134" i="33"/>
  <c r="A2135" i="33"/>
  <c r="B2135" i="33"/>
  <c r="A2136" i="33"/>
  <c r="B2136" i="33"/>
  <c r="A2137" i="33"/>
  <c r="B2137" i="33"/>
  <c r="A2138" i="33"/>
  <c r="B2138" i="33"/>
  <c r="A2139" i="33"/>
  <c r="B2139" i="33"/>
  <c r="A2140" i="33"/>
  <c r="B2140" i="33"/>
  <c r="A2141" i="33"/>
  <c r="B2141" i="33"/>
  <c r="A2142" i="33"/>
  <c r="B2142" i="33"/>
  <c r="A2143" i="33"/>
  <c r="B2143" i="33"/>
  <c r="A2144" i="33"/>
  <c r="B2144" i="33"/>
  <c r="A2145" i="33"/>
  <c r="B2145" i="33"/>
  <c r="A2146" i="33"/>
  <c r="B2146" i="33"/>
  <c r="A2147" i="33"/>
  <c r="B2147" i="33"/>
  <c r="A2148" i="33"/>
  <c r="B2148" i="33"/>
  <c r="A2149" i="33"/>
  <c r="B2149" i="33"/>
  <c r="A2150" i="33"/>
  <c r="B2150" i="33"/>
  <c r="A2151" i="33"/>
  <c r="B2151" i="33"/>
  <c r="A2152" i="33"/>
  <c r="B2152" i="33"/>
  <c r="A2153" i="33"/>
  <c r="B2153" i="33"/>
  <c r="A2154" i="33"/>
  <c r="B2154" i="33"/>
  <c r="A2155" i="33"/>
  <c r="B2155" i="33"/>
  <c r="A2156" i="33"/>
  <c r="B2156" i="33"/>
  <c r="A2157" i="33"/>
  <c r="B2157" i="33"/>
  <c r="A2158" i="33"/>
  <c r="B2158" i="33"/>
  <c r="A2159" i="33"/>
  <c r="B2159" i="33"/>
  <c r="A2160" i="33"/>
  <c r="B2160" i="33"/>
  <c r="A2161" i="33"/>
  <c r="B2161" i="33"/>
  <c r="A2162" i="33"/>
  <c r="B2162" i="33"/>
  <c r="A2163" i="33"/>
  <c r="B2163" i="33"/>
  <c r="A2164" i="33"/>
  <c r="B2164" i="33"/>
  <c r="A2165" i="33"/>
  <c r="B2165" i="33"/>
  <c r="A2166" i="33"/>
  <c r="B2166" i="33"/>
  <c r="A2167" i="33"/>
  <c r="B2167" i="33"/>
  <c r="A2168" i="33"/>
  <c r="B2168" i="33"/>
  <c r="A2169" i="33"/>
  <c r="B2169" i="33"/>
  <c r="A2170" i="33"/>
  <c r="B2170" i="33"/>
  <c r="A2171" i="33"/>
  <c r="B2171" i="33"/>
  <c r="A2172" i="33"/>
  <c r="B2172" i="33"/>
  <c r="A2173" i="33"/>
  <c r="B2173" i="33"/>
  <c r="A2174" i="33"/>
  <c r="B2174" i="33"/>
  <c r="A2175" i="33"/>
  <c r="B2175" i="33"/>
  <c r="A2176" i="33"/>
  <c r="B2176" i="33"/>
  <c r="A2177" i="33"/>
  <c r="B2177" i="33"/>
  <c r="A2178" i="33"/>
  <c r="B2178" i="33"/>
  <c r="A2179" i="33"/>
  <c r="B2179" i="33"/>
  <c r="A2180" i="33"/>
  <c r="A2181" i="33"/>
  <c r="B2181" i="33"/>
  <c r="A2182" i="33"/>
  <c r="B2182" i="33"/>
  <c r="A2183" i="33"/>
  <c r="B2183" i="33"/>
  <c r="A2184" i="33"/>
  <c r="B2184" i="33"/>
  <c r="A2185" i="33"/>
  <c r="B2185" i="33"/>
  <c r="A2186" i="33"/>
  <c r="B2186" i="33"/>
  <c r="A2187" i="33"/>
  <c r="B2187" i="33"/>
  <c r="A2188" i="33"/>
  <c r="B2188" i="33"/>
  <c r="A2189" i="33"/>
  <c r="B2189" i="33"/>
  <c r="A2190" i="33"/>
  <c r="B2190" i="33"/>
  <c r="A2191" i="33"/>
  <c r="B2191" i="33"/>
  <c r="A2192" i="33"/>
  <c r="B2192" i="33"/>
  <c r="A2193" i="33"/>
  <c r="B2193" i="33"/>
  <c r="A2194" i="33"/>
  <c r="B2194" i="33"/>
  <c r="A2195" i="33"/>
  <c r="B2195" i="33"/>
  <c r="A2196" i="33"/>
  <c r="B2196" i="33"/>
  <c r="A2197" i="33"/>
  <c r="B2197" i="33"/>
  <c r="A2198" i="33"/>
  <c r="B2198" i="33"/>
  <c r="A2199" i="33"/>
  <c r="B2199" i="33"/>
  <c r="A2200" i="33"/>
  <c r="B2200" i="33"/>
  <c r="A2201" i="33"/>
  <c r="B2201" i="33"/>
  <c r="A2202" i="33"/>
  <c r="B2202" i="33"/>
  <c r="A2203" i="33"/>
  <c r="B2203" i="33"/>
  <c r="A2204" i="33"/>
  <c r="B2204" i="33"/>
  <c r="A2205" i="33"/>
  <c r="B2205" i="33"/>
  <c r="A2206" i="33"/>
  <c r="B2206" i="33"/>
  <c r="A2207" i="33"/>
  <c r="B2207" i="33"/>
  <c r="A2208" i="33"/>
  <c r="B2208" i="33"/>
  <c r="A2209" i="33"/>
  <c r="B2209" i="33"/>
  <c r="A2211" i="33"/>
  <c r="B2211" i="33"/>
  <c r="A2212" i="33"/>
  <c r="B2212" i="33"/>
  <c r="A2213" i="33"/>
  <c r="B2213" i="33"/>
  <c r="A2214" i="33"/>
  <c r="B2214" i="33"/>
  <c r="A2215" i="33"/>
  <c r="B2215" i="33"/>
  <c r="A2216" i="33"/>
  <c r="B2216" i="33"/>
  <c r="A2217" i="33"/>
  <c r="B2217" i="33"/>
  <c r="A2218" i="33"/>
  <c r="B2218" i="33"/>
  <c r="A2219" i="33"/>
  <c r="B2219" i="33"/>
  <c r="A2220" i="33"/>
  <c r="B2220" i="33"/>
  <c r="A2221" i="33"/>
  <c r="B2221" i="33"/>
  <c r="A2222" i="33"/>
  <c r="B2222" i="33"/>
  <c r="A2223" i="33"/>
  <c r="B2223" i="33"/>
  <c r="A2224" i="33"/>
  <c r="B2224" i="33"/>
  <c r="A2225" i="33"/>
  <c r="B2225" i="33"/>
  <c r="A2226" i="33"/>
  <c r="B2226" i="33"/>
  <c r="A2227" i="33"/>
  <c r="B2227" i="33"/>
  <c r="A2228" i="33"/>
  <c r="B2228" i="33"/>
  <c r="A2229" i="33"/>
  <c r="B2229" i="33"/>
  <c r="A2230" i="33"/>
  <c r="B2230" i="33"/>
  <c r="A2231" i="33"/>
  <c r="B2231" i="33"/>
  <c r="A2232" i="33"/>
  <c r="B2232" i="33"/>
  <c r="A2233" i="33"/>
  <c r="B2233" i="33"/>
  <c r="A2234" i="33"/>
  <c r="B2234" i="33"/>
  <c r="A2235" i="33"/>
  <c r="B2235" i="33"/>
  <c r="A2236" i="33"/>
  <c r="B2236" i="33"/>
  <c r="A2237" i="33"/>
  <c r="B2237" i="33"/>
  <c r="A2238" i="33"/>
  <c r="B2238" i="33"/>
  <c r="A2239" i="33"/>
  <c r="B2239" i="33"/>
  <c r="A2240" i="33"/>
  <c r="B2240" i="33"/>
  <c r="A2241" i="33"/>
  <c r="B2241" i="33"/>
  <c r="A2242" i="33"/>
  <c r="B2242" i="33"/>
  <c r="A2243" i="33"/>
  <c r="B2243" i="33"/>
  <c r="A2244" i="33"/>
  <c r="B2244" i="33"/>
  <c r="A2245" i="33"/>
  <c r="B2245" i="33"/>
  <c r="A2246" i="33"/>
  <c r="B2246" i="33"/>
  <c r="A2247" i="33"/>
  <c r="B2247" i="33"/>
  <c r="A2248" i="33"/>
  <c r="B2248" i="33"/>
  <c r="A2249" i="33"/>
  <c r="B2249" i="33"/>
  <c r="A2250" i="33"/>
  <c r="B2250" i="33"/>
  <c r="A2251" i="33"/>
  <c r="B2251" i="33"/>
  <c r="A2252" i="33"/>
  <c r="B2252" i="33"/>
  <c r="A2253" i="33"/>
  <c r="B2253" i="33"/>
  <c r="A2254" i="33"/>
  <c r="B2254" i="33"/>
  <c r="A2255" i="33"/>
  <c r="B2255" i="33"/>
  <c r="A2256" i="33"/>
  <c r="B2256" i="33"/>
  <c r="A2257" i="33"/>
  <c r="B2257" i="33"/>
  <c r="A2258" i="33"/>
  <c r="B2258" i="33"/>
  <c r="A2259" i="33"/>
  <c r="B2259" i="33"/>
  <c r="A2260" i="33"/>
  <c r="B2260" i="33"/>
  <c r="A2261" i="33"/>
  <c r="B2261" i="33"/>
  <c r="A2262" i="33"/>
  <c r="B2262" i="33"/>
  <c r="A2263" i="33"/>
  <c r="B2263" i="33"/>
  <c r="A2264" i="33"/>
  <c r="B2264" i="33"/>
  <c r="A2265" i="33"/>
  <c r="B2265" i="33"/>
  <c r="A2266" i="33"/>
  <c r="B2266" i="33"/>
  <c r="A2267" i="33"/>
  <c r="B2267" i="33"/>
  <c r="A2268" i="33"/>
  <c r="B2268" i="33"/>
  <c r="A2269" i="33"/>
  <c r="B2269" i="33"/>
  <c r="A2270" i="33"/>
  <c r="B2270" i="33"/>
  <c r="A2271" i="33"/>
  <c r="B2271" i="33"/>
  <c r="A2272" i="33"/>
  <c r="B2272" i="33"/>
  <c r="A2273" i="33"/>
  <c r="B2273" i="33"/>
  <c r="A2274" i="33"/>
  <c r="B2274" i="33"/>
  <c r="A2275" i="33"/>
  <c r="B2275" i="33"/>
  <c r="A2276" i="33"/>
  <c r="B2276" i="33"/>
  <c r="A2277" i="33"/>
  <c r="B2277" i="33"/>
  <c r="A2278" i="33"/>
  <c r="B2278" i="33"/>
  <c r="A2279" i="33"/>
  <c r="B2279" i="33"/>
  <c r="A2280" i="33"/>
  <c r="B2280" i="33"/>
  <c r="A2281" i="33"/>
  <c r="B2281" i="33"/>
  <c r="A2282" i="33"/>
  <c r="B2282" i="33"/>
  <c r="A2283" i="33"/>
  <c r="B2283" i="33"/>
  <c r="A2284" i="33"/>
  <c r="B2284" i="33"/>
  <c r="A2285" i="33"/>
  <c r="B2285" i="33"/>
  <c r="A2286" i="33"/>
  <c r="B2286" i="33"/>
  <c r="A2287" i="33"/>
  <c r="B2287" i="33"/>
  <c r="A2288" i="33"/>
  <c r="B2288" i="33"/>
  <c r="A2289" i="33"/>
  <c r="B2289" i="33"/>
  <c r="A2290" i="33"/>
  <c r="B2290" i="33"/>
  <c r="A2291" i="33"/>
  <c r="B2291" i="33"/>
  <c r="A2292" i="33"/>
  <c r="B2292" i="33"/>
  <c r="A2293" i="33"/>
  <c r="B2293" i="33"/>
  <c r="A2294" i="33"/>
  <c r="B2294" i="33"/>
  <c r="A2295" i="33"/>
  <c r="B2295" i="33"/>
  <c r="A2296" i="33"/>
  <c r="B2296" i="33"/>
  <c r="A2297" i="33"/>
  <c r="B2297" i="33"/>
  <c r="A2298" i="33"/>
  <c r="B2298" i="33"/>
  <c r="A2299" i="33"/>
  <c r="B2299" i="33"/>
  <c r="A2300" i="33"/>
  <c r="B2300" i="33"/>
  <c r="A2301" i="33"/>
  <c r="B2301" i="33"/>
  <c r="A2302" i="33"/>
  <c r="B2302" i="33"/>
  <c r="A2303" i="33"/>
  <c r="B2303" i="33"/>
  <c r="A2304" i="33"/>
  <c r="B2304" i="33"/>
  <c r="A2305" i="33"/>
  <c r="B2305" i="33"/>
  <c r="A2306" i="33"/>
  <c r="B2306" i="33"/>
  <c r="A2307" i="33"/>
  <c r="B2307" i="33"/>
  <c r="A2308" i="33"/>
  <c r="B2308" i="33"/>
  <c r="A2309" i="33"/>
  <c r="B2309" i="33"/>
  <c r="A2310" i="33"/>
  <c r="B2310" i="33"/>
  <c r="A2311" i="33"/>
  <c r="B2311" i="33"/>
  <c r="A2312" i="33"/>
  <c r="B2312" i="33"/>
  <c r="A2313" i="33"/>
  <c r="B2313" i="33"/>
  <c r="A2314" i="33"/>
  <c r="B2314" i="33"/>
  <c r="A2315" i="33"/>
  <c r="B2315" i="33"/>
  <c r="A2316" i="33"/>
  <c r="B2316" i="33"/>
  <c r="A2317" i="33"/>
  <c r="B2317" i="33"/>
  <c r="A2318" i="33"/>
  <c r="B2318" i="33"/>
  <c r="A2319" i="33"/>
  <c r="B2319" i="33"/>
  <c r="A2320" i="33"/>
  <c r="B2320" i="33"/>
  <c r="A2321" i="33"/>
  <c r="B2321" i="33"/>
  <c r="A2322" i="33"/>
  <c r="B2322" i="33"/>
  <c r="A2323" i="33"/>
  <c r="B2323" i="33"/>
  <c r="A2324" i="33"/>
  <c r="B2324" i="33"/>
  <c r="A2325" i="33"/>
  <c r="B2325" i="33"/>
  <c r="A2326" i="33"/>
  <c r="B2326" i="33"/>
  <c r="A2327" i="33"/>
  <c r="B2327" i="33"/>
  <c r="A2328" i="33"/>
  <c r="B2328" i="33"/>
  <c r="A2329" i="33"/>
  <c r="B2329" i="33"/>
  <c r="A2330" i="33"/>
  <c r="B2330" i="33"/>
  <c r="A2331" i="33"/>
  <c r="B2331" i="33"/>
  <c r="A2332" i="33"/>
  <c r="B2332" i="33"/>
  <c r="A2333" i="33"/>
  <c r="B2333" i="33"/>
  <c r="A2334" i="33"/>
  <c r="B2334" i="33"/>
  <c r="A2335" i="33"/>
  <c r="B2335" i="33"/>
  <c r="A2336" i="33"/>
  <c r="B2336" i="33"/>
  <c r="A2337" i="33"/>
  <c r="B2337" i="33"/>
  <c r="A2338" i="33"/>
  <c r="B2338" i="33"/>
  <c r="A2339" i="33"/>
  <c r="B2339" i="33"/>
  <c r="A2340" i="33"/>
  <c r="B2340" i="33"/>
  <c r="A2341" i="33"/>
  <c r="B2341" i="33"/>
  <c r="A2342" i="33"/>
  <c r="B2342" i="33"/>
  <c r="A2343" i="33"/>
  <c r="B2343" i="33"/>
  <c r="A2344" i="33"/>
  <c r="A2345" i="33"/>
  <c r="B2345" i="33"/>
  <c r="A2346" i="33"/>
  <c r="B2346" i="33"/>
  <c r="A2347" i="33"/>
  <c r="B2347" i="33"/>
  <c r="A2348" i="33"/>
  <c r="B2348" i="33"/>
  <c r="A2349" i="33"/>
  <c r="B2349" i="33"/>
  <c r="A2350" i="33"/>
  <c r="B2350" i="33"/>
  <c r="A2351" i="33"/>
  <c r="B2351" i="33"/>
  <c r="A2352" i="33"/>
  <c r="B2352" i="33"/>
  <c r="A2353" i="33"/>
  <c r="B2353" i="33"/>
  <c r="A2354" i="33"/>
  <c r="B2354" i="33"/>
  <c r="A2355" i="33"/>
  <c r="B2355" i="33"/>
  <c r="A2356" i="33"/>
  <c r="B2356" i="33"/>
  <c r="A2357" i="33"/>
  <c r="B2357" i="33"/>
  <c r="A2358" i="33"/>
  <c r="B2358" i="33"/>
  <c r="A2359" i="33"/>
  <c r="B2359" i="33"/>
  <c r="A2360" i="33"/>
  <c r="B2360" i="33"/>
  <c r="A2361" i="33"/>
  <c r="B2361" i="33"/>
  <c r="A2362" i="33"/>
  <c r="B2362" i="33"/>
  <c r="A2363" i="33"/>
  <c r="B2363" i="33"/>
  <c r="A2364" i="33"/>
  <c r="B2364" i="33"/>
  <c r="A2365" i="33"/>
  <c r="B2365" i="33"/>
  <c r="A2366" i="33"/>
  <c r="B2366" i="33"/>
  <c r="A2367" i="33"/>
  <c r="B2367" i="33"/>
  <c r="A2368" i="33"/>
  <c r="B2368" i="33"/>
  <c r="A2369" i="33"/>
  <c r="B2369" i="33"/>
  <c r="A2370" i="33"/>
  <c r="B2370" i="33"/>
  <c r="A2371" i="33"/>
  <c r="B2371" i="33"/>
  <c r="A2372" i="33"/>
  <c r="B2372" i="33"/>
  <c r="A2373" i="33"/>
  <c r="A2374" i="33"/>
  <c r="B2374" i="33"/>
  <c r="A2375" i="33"/>
  <c r="B2375" i="33"/>
  <c r="A2376" i="33"/>
  <c r="B2376" i="33"/>
  <c r="A2377" i="33"/>
  <c r="B2377" i="33"/>
  <c r="A2378" i="33"/>
  <c r="B2378" i="33"/>
  <c r="A2379" i="33"/>
  <c r="B2379" i="33"/>
  <c r="A2380" i="33"/>
  <c r="B2380" i="33"/>
  <c r="A2381" i="33"/>
  <c r="B2381" i="33"/>
  <c r="A2382" i="33"/>
  <c r="B2382" i="33"/>
  <c r="A2383" i="33"/>
  <c r="B2383" i="33"/>
  <c r="A2384" i="33"/>
  <c r="B2384" i="33"/>
  <c r="A2385" i="33"/>
  <c r="B2385" i="33"/>
  <c r="A2386" i="33"/>
  <c r="B2386" i="33"/>
  <c r="A2387" i="33"/>
  <c r="B2387" i="33"/>
  <c r="A2388" i="33"/>
  <c r="B2388" i="33"/>
  <c r="A2389" i="33"/>
  <c r="B2389" i="33"/>
  <c r="A2390" i="33"/>
  <c r="B2390" i="33"/>
  <c r="A2391" i="33"/>
  <c r="B2391" i="33"/>
  <c r="A2392" i="33"/>
  <c r="B2392" i="33"/>
  <c r="A2393" i="33"/>
  <c r="B2393" i="33"/>
  <c r="A2394" i="33"/>
  <c r="B2394" i="33"/>
  <c r="A2395" i="33"/>
  <c r="B2395" i="33"/>
  <c r="A2396" i="33"/>
  <c r="B2396" i="33"/>
  <c r="A2397" i="33"/>
  <c r="B2397" i="33"/>
  <c r="A2398" i="33"/>
  <c r="B2398" i="33"/>
  <c r="A2399" i="33"/>
  <c r="B2399" i="33"/>
  <c r="A2400" i="33"/>
  <c r="B2400" i="33"/>
  <c r="A2401" i="33"/>
  <c r="B2401" i="33"/>
  <c r="A2402" i="33"/>
  <c r="B2402" i="33"/>
  <c r="A2403" i="33"/>
  <c r="B2403" i="33"/>
  <c r="A2404" i="33"/>
  <c r="B2404" i="33"/>
  <c r="A2405" i="33"/>
  <c r="B2405" i="33"/>
  <c r="A2406" i="33"/>
  <c r="B2406" i="33"/>
  <c r="A2407" i="33"/>
  <c r="B2407" i="33"/>
  <c r="A2408" i="33"/>
  <c r="B2408" i="33"/>
  <c r="A2409" i="33"/>
  <c r="B2409" i="33"/>
  <c r="A2410" i="33"/>
  <c r="B2410" i="33"/>
  <c r="A2411" i="33"/>
  <c r="B2411" i="33"/>
  <c r="A2412" i="33"/>
  <c r="B2412" i="33"/>
  <c r="A2413" i="33"/>
  <c r="B2413" i="33"/>
  <c r="A2414" i="33"/>
  <c r="A2415" i="33"/>
  <c r="B2415" i="33"/>
  <c r="A2416" i="33"/>
  <c r="B2416" i="33"/>
  <c r="A2417" i="33"/>
  <c r="B2417" i="33"/>
  <c r="A2418" i="33"/>
  <c r="B2418" i="33"/>
  <c r="A2419" i="33"/>
  <c r="B2419" i="33"/>
  <c r="A2420" i="33"/>
  <c r="B2420" i="33"/>
  <c r="A2421" i="33"/>
  <c r="B2421" i="33"/>
  <c r="A2422" i="33"/>
  <c r="B2422" i="33"/>
  <c r="A2423" i="33"/>
  <c r="B2423" i="33"/>
  <c r="A2424" i="33"/>
  <c r="B2424" i="33"/>
  <c r="A2425" i="33"/>
  <c r="B2425" i="33"/>
  <c r="A2426" i="33"/>
  <c r="B2426" i="33"/>
  <c r="A2427" i="33"/>
  <c r="B2427" i="33"/>
  <c r="A2428" i="33"/>
  <c r="B2428" i="33"/>
  <c r="A2429" i="33"/>
  <c r="B2429" i="33"/>
  <c r="A2430" i="33"/>
  <c r="B2430" i="33"/>
  <c r="A2431" i="33"/>
  <c r="B2431" i="33"/>
  <c r="A2432" i="33"/>
  <c r="B2432" i="33"/>
  <c r="A2433" i="33"/>
  <c r="B2433" i="33"/>
  <c r="A2434" i="33"/>
  <c r="B2434" i="33"/>
  <c r="A2435" i="33"/>
  <c r="B2435" i="33"/>
  <c r="A2436" i="33"/>
  <c r="B2436" i="33"/>
  <c r="A2437" i="33"/>
  <c r="A2438" i="33"/>
  <c r="B2438" i="33"/>
  <c r="A2439" i="33"/>
  <c r="B2439" i="33"/>
  <c r="A2440" i="33"/>
  <c r="B2440" i="33"/>
  <c r="A2441" i="33"/>
  <c r="B2441" i="33"/>
  <c r="A2442" i="33"/>
  <c r="B2442" i="33"/>
  <c r="A2443" i="33"/>
  <c r="B2443" i="33"/>
  <c r="A2444" i="33"/>
  <c r="B2444" i="33"/>
  <c r="A2445" i="33"/>
  <c r="B2445" i="33"/>
  <c r="A2446" i="33"/>
  <c r="B2446" i="33"/>
  <c r="A2447" i="33"/>
  <c r="B2447" i="33"/>
  <c r="A2448" i="33"/>
  <c r="B2448" i="33"/>
  <c r="A2449" i="33"/>
  <c r="B2449" i="33"/>
  <c r="A2450" i="33"/>
  <c r="B2450" i="33"/>
  <c r="A2451" i="33"/>
  <c r="B2451" i="33"/>
  <c r="A2452" i="33"/>
  <c r="B2452" i="33"/>
  <c r="A2453" i="33"/>
  <c r="B2453" i="33"/>
  <c r="A2454" i="33"/>
  <c r="B2454" i="33"/>
  <c r="A2455" i="33"/>
  <c r="B2455" i="33"/>
  <c r="A2456" i="33"/>
  <c r="B2456" i="33"/>
  <c r="A2457" i="33"/>
  <c r="B2457" i="33"/>
  <c r="A2458" i="33"/>
  <c r="B2458" i="33"/>
  <c r="A2459" i="33"/>
  <c r="B2459" i="33"/>
  <c r="A2460" i="33"/>
  <c r="B2460" i="33"/>
  <c r="A2461" i="33"/>
  <c r="B2461" i="33"/>
  <c r="A2462" i="33"/>
  <c r="B2462" i="33"/>
  <c r="A2463" i="33"/>
  <c r="B2463" i="33"/>
  <c r="A2464" i="33"/>
  <c r="B2464" i="33"/>
  <c r="A2465" i="33"/>
  <c r="B2465" i="33"/>
  <c r="A2466" i="33"/>
  <c r="B2466" i="33"/>
  <c r="A2467" i="33"/>
  <c r="B2467" i="33"/>
  <c r="A2468" i="33"/>
  <c r="B2468" i="33"/>
  <c r="A2469" i="33"/>
  <c r="B2469" i="33"/>
  <c r="A2470" i="33"/>
  <c r="B2470" i="33"/>
  <c r="A2471" i="33"/>
  <c r="B2471" i="33"/>
  <c r="A2472" i="33"/>
  <c r="B2472" i="33"/>
  <c r="A2473" i="33"/>
  <c r="B2473" i="33"/>
  <c r="A2474" i="33"/>
  <c r="B2474" i="33"/>
  <c r="A2475" i="33"/>
  <c r="B2475" i="33"/>
  <c r="A2476" i="33"/>
  <c r="B2476" i="33"/>
  <c r="A2477" i="33"/>
  <c r="B2477" i="33"/>
  <c r="A2478" i="33"/>
  <c r="B2478" i="33"/>
  <c r="A2479" i="33"/>
  <c r="B2479" i="33"/>
  <c r="A2480" i="33"/>
  <c r="B2480" i="33"/>
  <c r="A2481" i="33"/>
  <c r="B2481" i="33"/>
  <c r="A2482" i="33"/>
  <c r="B2482" i="33"/>
  <c r="A2483" i="33"/>
  <c r="B2483" i="33"/>
  <c r="A2484" i="33"/>
  <c r="B2484" i="33"/>
  <c r="A2485" i="33"/>
  <c r="B2485" i="33"/>
  <c r="A2486" i="33"/>
  <c r="B2486" i="33"/>
  <c r="A2487" i="33"/>
  <c r="B2487" i="33"/>
  <c r="A2488" i="33"/>
  <c r="B2488" i="33"/>
  <c r="A2489" i="33"/>
  <c r="B2489" i="33"/>
  <c r="A2490" i="33"/>
  <c r="B2490" i="33"/>
  <c r="A2491" i="33"/>
  <c r="B2491" i="33"/>
  <c r="A2492" i="33"/>
  <c r="B2492" i="33"/>
  <c r="A2493" i="33"/>
  <c r="B2493" i="33"/>
  <c r="A2494" i="33"/>
  <c r="B2494" i="33"/>
  <c r="A2495" i="33"/>
  <c r="B2495" i="33"/>
  <c r="A2496" i="33"/>
  <c r="B2496" i="33"/>
  <c r="A2497" i="33"/>
  <c r="B2497" i="33"/>
  <c r="A2498" i="33"/>
  <c r="B2498" i="33"/>
  <c r="A2499" i="33"/>
  <c r="B2499" i="33"/>
  <c r="A2500" i="33"/>
  <c r="B2500" i="33"/>
  <c r="A2501" i="33"/>
  <c r="B2501" i="33"/>
  <c r="A2502" i="33"/>
  <c r="B2502" i="33"/>
  <c r="A2503" i="33"/>
  <c r="B2503" i="33"/>
  <c r="A2504" i="33"/>
  <c r="B2504" i="33"/>
  <c r="A2505" i="33"/>
  <c r="B2505" i="33"/>
  <c r="A2506" i="33"/>
  <c r="B2506" i="33"/>
  <c r="A2507" i="33"/>
  <c r="B2507" i="33"/>
  <c r="A2508" i="33"/>
  <c r="B2508" i="33"/>
  <c r="A2509" i="33"/>
  <c r="B2509" i="33"/>
  <c r="A2510" i="33"/>
  <c r="B2510" i="33"/>
  <c r="A2511" i="33"/>
  <c r="B2511" i="33"/>
  <c r="A2512" i="33"/>
  <c r="B2512" i="33"/>
  <c r="A2513" i="33"/>
  <c r="B2513" i="33"/>
  <c r="A2514" i="33"/>
  <c r="B2514" i="33"/>
  <c r="A2515" i="33"/>
  <c r="B2515" i="33"/>
  <c r="A2516" i="33"/>
  <c r="B2516" i="33"/>
  <c r="A2517" i="33"/>
  <c r="B2517" i="33"/>
  <c r="A2518" i="33"/>
  <c r="B2518" i="33"/>
  <c r="A2519" i="33"/>
  <c r="B2519" i="33"/>
  <c r="A2520" i="33"/>
  <c r="B2520" i="33"/>
  <c r="A2521" i="33"/>
  <c r="B2521" i="33"/>
  <c r="A2522" i="33"/>
  <c r="A2523" i="33"/>
  <c r="B2523" i="33"/>
  <c r="A2524" i="33"/>
  <c r="B2524" i="33"/>
  <c r="A2525" i="33"/>
  <c r="B2525" i="33"/>
  <c r="A2526" i="33"/>
  <c r="B2526" i="33"/>
  <c r="A2527" i="33"/>
  <c r="B2527" i="33"/>
  <c r="A2528" i="33"/>
  <c r="B2528" i="33"/>
  <c r="A2529" i="33"/>
  <c r="B2529" i="33"/>
  <c r="A2530" i="33"/>
  <c r="B2530" i="33"/>
  <c r="A2531" i="33"/>
  <c r="B2531" i="33"/>
  <c r="A2532" i="33"/>
  <c r="B2532" i="33"/>
  <c r="A2533" i="33"/>
  <c r="B2533" i="33"/>
  <c r="A2534" i="33"/>
  <c r="B2534" i="33"/>
  <c r="A2535" i="33"/>
  <c r="B2535" i="33"/>
  <c r="A2536" i="33"/>
  <c r="B2536" i="33"/>
  <c r="A2537" i="33"/>
  <c r="B2537" i="33"/>
  <c r="A2538" i="33"/>
  <c r="B2538" i="33"/>
  <c r="A2539" i="33"/>
  <c r="B2539" i="33"/>
  <c r="A2540" i="33"/>
  <c r="B2540" i="33"/>
  <c r="A2541" i="33"/>
  <c r="B2541" i="33"/>
  <c r="A2542" i="33"/>
  <c r="B2542" i="33"/>
  <c r="A2543" i="33"/>
  <c r="B2543" i="33"/>
  <c r="A2544" i="33"/>
  <c r="B2544" i="33"/>
  <c r="A2545" i="33"/>
  <c r="B2545" i="33"/>
  <c r="A2546" i="33"/>
  <c r="B2546" i="33"/>
  <c r="A2547" i="33"/>
  <c r="B2547" i="33"/>
  <c r="A2548" i="33"/>
  <c r="B2548" i="33"/>
  <c r="B2550" i="33"/>
  <c r="A2551" i="33"/>
  <c r="B2551" i="33"/>
  <c r="A2552" i="33"/>
  <c r="B2552" i="33"/>
  <c r="A2553" i="33"/>
  <c r="B2553" i="33"/>
  <c r="A2554" i="33"/>
  <c r="B2554" i="33"/>
  <c r="A2555" i="33"/>
  <c r="B2555" i="33"/>
  <c r="A2556" i="33"/>
  <c r="A2557" i="33"/>
  <c r="B2557" i="33"/>
  <c r="A2558" i="33"/>
  <c r="B2558" i="33"/>
  <c r="A2559" i="33"/>
  <c r="B2559" i="33"/>
  <c r="A2560" i="33"/>
  <c r="B2560" i="33"/>
  <c r="A2561" i="33"/>
  <c r="B2561" i="33"/>
  <c r="A2562" i="33"/>
  <c r="B2562" i="33"/>
  <c r="A2563" i="33"/>
  <c r="B2563" i="33"/>
  <c r="A2564" i="33"/>
  <c r="B2564" i="33"/>
  <c r="A2565" i="33"/>
  <c r="B2565" i="33"/>
  <c r="A2566" i="33"/>
  <c r="A2567" i="33"/>
  <c r="B2567" i="33"/>
  <c r="A2568" i="33"/>
  <c r="B2568" i="33"/>
  <c r="B2569" i="33"/>
  <c r="A2570" i="33"/>
  <c r="B2570" i="33"/>
  <c r="A2571" i="33"/>
  <c r="B2571" i="33"/>
  <c r="A2572" i="33"/>
  <c r="B2572" i="33"/>
  <c r="A2573" i="33"/>
  <c r="B2573" i="33"/>
  <c r="A2574" i="33"/>
  <c r="B2574" i="33"/>
  <c r="A2575" i="33"/>
  <c r="B2575" i="33"/>
  <c r="A2576" i="33"/>
  <c r="B2576" i="33"/>
  <c r="A2577" i="33"/>
  <c r="B2577" i="33"/>
  <c r="A2578" i="33"/>
  <c r="B2578" i="33"/>
  <c r="A2579" i="33"/>
  <c r="B2579" i="33"/>
  <c r="A2580" i="33"/>
  <c r="B2580" i="33"/>
  <c r="A2581" i="33"/>
  <c r="B2581" i="33"/>
  <c r="A2582" i="33"/>
  <c r="B2582" i="33"/>
  <c r="A2583" i="33"/>
  <c r="B2583" i="33"/>
  <c r="A2584" i="33"/>
  <c r="B2584" i="33"/>
  <c r="A2585" i="33"/>
  <c r="B2585" i="33"/>
  <c r="A2586" i="33"/>
  <c r="B2586" i="33"/>
  <c r="A2587" i="33"/>
  <c r="B2587" i="33"/>
  <c r="A2588" i="33"/>
  <c r="B2588" i="33"/>
  <c r="A2589" i="33"/>
  <c r="B2589" i="33"/>
  <c r="A2591" i="33"/>
  <c r="B2591" i="33"/>
  <c r="A2592" i="33"/>
  <c r="B2592" i="33"/>
  <c r="A2593" i="33"/>
  <c r="B2593" i="33"/>
  <c r="A2594" i="33"/>
  <c r="B2594" i="33"/>
  <c r="A2595" i="33"/>
  <c r="B2595" i="33"/>
  <c r="A2596" i="33"/>
  <c r="B2596" i="33"/>
  <c r="A2597" i="33"/>
  <c r="B2597" i="33"/>
  <c r="A2598" i="33"/>
  <c r="B2598" i="33"/>
  <c r="A2599" i="33"/>
  <c r="B2599" i="33"/>
  <c r="A2600" i="33"/>
  <c r="B2600" i="33"/>
  <c r="A2601" i="33"/>
  <c r="B2601" i="33"/>
  <c r="A2602" i="33"/>
  <c r="B2602" i="33"/>
  <c r="A2603" i="33"/>
  <c r="B2603" i="33"/>
  <c r="A2604" i="33"/>
  <c r="B2604" i="33"/>
  <c r="A2605" i="33"/>
  <c r="B2605" i="33"/>
  <c r="A2606" i="33"/>
  <c r="B2606" i="33"/>
  <c r="A2607" i="33"/>
  <c r="B2607" i="33"/>
  <c r="A2608" i="33"/>
  <c r="B2608" i="33"/>
  <c r="A2609" i="33"/>
  <c r="B2609" i="33"/>
  <c r="A2610" i="33"/>
  <c r="B2610" i="33"/>
  <c r="A2611" i="33"/>
  <c r="B2611" i="33"/>
  <c r="A2612" i="33"/>
  <c r="B2612" i="33"/>
  <c r="A2613" i="33"/>
  <c r="B2613" i="33"/>
  <c r="A2614" i="33"/>
  <c r="B2614" i="33"/>
  <c r="A2615" i="33"/>
  <c r="B2615" i="33"/>
  <c r="A2616" i="33"/>
  <c r="B2616" i="33"/>
  <c r="A2617" i="33"/>
  <c r="B2617" i="33"/>
  <c r="A2618" i="33"/>
  <c r="B2618" i="33"/>
  <c r="A2619" i="33"/>
  <c r="B2619" i="33"/>
  <c r="A2620" i="33"/>
  <c r="B2620" i="33"/>
  <c r="A2621" i="33"/>
  <c r="B2621" i="33"/>
  <c r="A2622" i="33"/>
  <c r="B2622" i="33"/>
  <c r="A2623" i="33"/>
  <c r="B2623" i="33"/>
  <c r="A2624" i="33"/>
  <c r="B2624" i="33"/>
  <c r="A2625" i="33"/>
  <c r="B2625" i="33"/>
  <c r="A2626" i="33"/>
  <c r="B2626" i="33"/>
  <c r="A2627" i="33"/>
  <c r="B2627" i="33"/>
  <c r="A2628" i="33"/>
  <c r="B2628" i="33"/>
  <c r="A2629" i="33"/>
  <c r="B2629" i="33"/>
  <c r="A2630" i="33"/>
  <c r="B2630" i="33"/>
  <c r="A2631" i="33"/>
  <c r="B2631" i="33"/>
  <c r="A2632" i="33"/>
  <c r="B2632" i="33"/>
  <c r="A2633" i="33"/>
  <c r="B2633" i="33"/>
  <c r="A2634" i="33"/>
  <c r="B2634" i="33"/>
  <c r="A2635" i="33"/>
  <c r="B2635" i="33"/>
  <c r="A2636" i="33"/>
  <c r="B2636" i="33"/>
  <c r="A2637" i="33"/>
  <c r="B2637" i="33"/>
  <c r="A2638" i="33"/>
  <c r="B2638" i="33"/>
  <c r="A2639" i="33"/>
  <c r="B2639" i="33"/>
  <c r="A2640" i="33"/>
  <c r="B2640" i="33"/>
  <c r="A2641" i="33"/>
  <c r="B2641" i="33"/>
  <c r="A2642" i="33"/>
  <c r="B2642" i="33"/>
  <c r="A2643" i="33"/>
  <c r="B2643" i="33"/>
  <c r="A2644" i="33"/>
  <c r="B2644" i="33"/>
  <c r="A2645" i="33"/>
  <c r="B2645" i="33"/>
  <c r="A2646" i="33"/>
  <c r="B2646" i="33"/>
  <c r="A2647" i="33"/>
  <c r="B2647" i="33"/>
  <c r="A2648" i="33"/>
  <c r="B2648" i="33"/>
  <c r="A2649" i="33"/>
  <c r="B2649" i="33"/>
  <c r="A2650" i="33"/>
  <c r="B2650" i="33"/>
  <c r="A2651" i="33"/>
  <c r="B2651" i="33"/>
  <c r="A2652" i="33"/>
  <c r="B2652" i="33"/>
  <c r="A2653" i="33"/>
  <c r="B2653" i="33"/>
  <c r="A2654" i="33"/>
  <c r="B2654" i="33"/>
  <c r="A2655" i="33"/>
  <c r="B2655" i="33"/>
  <c r="A2656" i="33"/>
  <c r="B2656" i="33"/>
  <c r="A2657" i="33"/>
  <c r="B2657" i="33"/>
  <c r="A2658" i="33"/>
  <c r="B2658" i="33"/>
  <c r="A2659" i="33"/>
  <c r="B2659" i="33"/>
  <c r="A2660" i="33"/>
  <c r="B2660" i="33"/>
  <c r="A2661" i="33"/>
  <c r="B2661" i="33"/>
  <c r="A2662" i="33"/>
  <c r="B2662" i="33"/>
  <c r="A2663" i="33"/>
  <c r="B2663" i="33"/>
  <c r="A2664" i="33"/>
  <c r="B2664" i="33"/>
  <c r="A2665" i="33"/>
  <c r="B2665" i="33"/>
  <c r="A2666" i="33"/>
  <c r="B2666" i="33"/>
  <c r="A2667" i="33"/>
  <c r="B2667" i="33"/>
  <c r="A2668" i="33"/>
  <c r="B2668" i="33"/>
  <c r="A2669" i="33"/>
  <c r="B2669" i="33"/>
  <c r="A2670" i="33"/>
  <c r="B2670" i="33"/>
  <c r="A2671" i="33"/>
  <c r="B2671" i="33"/>
  <c r="A2672" i="33"/>
  <c r="B2672" i="33"/>
  <c r="A2673" i="33"/>
  <c r="B2673" i="33"/>
  <c r="A2674" i="33"/>
  <c r="B2674" i="33"/>
  <c r="A2675" i="33"/>
  <c r="B2675" i="33"/>
  <c r="A2676" i="33"/>
  <c r="B2676" i="33"/>
  <c r="A2677" i="33"/>
  <c r="B2677" i="33"/>
  <c r="A2678" i="33"/>
  <c r="B2678" i="33"/>
  <c r="A2679" i="33"/>
  <c r="B2679" i="33"/>
  <c r="A2680" i="33"/>
  <c r="B2680" i="33"/>
  <c r="A2681" i="33"/>
  <c r="B2681" i="33"/>
  <c r="A2682" i="33"/>
  <c r="B2682" i="33"/>
  <c r="A2683" i="33"/>
  <c r="B2683" i="33"/>
  <c r="A2684" i="33"/>
  <c r="B2684" i="33"/>
  <c r="A2685" i="33"/>
  <c r="B2685" i="33"/>
  <c r="A2686" i="33"/>
  <c r="B2686" i="33"/>
  <c r="A2687" i="33"/>
  <c r="B2687" i="33"/>
  <c r="A2688" i="33"/>
  <c r="B2688" i="33"/>
  <c r="A2689" i="33"/>
  <c r="A2690" i="33"/>
  <c r="B2690" i="33"/>
  <c r="A2691" i="33"/>
  <c r="B2691" i="33"/>
  <c r="A2692" i="33"/>
  <c r="A2693" i="33"/>
  <c r="B2693" i="33"/>
  <c r="A2694" i="33"/>
  <c r="B2694" i="33"/>
  <c r="A2695" i="33"/>
  <c r="B2695" i="33"/>
  <c r="A2696" i="33"/>
  <c r="B2696" i="33"/>
  <c r="A2697" i="33"/>
  <c r="B2697" i="33"/>
  <c r="A2711" i="33"/>
  <c r="B2711" i="33"/>
  <c r="A2712" i="33"/>
  <c r="A2713" i="33"/>
  <c r="B2713" i="33"/>
  <c r="A2714" i="33"/>
  <c r="B2714" i="33"/>
  <c r="A2715" i="33"/>
  <c r="B2715" i="33"/>
  <c r="A2716" i="33"/>
  <c r="B2716" i="33"/>
  <c r="A2717" i="33"/>
  <c r="B2717" i="33"/>
  <c r="A2718" i="33"/>
  <c r="B2718" i="33"/>
  <c r="A2719" i="33"/>
  <c r="B2719" i="33"/>
  <c r="A2720" i="33"/>
  <c r="B2720" i="33"/>
  <c r="A2721" i="33"/>
  <c r="B2721" i="33"/>
  <c r="A2722" i="33"/>
  <c r="B2722" i="33"/>
  <c r="A2723" i="33"/>
  <c r="B2723" i="33"/>
  <c r="A2724" i="33"/>
  <c r="B2724" i="33"/>
  <c r="A2725" i="33"/>
  <c r="B2725" i="33"/>
  <c r="A2726" i="33"/>
  <c r="B2726" i="33"/>
  <c r="A2727" i="33"/>
  <c r="B2727" i="33"/>
  <c r="A2728" i="33"/>
  <c r="B2728" i="33"/>
  <c r="A2729" i="33"/>
  <c r="B2729" i="33"/>
  <c r="A2730" i="33"/>
  <c r="B2730" i="33"/>
  <c r="A2731" i="33"/>
  <c r="B2731" i="33"/>
  <c r="A2732" i="33"/>
  <c r="B2732" i="33"/>
  <c r="A2733" i="33"/>
  <c r="B2733" i="33"/>
  <c r="A2734" i="33"/>
  <c r="B2734" i="33"/>
  <c r="A2735" i="33"/>
  <c r="B2735" i="33"/>
  <c r="A2736" i="33"/>
  <c r="B2736" i="33"/>
  <c r="A2737" i="33"/>
  <c r="B2737" i="33"/>
  <c r="A2738" i="33"/>
  <c r="B2738" i="33"/>
  <c r="A2739" i="33"/>
  <c r="B2739" i="33"/>
  <c r="A2740" i="33"/>
  <c r="B2740" i="33"/>
  <c r="A2741" i="33"/>
  <c r="B2741" i="33"/>
  <c r="A2742" i="33"/>
  <c r="B2742" i="33"/>
  <c r="A2743" i="33"/>
  <c r="B2743" i="33"/>
  <c r="A2744" i="33"/>
  <c r="B2744" i="33"/>
  <c r="A2745" i="33"/>
  <c r="B2745" i="33"/>
  <c r="A2746" i="33"/>
  <c r="B2746" i="33"/>
  <c r="A2747" i="33"/>
  <c r="B2747" i="33"/>
  <c r="A2748" i="33"/>
  <c r="B2748" i="33"/>
  <c r="A2749" i="33"/>
  <c r="B2749" i="33"/>
  <c r="A2750" i="33"/>
  <c r="B2750" i="33"/>
  <c r="A2751" i="33"/>
  <c r="B2751" i="33"/>
  <c r="A2752" i="33"/>
  <c r="B2752" i="33"/>
  <c r="A2753" i="33"/>
  <c r="B2753" i="33"/>
  <c r="A2754" i="33"/>
  <c r="B2754" i="33"/>
  <c r="A2755" i="33"/>
  <c r="B2755" i="33"/>
  <c r="A2756" i="33"/>
  <c r="B2756" i="33"/>
  <c r="A2757" i="33"/>
  <c r="B2757" i="33"/>
  <c r="A2758" i="33"/>
  <c r="B2758" i="33"/>
  <c r="A2759" i="33"/>
  <c r="B2759" i="33"/>
  <c r="A2760" i="33"/>
  <c r="B2760" i="33"/>
  <c r="A2761" i="33"/>
  <c r="B2761" i="33"/>
  <c r="A2762" i="33"/>
  <c r="B2762" i="33"/>
  <c r="A2763" i="33"/>
  <c r="B2763" i="33"/>
  <c r="A2764" i="33"/>
  <c r="B2764" i="33"/>
  <c r="A2765" i="33"/>
  <c r="B2765" i="33"/>
  <c r="A2766" i="33"/>
  <c r="B2766" i="33"/>
  <c r="A2767" i="33"/>
  <c r="B2767" i="33"/>
  <c r="A2768" i="33"/>
  <c r="B2768" i="33"/>
  <c r="A2769" i="33"/>
  <c r="B2769" i="33"/>
  <c r="A2770" i="33"/>
  <c r="B2770" i="33"/>
  <c r="A2771" i="33"/>
  <c r="B2771" i="33"/>
  <c r="A2772" i="33"/>
  <c r="B2772" i="33"/>
  <c r="A2773" i="33"/>
  <c r="B2773" i="33"/>
  <c r="A2774" i="33"/>
  <c r="B2774" i="33"/>
  <c r="A2775" i="33"/>
  <c r="B2775" i="33"/>
  <c r="A2776" i="33"/>
  <c r="B2776" i="33"/>
  <c r="A2777" i="33"/>
  <c r="B2777" i="33"/>
  <c r="A2778" i="33"/>
  <c r="B2778" i="33"/>
  <c r="A2779" i="33"/>
  <c r="B2779" i="33"/>
  <c r="A2780" i="33"/>
  <c r="B2780" i="33"/>
  <c r="A2781" i="33"/>
  <c r="B2781" i="33"/>
  <c r="A2782" i="33"/>
  <c r="B2782" i="33"/>
  <c r="A2783" i="33"/>
  <c r="B2783" i="33"/>
  <c r="A2784" i="33"/>
  <c r="B2784" i="33"/>
  <c r="A2785" i="33"/>
  <c r="B2785" i="33"/>
  <c r="A2786" i="33"/>
  <c r="B2786" i="33"/>
  <c r="A2787" i="33"/>
  <c r="B2787" i="33"/>
  <c r="A2788" i="33"/>
  <c r="B2788" i="33"/>
  <c r="A2789" i="33"/>
  <c r="B2789" i="33"/>
  <c r="A2790" i="33"/>
  <c r="B2790" i="33"/>
  <c r="A2791" i="33"/>
  <c r="B2791" i="33"/>
  <c r="A2792" i="33"/>
  <c r="A2793" i="33"/>
  <c r="B2793" i="33"/>
  <c r="A2794" i="33"/>
  <c r="B2794" i="33"/>
  <c r="A2795" i="33"/>
  <c r="A2796" i="33"/>
  <c r="B2796" i="33"/>
  <c r="A2797" i="33"/>
  <c r="B2797" i="33"/>
  <c r="A2798" i="33"/>
  <c r="B2798" i="33"/>
  <c r="A2799" i="33"/>
  <c r="B2799" i="33"/>
  <c r="A2800" i="33"/>
  <c r="B2800" i="33"/>
  <c r="A2801" i="33"/>
  <c r="B2801" i="33"/>
  <c r="A2802" i="33"/>
  <c r="B2802" i="33"/>
  <c r="A2803" i="33"/>
  <c r="B2803" i="33"/>
  <c r="A2804" i="33"/>
  <c r="B2804" i="33"/>
  <c r="A2805" i="33"/>
  <c r="B2805" i="33"/>
  <c r="A2806" i="33"/>
  <c r="B2806" i="33"/>
  <c r="A2807" i="33"/>
  <c r="B2807" i="33"/>
  <c r="A2808" i="33"/>
  <c r="B2808" i="33"/>
  <c r="A2809" i="33"/>
  <c r="B2809" i="33"/>
  <c r="A2810" i="33"/>
  <c r="B2810" i="33"/>
  <c r="A2811" i="33"/>
  <c r="A2812" i="33"/>
  <c r="B2812" i="33"/>
  <c r="A2813" i="33"/>
  <c r="B2813" i="33"/>
  <c r="A2814" i="33"/>
  <c r="B2814" i="33"/>
  <c r="A2815" i="33"/>
  <c r="B2815" i="33"/>
  <c r="A2816" i="33"/>
  <c r="B2816" i="33"/>
  <c r="A2817" i="33"/>
  <c r="A2818" i="33"/>
  <c r="B2818" i="33"/>
  <c r="A2819" i="33"/>
  <c r="B2819" i="33"/>
  <c r="A2820" i="33"/>
  <c r="A2821" i="33"/>
  <c r="B2821" i="33"/>
  <c r="A2822" i="33"/>
  <c r="B2822" i="33"/>
  <c r="A2823" i="33"/>
  <c r="B2823" i="33"/>
  <c r="A2824" i="33"/>
  <c r="B2824" i="33"/>
  <c r="A2825" i="33"/>
  <c r="B2825" i="33"/>
  <c r="A2826" i="33"/>
  <c r="B2826" i="33"/>
  <c r="A2827" i="33"/>
  <c r="B2827" i="33"/>
  <c r="A2828" i="33"/>
  <c r="B2828" i="33"/>
  <c r="A2829" i="33"/>
  <c r="B2829" i="33"/>
  <c r="A2830" i="33"/>
  <c r="B2830" i="33"/>
  <c r="A2831" i="33"/>
  <c r="B2831" i="33"/>
  <c r="A2832" i="33"/>
  <c r="B2832" i="33"/>
  <c r="A2833" i="33"/>
  <c r="B2833" i="33"/>
  <c r="A2834" i="33"/>
  <c r="B2834" i="33"/>
  <c r="A2835" i="33"/>
  <c r="B2835" i="33"/>
  <c r="A2836" i="33"/>
  <c r="B2836" i="33"/>
  <c r="A2837" i="33"/>
  <c r="B2837" i="33"/>
  <c r="A2838" i="33"/>
  <c r="B2838" i="33"/>
  <c r="A2839" i="33"/>
  <c r="B2839" i="33"/>
  <c r="A2840" i="33"/>
  <c r="B2840" i="33"/>
  <c r="A2841" i="33"/>
  <c r="B2841" i="33"/>
  <c r="A2842" i="33"/>
  <c r="B2842" i="33"/>
  <c r="A2843" i="33"/>
  <c r="B2843" i="33"/>
  <c r="A2844" i="33"/>
  <c r="B2844" i="33"/>
  <c r="A2845" i="33"/>
  <c r="B2845" i="33"/>
  <c r="A2846" i="33"/>
  <c r="B2846" i="33"/>
  <c r="A2847" i="33"/>
  <c r="B2847" i="33"/>
  <c r="A2848" i="33"/>
  <c r="B2848" i="33"/>
  <c r="A2849" i="33"/>
  <c r="B2849" i="33"/>
  <c r="A2850" i="33"/>
  <c r="B2850" i="33"/>
  <c r="A2851" i="33"/>
  <c r="B2851" i="33"/>
  <c r="A2852" i="33"/>
  <c r="B2852" i="33"/>
  <c r="A2853" i="33"/>
  <c r="B2853" i="33"/>
  <c r="A2854" i="33"/>
  <c r="B2854" i="33"/>
  <c r="A2855" i="33"/>
  <c r="B2855" i="33"/>
  <c r="A2856" i="33"/>
  <c r="B2856" i="33"/>
  <c r="A2857" i="33"/>
  <c r="B2857" i="33"/>
  <c r="A2858" i="33"/>
  <c r="B2858" i="33"/>
  <c r="A2859" i="33"/>
  <c r="B2859" i="33"/>
  <c r="A2860" i="33"/>
  <c r="B2860" i="33"/>
  <c r="A2861" i="33"/>
  <c r="B2861" i="33"/>
  <c r="A2862" i="33"/>
  <c r="B2862" i="33"/>
  <c r="A2863" i="33"/>
  <c r="B2863" i="33"/>
  <c r="A2864" i="33"/>
  <c r="B2864" i="33"/>
  <c r="A2865" i="33"/>
  <c r="B2865" i="33"/>
  <c r="A2866" i="33"/>
  <c r="B2866" i="33"/>
  <c r="A2867" i="33"/>
  <c r="B2867" i="33"/>
  <c r="A2868" i="33"/>
  <c r="B2868" i="33"/>
  <c r="A2869" i="33"/>
  <c r="B2869" i="33"/>
  <c r="A2870" i="33"/>
  <c r="B2870" i="33"/>
  <c r="A2871" i="33"/>
  <c r="B2871" i="33"/>
  <c r="A2872" i="33"/>
  <c r="B2872" i="33"/>
  <c r="A2873" i="33"/>
  <c r="B2873" i="33"/>
  <c r="A2874" i="33"/>
  <c r="B2874" i="33"/>
  <c r="A2875" i="33"/>
  <c r="B2875" i="33"/>
  <c r="A2876" i="33"/>
  <c r="B2876" i="33"/>
  <c r="A2877" i="33"/>
  <c r="B2877" i="33"/>
  <c r="A2878" i="33"/>
  <c r="B2878" i="33"/>
  <c r="A2879" i="33"/>
  <c r="B2879" i="33"/>
  <c r="A2880" i="33"/>
  <c r="B2880" i="33"/>
  <c r="A2881" i="33"/>
  <c r="B2881" i="33"/>
  <c r="A2882" i="33"/>
  <c r="B2882" i="33"/>
  <c r="A2883" i="33"/>
  <c r="B2883" i="33"/>
  <c r="A2884" i="33"/>
  <c r="B2884" i="33"/>
  <c r="A2885" i="33"/>
  <c r="B2885" i="33"/>
  <c r="A2886" i="33"/>
  <c r="A2887" i="33"/>
  <c r="B2887" i="33"/>
  <c r="A2888" i="33"/>
  <c r="B2888" i="33"/>
  <c r="A2889" i="33"/>
  <c r="B2889" i="33"/>
  <c r="A2890" i="33"/>
  <c r="B2890" i="33"/>
  <c r="A2891" i="33"/>
  <c r="B2891" i="33"/>
  <c r="A2892" i="33"/>
  <c r="B2892" i="33"/>
  <c r="A2893" i="33"/>
  <c r="B2893" i="33"/>
  <c r="A2894" i="33"/>
  <c r="B2894" i="33"/>
  <c r="A2895" i="33"/>
  <c r="B2895" i="33"/>
  <c r="A2896" i="33"/>
  <c r="A2897" i="33"/>
  <c r="B2897" i="33"/>
  <c r="A2898" i="33"/>
  <c r="B2898" i="33"/>
  <c r="A2899" i="33"/>
  <c r="B2899" i="33"/>
  <c r="A2900" i="33"/>
  <c r="B2900" i="33"/>
  <c r="A2901" i="33"/>
  <c r="B2901" i="33"/>
  <c r="A2902" i="33"/>
  <c r="B2902" i="33"/>
  <c r="A2903" i="33"/>
  <c r="B2903" i="33"/>
  <c r="A2904" i="33"/>
  <c r="B2904" i="33"/>
  <c r="A2905" i="33"/>
  <c r="B2905" i="33"/>
  <c r="A2906" i="33"/>
  <c r="B2906" i="33"/>
  <c r="A2907" i="33"/>
  <c r="B2907" i="33"/>
  <c r="A2908" i="33"/>
  <c r="B2908" i="33"/>
  <c r="A2909" i="33"/>
  <c r="B2909" i="33"/>
  <c r="A2910" i="33"/>
  <c r="B2910" i="33"/>
  <c r="A2911" i="33"/>
  <c r="B2911" i="33"/>
  <c r="A2912" i="33"/>
  <c r="B2912" i="33"/>
  <c r="A2913" i="33"/>
  <c r="B2913" i="33"/>
  <c r="A2914" i="33"/>
  <c r="B2914" i="33"/>
  <c r="A2915" i="33"/>
  <c r="B2915" i="33"/>
  <c r="A2916" i="33"/>
  <c r="B2916" i="33"/>
  <c r="A2917" i="33"/>
  <c r="B2917" i="33"/>
  <c r="A2918" i="33"/>
  <c r="B2918" i="33"/>
  <c r="A2919" i="33"/>
  <c r="B2919" i="33"/>
  <c r="A2920" i="33"/>
  <c r="B2920" i="33"/>
  <c r="A2921" i="33"/>
  <c r="B2921" i="33"/>
  <c r="A2922" i="33"/>
  <c r="B2922" i="33"/>
  <c r="A2923" i="33"/>
  <c r="B2923" i="33"/>
  <c r="A2924" i="33"/>
  <c r="B2924" i="33"/>
  <c r="A2925" i="33"/>
  <c r="B2925" i="33"/>
  <c r="A2926" i="33"/>
  <c r="B2926" i="33"/>
  <c r="A2927" i="33"/>
  <c r="B2927" i="33"/>
  <c r="A2928" i="33"/>
  <c r="B2928" i="33"/>
  <c r="A2929" i="33"/>
  <c r="B2929" i="33"/>
  <c r="A2930" i="33"/>
  <c r="B2930" i="33"/>
  <c r="A2931" i="33"/>
  <c r="B2931" i="33"/>
  <c r="A2932" i="33"/>
  <c r="B2932" i="33"/>
  <c r="A2933" i="33"/>
  <c r="B2933" i="33"/>
  <c r="A2934" i="33"/>
  <c r="B2934" i="33"/>
  <c r="A2935" i="33"/>
  <c r="B2935" i="33"/>
  <c r="A2936" i="33"/>
  <c r="B2936" i="33"/>
  <c r="A2937" i="33"/>
  <c r="B2937" i="33"/>
  <c r="A2938" i="33"/>
  <c r="B2938" i="33"/>
  <c r="A2939" i="33"/>
  <c r="B2939" i="33"/>
  <c r="A2940" i="33"/>
  <c r="B2940" i="33"/>
  <c r="A2941" i="33"/>
  <c r="B2941" i="33"/>
  <c r="A2942" i="33"/>
  <c r="B2942" i="33"/>
  <c r="A2943" i="33"/>
  <c r="B2943" i="33"/>
  <c r="A2944" i="33"/>
  <c r="B2944" i="33"/>
  <c r="A2945" i="33"/>
  <c r="B2945" i="33"/>
  <c r="A2946" i="33"/>
  <c r="B2946" i="33"/>
  <c r="A2947" i="33"/>
  <c r="B2947" i="33"/>
  <c r="A2948" i="33"/>
  <c r="B2948" i="33"/>
  <c r="A2949" i="33"/>
  <c r="B2949" i="33"/>
  <c r="A2950" i="33"/>
  <c r="B2950" i="33"/>
  <c r="A2951" i="33"/>
  <c r="B2951" i="33"/>
  <c r="A2952" i="33"/>
  <c r="B2952" i="33"/>
  <c r="A2953" i="33"/>
  <c r="B2953" i="33"/>
  <c r="A2954" i="33"/>
  <c r="B2954" i="33"/>
  <c r="A2955" i="33"/>
  <c r="B2955" i="33"/>
  <c r="A2956" i="33"/>
  <c r="B2956" i="33"/>
  <c r="A2957" i="33"/>
  <c r="B2957" i="33"/>
  <c r="A2958" i="33"/>
  <c r="B2958" i="33"/>
  <c r="A2959" i="33"/>
  <c r="B2959" i="33"/>
  <c r="A2960" i="33"/>
  <c r="B2960" i="33"/>
  <c r="A2961" i="33"/>
  <c r="B2961" i="33"/>
  <c r="A2962" i="33"/>
  <c r="B2962" i="33"/>
  <c r="A2963" i="33"/>
  <c r="B2963" i="33"/>
  <c r="A2964" i="33"/>
  <c r="B2964" i="33"/>
  <c r="A2965" i="33"/>
  <c r="B2965" i="33"/>
  <c r="A2966" i="33"/>
  <c r="B2966" i="33"/>
  <c r="A2967" i="33"/>
  <c r="B2967" i="33"/>
  <c r="A2968" i="33"/>
  <c r="B2968" i="33"/>
  <c r="A2969" i="33"/>
  <c r="B2969" i="33"/>
  <c r="A2970" i="33"/>
  <c r="B2970" i="33"/>
  <c r="A2971" i="33"/>
  <c r="B2971" i="33"/>
  <c r="A2972" i="33"/>
  <c r="B2972" i="33"/>
  <c r="A2973" i="33"/>
  <c r="B2973" i="33"/>
  <c r="A2974" i="33"/>
  <c r="B2974" i="33"/>
  <c r="A2975" i="33"/>
  <c r="B2975" i="33"/>
  <c r="A2976" i="33"/>
  <c r="B2976" i="33"/>
  <c r="A2977" i="33"/>
  <c r="B2977" i="33"/>
  <c r="A2978" i="33"/>
  <c r="B2978" i="33"/>
  <c r="A2979" i="33"/>
  <c r="B2979" i="33"/>
  <c r="A2980" i="33"/>
  <c r="B2980" i="33"/>
  <c r="A2981" i="33"/>
  <c r="B2981" i="33"/>
  <c r="A2982" i="33"/>
  <c r="B2982" i="33"/>
  <c r="A2983" i="33"/>
  <c r="B2983" i="33"/>
  <c r="A2984" i="33"/>
  <c r="B2984" i="33"/>
  <c r="A2985" i="33"/>
  <c r="B2985" i="33"/>
  <c r="A2986" i="33"/>
  <c r="B2986" i="33"/>
  <c r="A2987" i="33"/>
  <c r="B2987" i="33"/>
  <c r="A2988" i="33"/>
  <c r="B2988" i="33"/>
  <c r="A2989" i="33"/>
  <c r="B2989" i="33"/>
  <c r="A2990" i="33"/>
  <c r="B2990" i="33"/>
  <c r="A2991" i="33"/>
  <c r="B2991" i="33"/>
  <c r="A2992" i="33"/>
  <c r="B2992" i="33"/>
  <c r="A2993" i="33"/>
  <c r="B2993" i="33"/>
  <c r="A2994" i="33"/>
  <c r="B2994" i="33"/>
  <c r="A2995" i="33"/>
  <c r="B2995" i="33"/>
  <c r="A2996" i="33"/>
  <c r="B2996" i="33"/>
  <c r="A2997" i="33"/>
  <c r="B2997" i="33"/>
  <c r="A2998" i="33"/>
  <c r="B2998" i="33"/>
  <c r="A2999" i="33"/>
  <c r="B2999" i="33"/>
  <c r="A3000" i="33"/>
  <c r="B3000" i="33"/>
  <c r="A3001" i="33"/>
  <c r="B3001" i="33"/>
  <c r="A3002" i="33"/>
  <c r="B3002" i="33"/>
  <c r="A3003" i="33"/>
  <c r="B3003" i="33"/>
  <c r="A3004" i="33"/>
  <c r="B3004" i="33"/>
  <c r="A3005" i="33"/>
  <c r="B3005" i="33"/>
  <c r="A3006" i="33"/>
  <c r="B3006" i="33"/>
  <c r="A3007" i="33"/>
  <c r="B3007" i="33"/>
  <c r="A3008" i="33"/>
  <c r="B3008" i="33"/>
  <c r="A3009" i="33"/>
  <c r="A3010" i="33"/>
  <c r="B3010" i="33"/>
  <c r="A3011" i="33"/>
  <c r="B3011" i="33"/>
  <c r="A3012" i="33"/>
  <c r="B3012" i="33"/>
  <c r="A3013" i="33"/>
  <c r="B3013" i="33"/>
  <c r="A3014" i="33"/>
  <c r="B3014" i="33"/>
  <c r="A3015" i="33"/>
  <c r="B3015" i="33"/>
  <c r="A3016" i="33"/>
  <c r="B3016" i="33"/>
  <c r="A3017" i="33"/>
  <c r="B3017" i="33"/>
  <c r="A3018" i="33"/>
  <c r="B3018" i="33"/>
  <c r="A3019" i="33"/>
  <c r="B3019" i="33"/>
  <c r="A3020" i="33"/>
  <c r="B3020" i="33"/>
  <c r="A3021" i="33"/>
  <c r="A3022" i="33"/>
  <c r="B3022" i="33"/>
  <c r="A3023" i="33"/>
  <c r="B3023" i="33"/>
  <c r="A3024" i="33"/>
  <c r="B3024" i="33"/>
  <c r="A3025" i="33"/>
  <c r="B3025" i="33"/>
  <c r="A3026" i="33"/>
  <c r="B3026" i="33"/>
  <c r="A3027" i="33"/>
  <c r="B3027" i="33"/>
  <c r="A3028" i="33"/>
  <c r="B3028" i="33"/>
  <c r="A3029" i="33"/>
  <c r="B3029" i="33"/>
  <c r="A3030" i="33"/>
  <c r="B3030" i="33"/>
  <c r="A3031" i="33"/>
  <c r="B3031" i="33"/>
  <c r="A3032" i="33"/>
  <c r="B3032" i="33"/>
  <c r="A3033" i="33"/>
  <c r="B3033" i="33"/>
  <c r="A3034" i="33"/>
  <c r="B3034" i="33"/>
  <c r="A3035" i="33"/>
  <c r="B3035" i="33"/>
  <c r="A3036" i="33"/>
  <c r="B3036" i="33"/>
  <c r="A3037" i="33"/>
  <c r="B3037" i="33"/>
  <c r="A3038" i="33"/>
  <c r="B3038" i="33"/>
  <c r="A3039" i="33"/>
  <c r="B3039" i="33"/>
  <c r="A3041" i="33"/>
  <c r="B3041" i="33"/>
  <c r="A3042" i="33"/>
  <c r="B3042" i="33"/>
  <c r="A3043" i="33"/>
  <c r="B3043" i="33"/>
  <c r="A3044" i="33"/>
  <c r="B3044" i="33"/>
  <c r="A3045" i="33"/>
  <c r="B3045" i="33"/>
  <c r="A3046" i="33"/>
  <c r="B3046" i="33"/>
  <c r="A3047" i="33"/>
  <c r="B3047" i="33"/>
  <c r="A3048" i="33"/>
  <c r="B3048" i="33"/>
  <c r="A3049" i="33"/>
  <c r="B3049" i="33"/>
  <c r="A3050" i="33"/>
  <c r="B3050" i="33"/>
  <c r="A3051" i="33"/>
  <c r="B3051" i="33"/>
  <c r="A3052" i="33"/>
  <c r="B3052" i="33"/>
  <c r="A3053" i="33"/>
  <c r="B3053" i="33"/>
  <c r="A3054" i="33"/>
  <c r="B3054" i="33"/>
  <c r="A3055" i="33"/>
  <c r="B3055" i="33"/>
  <c r="A3056" i="33"/>
  <c r="B3056" i="33"/>
  <c r="A3057" i="33"/>
  <c r="B3057" i="33"/>
  <c r="A3058" i="33"/>
  <c r="B3058" i="33"/>
  <c r="A3059" i="33"/>
  <c r="A3060" i="33"/>
  <c r="B3060" i="33"/>
  <c r="A3061" i="33"/>
  <c r="B3061" i="33"/>
  <c r="A3062" i="33"/>
  <c r="B3062" i="33"/>
  <c r="A3063" i="33"/>
  <c r="B3063" i="33"/>
  <c r="A3064" i="33"/>
  <c r="B3064" i="33"/>
  <c r="A3065" i="33"/>
  <c r="B3065" i="33"/>
  <c r="A3066" i="33"/>
  <c r="B3066" i="33"/>
  <c r="A3067" i="33"/>
  <c r="B3067" i="33"/>
  <c r="A3068" i="33"/>
  <c r="B3068" i="33"/>
  <c r="A3069" i="33"/>
  <c r="B3069" i="33"/>
  <c r="A3070" i="33"/>
  <c r="B3070" i="33"/>
  <c r="A3071" i="33"/>
  <c r="B3071" i="33"/>
  <c r="A3072" i="33"/>
  <c r="B3072" i="33"/>
  <c r="A3073" i="33"/>
  <c r="B3073" i="33"/>
  <c r="A3074" i="33"/>
  <c r="B3074" i="33"/>
  <c r="A3075" i="33"/>
  <c r="B3075" i="33"/>
  <c r="A3076" i="33"/>
  <c r="B3076" i="33"/>
  <c r="A3077" i="33"/>
  <c r="B3077" i="33"/>
  <c r="A3078" i="33"/>
  <c r="B3078" i="33"/>
  <c r="A3079" i="33"/>
  <c r="B3079" i="33"/>
  <c r="A3080" i="33"/>
  <c r="B3080" i="33"/>
  <c r="A3081" i="33"/>
  <c r="B3081" i="33"/>
  <c r="A3082" i="33"/>
  <c r="B3082" i="33"/>
  <c r="A3083" i="33"/>
  <c r="B3083" i="33"/>
  <c r="A3084" i="33"/>
  <c r="B3084" i="33"/>
  <c r="A3085" i="33"/>
  <c r="B3085" i="33"/>
  <c r="A3086" i="33"/>
  <c r="B3086" i="33"/>
  <c r="A3087" i="33"/>
  <c r="B3087" i="33"/>
  <c r="A3088" i="33"/>
  <c r="B3088" i="33"/>
  <c r="A3089" i="33"/>
  <c r="B3089" i="33"/>
  <c r="A3090" i="33"/>
  <c r="B3090" i="33"/>
  <c r="A3091" i="33"/>
  <c r="B3091" i="33"/>
  <c r="A3092" i="33"/>
  <c r="B3092" i="33"/>
  <c r="A3093" i="33"/>
  <c r="B3093" i="33"/>
  <c r="A3094" i="33"/>
  <c r="B3094" i="33"/>
  <c r="A3095" i="33"/>
  <c r="B3095" i="33"/>
  <c r="A3096" i="33"/>
  <c r="B3096" i="33"/>
  <c r="A3097" i="33"/>
  <c r="B3097" i="33"/>
  <c r="A3098" i="33"/>
  <c r="B3098" i="33"/>
  <c r="A3099" i="33"/>
  <c r="B3099" i="33"/>
  <c r="A3100" i="33"/>
  <c r="B3100" i="33"/>
  <c r="A3101" i="33"/>
  <c r="B3101" i="33"/>
  <c r="A3102" i="33"/>
  <c r="B3102" i="33"/>
  <c r="A3103" i="33"/>
  <c r="B3103" i="33"/>
  <c r="A3104" i="33"/>
  <c r="B3104" i="33"/>
  <c r="A3105" i="33"/>
  <c r="B3105" i="33"/>
  <c r="A3106" i="33"/>
  <c r="B3106" i="33"/>
  <c r="A3107" i="33"/>
  <c r="B3107" i="33"/>
  <c r="A3108" i="33"/>
  <c r="B3108" i="33"/>
  <c r="A3109" i="33"/>
  <c r="B3109" i="33"/>
  <c r="A3110" i="33"/>
  <c r="B3110" i="33"/>
  <c r="A3111" i="33"/>
  <c r="B3111" i="33"/>
  <c r="A3112" i="33"/>
  <c r="B3112" i="33"/>
  <c r="A3113" i="33"/>
  <c r="B3113" i="33"/>
  <c r="A3114" i="33"/>
  <c r="B3114" i="33"/>
  <c r="A3115" i="33"/>
  <c r="B3115" i="33"/>
  <c r="A3116" i="33"/>
  <c r="B3116" i="33"/>
  <c r="A3117" i="33"/>
  <c r="B3117" i="33"/>
  <c r="A3118" i="33"/>
  <c r="B3118" i="33"/>
  <c r="A3119" i="33"/>
  <c r="B3119" i="33"/>
  <c r="A3120" i="33"/>
  <c r="B3120" i="33"/>
  <c r="A3121" i="33"/>
  <c r="B3121" i="33"/>
  <c r="A3122" i="33"/>
  <c r="B3122" i="33"/>
  <c r="A3123" i="33"/>
  <c r="A3124" i="33"/>
  <c r="B3124" i="33"/>
  <c r="A3125" i="33"/>
  <c r="B3125" i="33"/>
  <c r="A3126" i="33"/>
  <c r="B3126" i="33"/>
  <c r="A3127" i="33"/>
  <c r="B3127" i="33"/>
  <c r="A3128" i="33"/>
  <c r="B3128" i="33"/>
  <c r="A3129" i="33"/>
  <c r="B3129" i="33"/>
  <c r="A3130" i="33"/>
  <c r="B3130" i="33"/>
  <c r="A3131" i="33"/>
  <c r="B3131" i="33"/>
  <c r="A3132" i="33"/>
  <c r="B3132" i="33"/>
  <c r="A3133" i="33"/>
  <c r="A3134" i="33"/>
  <c r="B3134" i="33"/>
  <c r="A3135" i="33"/>
  <c r="A3136" i="33"/>
  <c r="B3136" i="33"/>
  <c r="A3137" i="33"/>
  <c r="B3137" i="33"/>
  <c r="A3138" i="33"/>
  <c r="B3138" i="33"/>
  <c r="A3139" i="33"/>
  <c r="B3139" i="33"/>
  <c r="A3140" i="33"/>
  <c r="B3140" i="33"/>
  <c r="A3141" i="33"/>
  <c r="A3142" i="33"/>
  <c r="B3142" i="33"/>
  <c r="A3143" i="33"/>
  <c r="B3143" i="33"/>
  <c r="A3144" i="33"/>
  <c r="B3144" i="33"/>
  <c r="A3145" i="33"/>
  <c r="B3145" i="33"/>
  <c r="A3146" i="33"/>
  <c r="B3146" i="33"/>
  <c r="A3147" i="33"/>
  <c r="B3147" i="33"/>
  <c r="A3148" i="33"/>
  <c r="B3148" i="33"/>
  <c r="A3149" i="33"/>
  <c r="B3149" i="33"/>
  <c r="A3150" i="33"/>
  <c r="B3150" i="33"/>
  <c r="A3151" i="33"/>
  <c r="B3151" i="33"/>
  <c r="A3152" i="33"/>
  <c r="B3152" i="33"/>
  <c r="A3153" i="33"/>
  <c r="B3153" i="33"/>
  <c r="A3154" i="33"/>
  <c r="B3154" i="33"/>
  <c r="A3155" i="33"/>
  <c r="B3155" i="33"/>
  <c r="A3156" i="33"/>
  <c r="B3156" i="33"/>
  <c r="A3157" i="33"/>
  <c r="B3157" i="33"/>
  <c r="A3158" i="33"/>
  <c r="B3158" i="33"/>
  <c r="A3159" i="33"/>
  <c r="B3159" i="33"/>
  <c r="A3160" i="33"/>
  <c r="B3160" i="33"/>
  <c r="A3161" i="33"/>
  <c r="B3161" i="33"/>
  <c r="A3162" i="33"/>
  <c r="B3162" i="33"/>
  <c r="A3163" i="33"/>
  <c r="B3163" i="33"/>
  <c r="A3164" i="33"/>
  <c r="B3164" i="33"/>
  <c r="A3165" i="33"/>
  <c r="B3165" i="33"/>
  <c r="A3166" i="33"/>
  <c r="B3166" i="33"/>
  <c r="A3167" i="33"/>
  <c r="B3167" i="33"/>
  <c r="A3168" i="33"/>
  <c r="B3168" i="33"/>
  <c r="A3169" i="33"/>
  <c r="B3169" i="33"/>
  <c r="A3170" i="33"/>
  <c r="B3170" i="33"/>
  <c r="A3171" i="33"/>
  <c r="B3171" i="33"/>
  <c r="A3172" i="33"/>
  <c r="B3172" i="33"/>
  <c r="A3173" i="33"/>
  <c r="B3173" i="33"/>
  <c r="A3174" i="33"/>
  <c r="B3174" i="33"/>
  <c r="A3175" i="33"/>
  <c r="B3175" i="33"/>
  <c r="A3176" i="33"/>
  <c r="B3176" i="33"/>
  <c r="A3177" i="33"/>
  <c r="B3177" i="33"/>
  <c r="A3178" i="33"/>
  <c r="B3178" i="33"/>
  <c r="A3179" i="33"/>
  <c r="B3179" i="33"/>
  <c r="A3180" i="33"/>
  <c r="B3180" i="33"/>
  <c r="A3181" i="33"/>
  <c r="B3181" i="33"/>
  <c r="A3182" i="33"/>
  <c r="B3182" i="33"/>
  <c r="A3183" i="33"/>
  <c r="B3183" i="33"/>
  <c r="A3184" i="33"/>
  <c r="B3184" i="33"/>
  <c r="A3185" i="33"/>
  <c r="B3185" i="33"/>
  <c r="A3186" i="33"/>
  <c r="B3186" i="33"/>
  <c r="A3187" i="33"/>
  <c r="B3187" i="33"/>
  <c r="A3188" i="33"/>
  <c r="B3188" i="33"/>
  <c r="A3189" i="33"/>
  <c r="B3189" i="33"/>
  <c r="A3190" i="33"/>
  <c r="B3190" i="33"/>
  <c r="A3191" i="33"/>
  <c r="B3191" i="33"/>
  <c r="A3192" i="33"/>
  <c r="B3192" i="33"/>
  <c r="A3193" i="33"/>
  <c r="A3194" i="33"/>
  <c r="B3194" i="33"/>
  <c r="A3195" i="33"/>
  <c r="B3195" i="33"/>
  <c r="A3196" i="33"/>
  <c r="A3197" i="33"/>
  <c r="B3197" i="33"/>
  <c r="A3198" i="33"/>
  <c r="B3198" i="33"/>
  <c r="A3199" i="33"/>
  <c r="B3199" i="33"/>
  <c r="A3200" i="33"/>
  <c r="B3200" i="33"/>
  <c r="A3201" i="33"/>
  <c r="B3201" i="33"/>
  <c r="A3202" i="33"/>
  <c r="B3202" i="33"/>
  <c r="A3203" i="33"/>
  <c r="B3203" i="33"/>
  <c r="A3204" i="33"/>
  <c r="B3204" i="33"/>
  <c r="A3205" i="33"/>
  <c r="B3205" i="33"/>
  <c r="A3206" i="33"/>
  <c r="B3206" i="33"/>
  <c r="A3207" i="33"/>
  <c r="B3207" i="33"/>
  <c r="A3208" i="33"/>
  <c r="B3208" i="33"/>
  <c r="A3209" i="33"/>
  <c r="B3209" i="33"/>
  <c r="A3210" i="33"/>
  <c r="B3210" i="33"/>
  <c r="A3211" i="33"/>
  <c r="B3211" i="33"/>
  <c r="A3212" i="33"/>
  <c r="B3212" i="33"/>
  <c r="A3213" i="33"/>
  <c r="B3213" i="33"/>
  <c r="A3214" i="33"/>
  <c r="B3214" i="33"/>
  <c r="A3215" i="33"/>
  <c r="B3215" i="33"/>
  <c r="A3216" i="33"/>
  <c r="B3216" i="33"/>
  <c r="A3217" i="33"/>
  <c r="B3217" i="33"/>
  <c r="A3218" i="33"/>
  <c r="B3218" i="33"/>
  <c r="A3219" i="33"/>
  <c r="B3219" i="33"/>
  <c r="A3220" i="33"/>
  <c r="B3220" i="33"/>
  <c r="A3221" i="33"/>
  <c r="B3221" i="33"/>
  <c r="A3222" i="33"/>
  <c r="B3222" i="33"/>
  <c r="A3223" i="33"/>
  <c r="B3223" i="33"/>
  <c r="A3224" i="33"/>
  <c r="B3224" i="33"/>
  <c r="A3225" i="33"/>
  <c r="B3225" i="33"/>
  <c r="A3226" i="33"/>
  <c r="B3226" i="33"/>
  <c r="A3227" i="33"/>
  <c r="A3228" i="33"/>
  <c r="B3228" i="33"/>
  <c r="A3229" i="33"/>
  <c r="B3229" i="33"/>
  <c r="A3230" i="33"/>
  <c r="B3230" i="33"/>
  <c r="A3231" i="33"/>
  <c r="B3231" i="33"/>
  <c r="A3232" i="33"/>
  <c r="B3232" i="33"/>
  <c r="A3233" i="33"/>
  <c r="B3233" i="33"/>
  <c r="A3234" i="33"/>
  <c r="B3234" i="33"/>
  <c r="A3235" i="33"/>
  <c r="B3235" i="33"/>
  <c r="A3236" i="33"/>
  <c r="B3236" i="33"/>
  <c r="A3237" i="33"/>
  <c r="B3237" i="33"/>
  <c r="A3238" i="33"/>
  <c r="B3238" i="33"/>
  <c r="A3239" i="33"/>
  <c r="B3239" i="33"/>
  <c r="A3240" i="33"/>
  <c r="B3240" i="33"/>
  <c r="A3241" i="33"/>
  <c r="B3241" i="33"/>
  <c r="A3242" i="33"/>
  <c r="B3242" i="33"/>
  <c r="A3243" i="33"/>
  <c r="A3244" i="33"/>
  <c r="B3244" i="33"/>
  <c r="A3245" i="33"/>
  <c r="B3245" i="33"/>
  <c r="A3246" i="33"/>
  <c r="B3246" i="33"/>
  <c r="A3247" i="33"/>
  <c r="B3247" i="33"/>
  <c r="A3248" i="33"/>
  <c r="B3248" i="33"/>
  <c r="A3249" i="33"/>
  <c r="B3249" i="33"/>
  <c r="A3250" i="33"/>
  <c r="B3250" i="33"/>
  <c r="A3251" i="33"/>
  <c r="B3251" i="33"/>
  <c r="A3252" i="33"/>
  <c r="B3252" i="33"/>
  <c r="A3253" i="33"/>
  <c r="B3253" i="33"/>
  <c r="A3254" i="33"/>
  <c r="B3254" i="33"/>
  <c r="A3255" i="33"/>
  <c r="B3255" i="33"/>
  <c r="A3256" i="33"/>
  <c r="B3256" i="33"/>
  <c r="A3257" i="33"/>
  <c r="B3257" i="33"/>
  <c r="A3258" i="33"/>
  <c r="B3258" i="33"/>
  <c r="A3259" i="33"/>
  <c r="B3259" i="33"/>
  <c r="A3260" i="33"/>
  <c r="B3260" i="33"/>
  <c r="A3261" i="33"/>
  <c r="B3261" i="33"/>
  <c r="A3262" i="33"/>
  <c r="B3262" i="33"/>
  <c r="A3263" i="33"/>
  <c r="B3263" i="33"/>
  <c r="A3264" i="33"/>
  <c r="B3264" i="33"/>
  <c r="A3265" i="33"/>
  <c r="B3265" i="33"/>
  <c r="A3266" i="33"/>
  <c r="B3266" i="33"/>
  <c r="A3267" i="33"/>
  <c r="B3267" i="33"/>
  <c r="A3268" i="33"/>
  <c r="B3268" i="33"/>
  <c r="A3269" i="33"/>
  <c r="B3269" i="33"/>
  <c r="A3270" i="33"/>
  <c r="B3270" i="33"/>
  <c r="A3271" i="33"/>
  <c r="B3271" i="33"/>
  <c r="A3272" i="33"/>
  <c r="B3272" i="33"/>
  <c r="A3273" i="33"/>
  <c r="B3273" i="33"/>
  <c r="A3274" i="33"/>
  <c r="B3274" i="33"/>
  <c r="A3275" i="33"/>
  <c r="B3275" i="33"/>
  <c r="A3276" i="33"/>
  <c r="B3276" i="33"/>
  <c r="A3277" i="33"/>
  <c r="B3277" i="33"/>
  <c r="A3278" i="33"/>
  <c r="B3278" i="33"/>
  <c r="A3279" i="33"/>
  <c r="B3279" i="33"/>
  <c r="A3280" i="33"/>
  <c r="B3280" i="33"/>
  <c r="A3281" i="33"/>
  <c r="B3281" i="33"/>
  <c r="A3282" i="33"/>
  <c r="B3282" i="33"/>
  <c r="A3283" i="33"/>
  <c r="B3283" i="33"/>
  <c r="A3284" i="33"/>
  <c r="B3284" i="33"/>
  <c r="A3285" i="33"/>
  <c r="B3285" i="33"/>
  <c r="A3286" i="33"/>
  <c r="B3286" i="33"/>
  <c r="A3287" i="33"/>
  <c r="B3287" i="33"/>
  <c r="A3288" i="33"/>
  <c r="B3288" i="33"/>
  <c r="A3289" i="33"/>
  <c r="B3289" i="33"/>
  <c r="B3290" i="33"/>
  <c r="B3291" i="33"/>
  <c r="B3292" i="33"/>
  <c r="B3293" i="33"/>
  <c r="B3294" i="33"/>
  <c r="B3295" i="33"/>
  <c r="B3296" i="33"/>
  <c r="B3297" i="33"/>
  <c r="B3298" i="33"/>
  <c r="A3301" i="33"/>
  <c r="B3301" i="33"/>
  <c r="A3302" i="33"/>
  <c r="B3302" i="33"/>
  <c r="A3303" i="33"/>
  <c r="B3303" i="33"/>
  <c r="A3304" i="33"/>
  <c r="B3304" i="33"/>
  <c r="A3305" i="33"/>
  <c r="B3305" i="33"/>
  <c r="A3306" i="33"/>
  <c r="B3306" i="33"/>
  <c r="A3307" i="33"/>
  <c r="B3307" i="33"/>
  <c r="A3308" i="33"/>
  <c r="B3308" i="33"/>
  <c r="A3309" i="33"/>
  <c r="B3309" i="33"/>
  <c r="A3310" i="33"/>
  <c r="B3310" i="33"/>
  <c r="A3311" i="33"/>
  <c r="B3311" i="33"/>
  <c r="A3312" i="33"/>
  <c r="B3312" i="33"/>
  <c r="A3313" i="33"/>
  <c r="B3313" i="33"/>
  <c r="A3314" i="33"/>
  <c r="A3315" i="33"/>
  <c r="B3315" i="33"/>
  <c r="A3316" i="33"/>
  <c r="B3316" i="33"/>
  <c r="A3317" i="33"/>
  <c r="B3317" i="33"/>
  <c r="A3318" i="33"/>
  <c r="B3318" i="33"/>
  <c r="A3319" i="33"/>
  <c r="B3319" i="33"/>
  <c r="A3320" i="33"/>
  <c r="B3320" i="33"/>
  <c r="A3321" i="33"/>
  <c r="B3321" i="33"/>
  <c r="A3322" i="33"/>
  <c r="B3322" i="33"/>
  <c r="A3323" i="33"/>
  <c r="B3323" i="33"/>
  <c r="A3324" i="33"/>
  <c r="B3324" i="33"/>
  <c r="A3325" i="33"/>
  <c r="B3325" i="33"/>
  <c r="A3326" i="33"/>
  <c r="B3326" i="33"/>
  <c r="A3327" i="33"/>
  <c r="B3327" i="33"/>
  <c r="A3328" i="33"/>
  <c r="B3328" i="33"/>
  <c r="A3329" i="33"/>
  <c r="B3329" i="33"/>
  <c r="A3330" i="33"/>
  <c r="B3330" i="33"/>
  <c r="A3331" i="33"/>
  <c r="B3331" i="33"/>
  <c r="A3332" i="33"/>
  <c r="B3332" i="33"/>
  <c r="A3333" i="33"/>
  <c r="B3333" i="33"/>
  <c r="A3334" i="33"/>
  <c r="B3334" i="33"/>
  <c r="A3335" i="33"/>
  <c r="B3335" i="33"/>
  <c r="A3336" i="33"/>
  <c r="B3336" i="33"/>
  <c r="A3337" i="33"/>
  <c r="B3337" i="33"/>
  <c r="A3338" i="33"/>
  <c r="B3338" i="33"/>
  <c r="A3339" i="33"/>
  <c r="B3339" i="33"/>
  <c r="A3340" i="33"/>
  <c r="B3340" i="33"/>
  <c r="A3341" i="33"/>
  <c r="B3341" i="33"/>
  <c r="A3342" i="33"/>
  <c r="B3342" i="33"/>
  <c r="A3343" i="33"/>
  <c r="B3343" i="33"/>
  <c r="A3344" i="33"/>
  <c r="B3344" i="33"/>
  <c r="A3345" i="33"/>
  <c r="B3345" i="33"/>
  <c r="A3346" i="33"/>
  <c r="B3346" i="33"/>
  <c r="A3347" i="33"/>
  <c r="B3347" i="33"/>
  <c r="A3348" i="33"/>
  <c r="B3348" i="33"/>
  <c r="A3349" i="33"/>
  <c r="B3349" i="33"/>
  <c r="A3350" i="33"/>
  <c r="B3350" i="33"/>
  <c r="A3351" i="33"/>
  <c r="B3351" i="33"/>
  <c r="A3352" i="33"/>
  <c r="B3352" i="33"/>
  <c r="A3353" i="33"/>
  <c r="B3353" i="33"/>
  <c r="A3354" i="33"/>
  <c r="B3354" i="33"/>
  <c r="A3355" i="33"/>
  <c r="B3355" i="33"/>
  <c r="A3356" i="33"/>
  <c r="B3356" i="33"/>
  <c r="A3357" i="33"/>
  <c r="B3357" i="33"/>
  <c r="A3358" i="33"/>
  <c r="B3358" i="33"/>
  <c r="A3359" i="33"/>
  <c r="B3359" i="33"/>
  <c r="A3360" i="33"/>
  <c r="B3360" i="33"/>
  <c r="A3361" i="33"/>
  <c r="B3361" i="33"/>
  <c r="A3362" i="33"/>
  <c r="B3362" i="33"/>
  <c r="A3363" i="33"/>
  <c r="B3363" i="33"/>
  <c r="A3364" i="33"/>
  <c r="B3364" i="33"/>
  <c r="A3365" i="33"/>
  <c r="B3365" i="33"/>
  <c r="A3366" i="33"/>
  <c r="B3366" i="33"/>
  <c r="A3367" i="33"/>
  <c r="B3367" i="33"/>
  <c r="A3368" i="33"/>
  <c r="B3368" i="33"/>
  <c r="A3369" i="33"/>
  <c r="B3369" i="33"/>
  <c r="A3370" i="33"/>
  <c r="B3370" i="33"/>
  <c r="A3371" i="33"/>
  <c r="B3371" i="33"/>
  <c r="A3372" i="33"/>
  <c r="B3372" i="33"/>
  <c r="A3373" i="33"/>
  <c r="B3373" i="33"/>
  <c r="A3374" i="33"/>
  <c r="B3374" i="33"/>
  <c r="A3375" i="33"/>
  <c r="B3375" i="33"/>
  <c r="A3376" i="33"/>
  <c r="B3376" i="33"/>
  <c r="A3377" i="33"/>
  <c r="B3377" i="33"/>
  <c r="A3378" i="33"/>
  <c r="B3378" i="33"/>
  <c r="A3379" i="33"/>
  <c r="B3379" i="33"/>
  <c r="A3380" i="33"/>
  <c r="B3380" i="33"/>
  <c r="A3381" i="33"/>
  <c r="B3381" i="33"/>
  <c r="A3382" i="33"/>
  <c r="B3382" i="33"/>
  <c r="A3383" i="33"/>
  <c r="B3383" i="33"/>
  <c r="A3384" i="33"/>
  <c r="B3384" i="33"/>
  <c r="A3385" i="33"/>
  <c r="B3385" i="33"/>
  <c r="A3386" i="33"/>
  <c r="B3386" i="33"/>
  <c r="A3387" i="33"/>
  <c r="B3387" i="33"/>
  <c r="A3388" i="33"/>
  <c r="B3388" i="33"/>
  <c r="A3389" i="33"/>
  <c r="B3389" i="33"/>
  <c r="A3390" i="33"/>
  <c r="B3390" i="33"/>
  <c r="A3391" i="33"/>
  <c r="B3391" i="33"/>
  <c r="A3392" i="33"/>
  <c r="B3392" i="33"/>
  <c r="A3393" i="33"/>
  <c r="B3393" i="33"/>
  <c r="A3394" i="33"/>
  <c r="B3394" i="33"/>
  <c r="A3395" i="33"/>
  <c r="B3395" i="33"/>
  <c r="A3396" i="33"/>
  <c r="B3396" i="33"/>
  <c r="A3397" i="33"/>
  <c r="B3397" i="33"/>
  <c r="A3398" i="33"/>
  <c r="B3398" i="33"/>
  <c r="A3399" i="33"/>
  <c r="B3399" i="33"/>
  <c r="A3400" i="33"/>
  <c r="B3400" i="33"/>
  <c r="A3401" i="33"/>
  <c r="B3401" i="33"/>
  <c r="A3402" i="33"/>
  <c r="B3402" i="33"/>
  <c r="A3403" i="33"/>
  <c r="B3403" i="33"/>
  <c r="A3404" i="33"/>
  <c r="B3404" i="33"/>
  <c r="A3405" i="33"/>
  <c r="B3405" i="33"/>
  <c r="A3406" i="33"/>
  <c r="B3406" i="33"/>
  <c r="A3407" i="33"/>
  <c r="B3407" i="33"/>
  <c r="A3408" i="33"/>
  <c r="B3408" i="33"/>
  <c r="A3409" i="33"/>
  <c r="B3409" i="33"/>
  <c r="A3410" i="33"/>
  <c r="B3410" i="33"/>
  <c r="A3411" i="33"/>
  <c r="B3411" i="33"/>
  <c r="A3412" i="33"/>
  <c r="B3412" i="33"/>
  <c r="A3413" i="33"/>
  <c r="B3413" i="33"/>
  <c r="A3414" i="33"/>
  <c r="B3414" i="33"/>
  <c r="A3415" i="33"/>
  <c r="B3415" i="33"/>
  <c r="A3416" i="33"/>
  <c r="A3417" i="33"/>
  <c r="B3417" i="33"/>
  <c r="A3418" i="33"/>
  <c r="B3418" i="33"/>
  <c r="A3419" i="33"/>
  <c r="B3419" i="33"/>
  <c r="A3420" i="33"/>
  <c r="B3420" i="33"/>
  <c r="A3421" i="33"/>
  <c r="B3421" i="33"/>
  <c r="A3422" i="33"/>
  <c r="B3422" i="33"/>
  <c r="A3423" i="33"/>
  <c r="B3423" i="33"/>
  <c r="A3424" i="33"/>
  <c r="A3425" i="33"/>
  <c r="B3425" i="33"/>
  <c r="A3426" i="33"/>
  <c r="B3426" i="33"/>
  <c r="A3427" i="33"/>
  <c r="B3427" i="33"/>
  <c r="A3428" i="33"/>
  <c r="B3428" i="33"/>
  <c r="A3429" i="33"/>
  <c r="B3429" i="33"/>
  <c r="A3430" i="33"/>
  <c r="B3430" i="33"/>
  <c r="A3431" i="33"/>
  <c r="B3431" i="33"/>
  <c r="A3432" i="33"/>
  <c r="B3432" i="33"/>
  <c r="A3433" i="33"/>
  <c r="B3433" i="33"/>
  <c r="A3434" i="33"/>
  <c r="B3434" i="33"/>
  <c r="A3435" i="33"/>
  <c r="B3435" i="33"/>
  <c r="A3436" i="33"/>
  <c r="B3436" i="33"/>
  <c r="A3437" i="33"/>
  <c r="B3437" i="33"/>
  <c r="A3438" i="33"/>
  <c r="B3438" i="33"/>
  <c r="A3439" i="33"/>
  <c r="B3439" i="33"/>
  <c r="A3440" i="33"/>
  <c r="B3440" i="33"/>
  <c r="A3441" i="33"/>
  <c r="B3441" i="33"/>
  <c r="A3442" i="33"/>
  <c r="B3442" i="33"/>
  <c r="A3443" i="33"/>
  <c r="B3443" i="33"/>
  <c r="A3444" i="33"/>
  <c r="B3444" i="33"/>
  <c r="A3445" i="33"/>
  <c r="B3445" i="33"/>
  <c r="A3446" i="33"/>
  <c r="B3446" i="33"/>
  <c r="A3447" i="33"/>
  <c r="B3447" i="33"/>
  <c r="A3448" i="33"/>
  <c r="B3448" i="33"/>
  <c r="A3449" i="33"/>
  <c r="B3449" i="33"/>
  <c r="A3450" i="33"/>
  <c r="B3450" i="33"/>
  <c r="A3451" i="33"/>
  <c r="B3451" i="33"/>
  <c r="A3452" i="33"/>
  <c r="B3452" i="33"/>
  <c r="A3453" i="33"/>
  <c r="B3453" i="33"/>
  <c r="A3454" i="33"/>
  <c r="B3454" i="33"/>
  <c r="A3455" i="33"/>
  <c r="B3455" i="33"/>
  <c r="A3456" i="33"/>
  <c r="B3456" i="33"/>
  <c r="A3457" i="33"/>
  <c r="B3457" i="33"/>
  <c r="A3458" i="33"/>
  <c r="B3458" i="33"/>
  <c r="A3459" i="33"/>
  <c r="B3459" i="33"/>
  <c r="A3460" i="33"/>
  <c r="B3460" i="33"/>
  <c r="A3461" i="33"/>
  <c r="B3461" i="33"/>
  <c r="A3462" i="33"/>
  <c r="B3462" i="33"/>
  <c r="A3463" i="33"/>
  <c r="B3463" i="33"/>
  <c r="A3464" i="33"/>
  <c r="B3464" i="33"/>
  <c r="A3465" i="33"/>
  <c r="B3465" i="33"/>
  <c r="A3466" i="33"/>
  <c r="B3466" i="33"/>
  <c r="A3467" i="33"/>
  <c r="B3467" i="33"/>
  <c r="A3468" i="33"/>
  <c r="B3468" i="33"/>
  <c r="A3469" i="33"/>
  <c r="B3469" i="33"/>
  <c r="A3470" i="33"/>
  <c r="B3470" i="33"/>
  <c r="A3471" i="33"/>
  <c r="B3471" i="33"/>
  <c r="A3472" i="33"/>
  <c r="B3472" i="33"/>
  <c r="A3473" i="33"/>
  <c r="B3473" i="33"/>
  <c r="A3474" i="33"/>
  <c r="B3474" i="33"/>
  <c r="A3475" i="33"/>
  <c r="B3475" i="33"/>
  <c r="A3476" i="33"/>
  <c r="B3476" i="33"/>
  <c r="A3477" i="33"/>
  <c r="B3477" i="33"/>
  <c r="A3478" i="33"/>
  <c r="B3478" i="33"/>
  <c r="A3479" i="33"/>
  <c r="B3479" i="33"/>
  <c r="A3480" i="33"/>
  <c r="B3480" i="33"/>
  <c r="A3481" i="33"/>
  <c r="B3481" i="33"/>
  <c r="A3482" i="33"/>
  <c r="B3482" i="33"/>
  <c r="A3483" i="33"/>
  <c r="B3483" i="33"/>
  <c r="A3484" i="33"/>
  <c r="B3484" i="33"/>
  <c r="A3485" i="33"/>
  <c r="B3485" i="33"/>
  <c r="A3486" i="33"/>
  <c r="B3486" i="33"/>
  <c r="A3487" i="33"/>
  <c r="B3487" i="33"/>
  <c r="A3488" i="33"/>
  <c r="B3488" i="33"/>
  <c r="A3489" i="33"/>
  <c r="B3489" i="33"/>
  <c r="A3490" i="33"/>
  <c r="B3490" i="33"/>
  <c r="A3491" i="33"/>
  <c r="B3491" i="33"/>
  <c r="A3492" i="33"/>
  <c r="B3492" i="33"/>
  <c r="A3493" i="33"/>
  <c r="B3493" i="33"/>
  <c r="A3494" i="33"/>
  <c r="B3494" i="33"/>
  <c r="A3495" i="33"/>
  <c r="B3495" i="33"/>
  <c r="A3496" i="33"/>
  <c r="B3496" i="33"/>
  <c r="A3497" i="33"/>
  <c r="B3497" i="33"/>
  <c r="A3498" i="33"/>
  <c r="B3498" i="33"/>
  <c r="A3499" i="33"/>
  <c r="B3499" i="33"/>
  <c r="A3500" i="33"/>
  <c r="B3500" i="33"/>
  <c r="A3501" i="33"/>
  <c r="B3501" i="33"/>
  <c r="A3502" i="33"/>
  <c r="B3502" i="33"/>
  <c r="A3503" i="33"/>
  <c r="B3503" i="33"/>
  <c r="A3504" i="33"/>
  <c r="B3504" i="33"/>
  <c r="A3505" i="33"/>
  <c r="B3505" i="33"/>
  <c r="A3506" i="33"/>
  <c r="B3506" i="33"/>
  <c r="A3507" i="33"/>
  <c r="B3507" i="33"/>
  <c r="A3508" i="33"/>
  <c r="B3508" i="33"/>
  <c r="A3509" i="33"/>
  <c r="B3509" i="33"/>
  <c r="A3510" i="33"/>
  <c r="B3510" i="33"/>
  <c r="A3511" i="33"/>
  <c r="B3511" i="33"/>
  <c r="A3512" i="33"/>
  <c r="B3512" i="33"/>
  <c r="A3513" i="33"/>
  <c r="B3513" i="33"/>
  <c r="A3514" i="33"/>
  <c r="B3514" i="33"/>
  <c r="A3515" i="33"/>
  <c r="B3515" i="33"/>
  <c r="A3516" i="33"/>
  <c r="B3516" i="33"/>
  <c r="A3517" i="33"/>
  <c r="B3517" i="33"/>
  <c r="A3518" i="33"/>
  <c r="B3518" i="33"/>
  <c r="A3519" i="33"/>
  <c r="B3519" i="33"/>
  <c r="A3520" i="33"/>
  <c r="B3520" i="33"/>
  <c r="A3521" i="33"/>
  <c r="B3521" i="33"/>
  <c r="A3522" i="33"/>
  <c r="B3522" i="33"/>
  <c r="A3523" i="33"/>
  <c r="B3523" i="33"/>
  <c r="A3524" i="33"/>
  <c r="B3524" i="33"/>
  <c r="A3525" i="33"/>
  <c r="B3525" i="33"/>
  <c r="A3526" i="33"/>
  <c r="B3526" i="33"/>
  <c r="A3527" i="33"/>
  <c r="B3527" i="33"/>
  <c r="A3528" i="33"/>
  <c r="B3528" i="33"/>
  <c r="A3529" i="33"/>
  <c r="B3529" i="33"/>
  <c r="A3530" i="33"/>
  <c r="B3530" i="33"/>
  <c r="A3531" i="33"/>
  <c r="B3531" i="33"/>
  <c r="A3532" i="33"/>
  <c r="B3532" i="33"/>
  <c r="A3533" i="33"/>
  <c r="B3533" i="33"/>
  <c r="A3534" i="33"/>
  <c r="B3534" i="33"/>
  <c r="A3535" i="33"/>
  <c r="B3535" i="33"/>
  <c r="A3536" i="33"/>
  <c r="A3537" i="33"/>
  <c r="A3538" i="33"/>
  <c r="B3538" i="33"/>
  <c r="A3539" i="33"/>
  <c r="B3539" i="33"/>
  <c r="A3540" i="33"/>
  <c r="B3540" i="33"/>
  <c r="A3541" i="33"/>
  <c r="B3541" i="33"/>
  <c r="A3542" i="33"/>
  <c r="B3542" i="33"/>
  <c r="A3543" i="33"/>
  <c r="B3543" i="33"/>
  <c r="A3544" i="33"/>
  <c r="B3544" i="33"/>
  <c r="A3545" i="33"/>
  <c r="B3545" i="33"/>
  <c r="A3546" i="33"/>
  <c r="B3546" i="33"/>
  <c r="A3547" i="33"/>
  <c r="B3547" i="33"/>
  <c r="A3548" i="33"/>
  <c r="B3548" i="33"/>
  <c r="A3549" i="33"/>
  <c r="B3549" i="33"/>
  <c r="A3550" i="33"/>
  <c r="B3550" i="33"/>
  <c r="A3551" i="33"/>
  <c r="B3551" i="33"/>
  <c r="A3552" i="33"/>
  <c r="B3552" i="33"/>
  <c r="A3553" i="33"/>
  <c r="B3553" i="33"/>
  <c r="A3554" i="33"/>
  <c r="B3554" i="33"/>
  <c r="A3555" i="33"/>
  <c r="B3555" i="33"/>
  <c r="A3556" i="33"/>
  <c r="B3556" i="33"/>
  <c r="A3557" i="33"/>
  <c r="B3557" i="33"/>
  <c r="A3558" i="33"/>
  <c r="B3558" i="33"/>
  <c r="A3559" i="33"/>
  <c r="B3559" i="33"/>
  <c r="A3560" i="33"/>
  <c r="B3560" i="33"/>
  <c r="A3561" i="33"/>
  <c r="B3561" i="33"/>
  <c r="A3562" i="33"/>
  <c r="B3562" i="33"/>
  <c r="A3563" i="33"/>
  <c r="B3563" i="33"/>
  <c r="A3564" i="33"/>
  <c r="B3564" i="33"/>
  <c r="A3565" i="33"/>
  <c r="B3565" i="33"/>
  <c r="A3566" i="33"/>
  <c r="B3566" i="33"/>
  <c r="A3567" i="33"/>
  <c r="B3567" i="33"/>
  <c r="A3568" i="33"/>
  <c r="B3568" i="33"/>
  <c r="A3569" i="33"/>
  <c r="B3569" i="33"/>
  <c r="A3570" i="33"/>
  <c r="B3570" i="33"/>
  <c r="A3571" i="33"/>
  <c r="B3571" i="33"/>
  <c r="A3572" i="33"/>
  <c r="B3572" i="33"/>
  <c r="A3573" i="33"/>
  <c r="B3573" i="33"/>
  <c r="A3574" i="33"/>
  <c r="B3574" i="33"/>
  <c r="A3575" i="33"/>
  <c r="B3575" i="33"/>
  <c r="A3576" i="33"/>
  <c r="B3576" i="33"/>
  <c r="A3577" i="33"/>
  <c r="B3577" i="33"/>
  <c r="A3578" i="33"/>
  <c r="B3578" i="33"/>
  <c r="A3579" i="33"/>
  <c r="B3579" i="33"/>
  <c r="A3580" i="33"/>
  <c r="B3580" i="33"/>
  <c r="A3581" i="33"/>
  <c r="B3581" i="33"/>
  <c r="A3582" i="33"/>
  <c r="B3582" i="33"/>
  <c r="A3583" i="33"/>
  <c r="B3583" i="33"/>
  <c r="A3584" i="33"/>
  <c r="B3584" i="33"/>
  <c r="A3585" i="33"/>
  <c r="B3585" i="33"/>
  <c r="A3586" i="33"/>
  <c r="B3586" i="33"/>
  <c r="A3587" i="33"/>
  <c r="B3587" i="33"/>
  <c r="A3588" i="33"/>
  <c r="B3588" i="33"/>
  <c r="A3589" i="33"/>
  <c r="B3589" i="33"/>
  <c r="A3590" i="33"/>
  <c r="B3590" i="33"/>
  <c r="A3591" i="33"/>
  <c r="B3591" i="33"/>
  <c r="A3592" i="33"/>
  <c r="B3592" i="33"/>
  <c r="A3593" i="33"/>
  <c r="B3593" i="33"/>
  <c r="A3594" i="33"/>
  <c r="B3594" i="33"/>
  <c r="A3595" i="33"/>
  <c r="B3595" i="33"/>
  <c r="A3596" i="33"/>
  <c r="B3596" i="33"/>
  <c r="A3597" i="33"/>
  <c r="B3597" i="33"/>
  <c r="A3598" i="33"/>
  <c r="B3598" i="33"/>
  <c r="A3599" i="33"/>
  <c r="B3599" i="33"/>
  <c r="A3600" i="33"/>
  <c r="B3600" i="33"/>
  <c r="A3601" i="33"/>
  <c r="B3601" i="33"/>
  <c r="A3602" i="33"/>
  <c r="B3602" i="33"/>
  <c r="A3603" i="33"/>
  <c r="B3603" i="33"/>
  <c r="A3604" i="33"/>
  <c r="B3604" i="33"/>
  <c r="A3605" i="33"/>
  <c r="A3606" i="33"/>
  <c r="B3606" i="33"/>
  <c r="A3607" i="33"/>
  <c r="B3607" i="33"/>
  <c r="A3608" i="33"/>
  <c r="B3608" i="33"/>
  <c r="A3609" i="33"/>
  <c r="B3609" i="33"/>
  <c r="A3610" i="33"/>
  <c r="B3610" i="33"/>
  <c r="A3611" i="33"/>
  <c r="B3611" i="33"/>
  <c r="A3612" i="33"/>
  <c r="B3612" i="33"/>
  <c r="A3613" i="33"/>
  <c r="B3613" i="33"/>
  <c r="A3614" i="33"/>
  <c r="B3614" i="33"/>
  <c r="A3615" i="33"/>
  <c r="B3615" i="33"/>
  <c r="A3616" i="33"/>
  <c r="B3616" i="33"/>
  <c r="A3617" i="33"/>
  <c r="B3617" i="33"/>
  <c r="A3618" i="33"/>
  <c r="B3618" i="33"/>
  <c r="A3619" i="33"/>
  <c r="B3619" i="33"/>
  <c r="A3620" i="33"/>
  <c r="B3620" i="33"/>
  <c r="A3621" i="33"/>
  <c r="B3621" i="33"/>
  <c r="A3622" i="33"/>
  <c r="B3622" i="33"/>
  <c r="A3623" i="33"/>
  <c r="B3623" i="33"/>
  <c r="A3624" i="33"/>
  <c r="B3624" i="33"/>
  <c r="A3625" i="33"/>
  <c r="B3625" i="33"/>
  <c r="A3626" i="33"/>
  <c r="B3626" i="33"/>
  <c r="A3627" i="33"/>
  <c r="B3627" i="33"/>
  <c r="A3628" i="33"/>
  <c r="B3628" i="33"/>
  <c r="A3629" i="33"/>
  <c r="B3629" i="33"/>
  <c r="A3630" i="33"/>
  <c r="B3630" i="33"/>
  <c r="A3631" i="33"/>
  <c r="B3631" i="33"/>
  <c r="A3632" i="33"/>
  <c r="B3632" i="33"/>
  <c r="A3633" i="33"/>
  <c r="B3633" i="33"/>
  <c r="A3634" i="33"/>
  <c r="B3634" i="33"/>
  <c r="A3635" i="33"/>
  <c r="B3635" i="33"/>
  <c r="A3636" i="33"/>
  <c r="B3636" i="33"/>
  <c r="A3637" i="33"/>
  <c r="B3637" i="33"/>
  <c r="A3638" i="33"/>
  <c r="B3638" i="33"/>
  <c r="A3639" i="33"/>
  <c r="B3639" i="33"/>
  <c r="A3640" i="33"/>
  <c r="B3640" i="33"/>
  <c r="A3641" i="33"/>
  <c r="B3641" i="33"/>
  <c r="A3642" i="33"/>
  <c r="B3642" i="33"/>
  <c r="A3643" i="33"/>
  <c r="B3643" i="33"/>
  <c r="A3644" i="33"/>
  <c r="B3644" i="33"/>
  <c r="A3645" i="33"/>
  <c r="B3645" i="33"/>
  <c r="A3646" i="33"/>
  <c r="B3646" i="33"/>
  <c r="A3647" i="33"/>
  <c r="B3647" i="33"/>
  <c r="A3648" i="33"/>
  <c r="B3648" i="33"/>
  <c r="A3649" i="33"/>
  <c r="B3649" i="33"/>
  <c r="A3650" i="33"/>
  <c r="B3650" i="33"/>
  <c r="A3651" i="33"/>
  <c r="B3651" i="33"/>
  <c r="A3652" i="33"/>
  <c r="B3652" i="33"/>
  <c r="A3653" i="33"/>
  <c r="B3653" i="33"/>
  <c r="A3654" i="33"/>
  <c r="B3654" i="33"/>
  <c r="A3655" i="33"/>
  <c r="B3655" i="33"/>
  <c r="A3656" i="33"/>
  <c r="B3656" i="33"/>
  <c r="A3657" i="33"/>
  <c r="B3657" i="33"/>
  <c r="A3658" i="33"/>
  <c r="B3658" i="33"/>
  <c r="A3659" i="33"/>
  <c r="B3659" i="33"/>
  <c r="A3660" i="33"/>
  <c r="B3660" i="33"/>
  <c r="A3661" i="33"/>
  <c r="B3661" i="33"/>
  <c r="A3662" i="33"/>
  <c r="B3662" i="33"/>
  <c r="A3663" i="33"/>
  <c r="B3663" i="33"/>
  <c r="A3664" i="33"/>
  <c r="B3664" i="33"/>
  <c r="A3665" i="33"/>
  <c r="B3665" i="33"/>
  <c r="A3666" i="33"/>
  <c r="B3666" i="33"/>
  <c r="A3667" i="33"/>
  <c r="B3667" i="33"/>
  <c r="A3668" i="33"/>
  <c r="B3668" i="33"/>
  <c r="A3669" i="33"/>
  <c r="B3669" i="33"/>
  <c r="A3670" i="33"/>
  <c r="B3670" i="33"/>
  <c r="A3671" i="33"/>
  <c r="B3671" i="33"/>
  <c r="A3672" i="33"/>
  <c r="B3672" i="33"/>
  <c r="A3673" i="33"/>
  <c r="B3673" i="33"/>
  <c r="A3674" i="33"/>
  <c r="B3674" i="33"/>
  <c r="A3675" i="33"/>
  <c r="B3675" i="33"/>
  <c r="A3676" i="33"/>
  <c r="B3676" i="33"/>
  <c r="A3677" i="33"/>
  <c r="B3677" i="33"/>
  <c r="A3678" i="33"/>
  <c r="B3678" i="33"/>
  <c r="A3679" i="33"/>
  <c r="B3679" i="33"/>
  <c r="A3680" i="33"/>
  <c r="B3680" i="33"/>
  <c r="A3681" i="33"/>
  <c r="B3681" i="33"/>
  <c r="A3682" i="33"/>
  <c r="B3682" i="33"/>
  <c r="A3683" i="33"/>
  <c r="B3683" i="33"/>
  <c r="A3684" i="33"/>
  <c r="B3684" i="33"/>
  <c r="A3685" i="33"/>
  <c r="B3685" i="33"/>
  <c r="A3686" i="33"/>
  <c r="B3686" i="33"/>
  <c r="A3687" i="33"/>
  <c r="B3687" i="33"/>
  <c r="A3688" i="33"/>
  <c r="B3688" i="33"/>
  <c r="A3689" i="33"/>
  <c r="B3689" i="33"/>
  <c r="A3690" i="33"/>
  <c r="B3690" i="33"/>
  <c r="A3691" i="33"/>
  <c r="A3692" i="33"/>
  <c r="B3692" i="33"/>
  <c r="A3693" i="33"/>
  <c r="B3693" i="33"/>
  <c r="A3694" i="33"/>
  <c r="B3694" i="33"/>
  <c r="A3695" i="33"/>
  <c r="B3695" i="33"/>
  <c r="A3696" i="33"/>
  <c r="B3696" i="33"/>
  <c r="A3697" i="33"/>
  <c r="B3697" i="33"/>
  <c r="A3698" i="33"/>
  <c r="B3698" i="33"/>
  <c r="A3699" i="33"/>
  <c r="B3699" i="33"/>
  <c r="A3700" i="33"/>
  <c r="B3700" i="33"/>
  <c r="A3701" i="33"/>
  <c r="B3701" i="33"/>
  <c r="A3702" i="33"/>
  <c r="B3702" i="33"/>
  <c r="A3703" i="33"/>
  <c r="B3703" i="33"/>
  <c r="A3704" i="33"/>
  <c r="B3704" i="33"/>
  <c r="A3705" i="33"/>
  <c r="B3705" i="33"/>
  <c r="A3706" i="33"/>
  <c r="B3706" i="33"/>
  <c r="A3707" i="33"/>
  <c r="B3707" i="33"/>
  <c r="A3708" i="33"/>
  <c r="B3708" i="33"/>
  <c r="A3709" i="33"/>
  <c r="B3709" i="33"/>
  <c r="A3710" i="33"/>
  <c r="B3710" i="33"/>
  <c r="A3711" i="33"/>
  <c r="B3711" i="33"/>
  <c r="A3712" i="33"/>
  <c r="B3712" i="33"/>
  <c r="A3713" i="33"/>
  <c r="B3713" i="33"/>
  <c r="A3714" i="33"/>
  <c r="B3714" i="33"/>
  <c r="A3715" i="33"/>
  <c r="B3715" i="33"/>
  <c r="A3716" i="33"/>
  <c r="B3716" i="33"/>
  <c r="A3717" i="33"/>
  <c r="B3717" i="33"/>
  <c r="A3718" i="33"/>
  <c r="B3718" i="33"/>
  <c r="A3719" i="33"/>
  <c r="B3719" i="33"/>
  <c r="A3720" i="33"/>
  <c r="B3720" i="33"/>
  <c r="A3721" i="33"/>
  <c r="B3721" i="33"/>
  <c r="A3722" i="33"/>
  <c r="B3722" i="33"/>
  <c r="A3723" i="33"/>
  <c r="B3723" i="33"/>
  <c r="A3724" i="33"/>
  <c r="B3724" i="33"/>
  <c r="A3725" i="33"/>
  <c r="B3725" i="33"/>
  <c r="A3726" i="33"/>
  <c r="B3726" i="33"/>
  <c r="A3727" i="33"/>
  <c r="B3727" i="33"/>
  <c r="A3728" i="33"/>
  <c r="B3728" i="33"/>
  <c r="A3729" i="33"/>
  <c r="B3729" i="33"/>
  <c r="A3730" i="33"/>
  <c r="B3730" i="33"/>
  <c r="A3731" i="33"/>
  <c r="B3731" i="33"/>
  <c r="A3732" i="33"/>
  <c r="B3732" i="33"/>
  <c r="A3733" i="33"/>
  <c r="B3733" i="33"/>
  <c r="A3734" i="33"/>
  <c r="B3734" i="33"/>
  <c r="A3735" i="33"/>
  <c r="B3735" i="33"/>
  <c r="A3736" i="33"/>
  <c r="B3736" i="33"/>
  <c r="A3737" i="33"/>
  <c r="B3737" i="33"/>
  <c r="A3738" i="33"/>
  <c r="B3738" i="33"/>
  <c r="A3739" i="33"/>
  <c r="B3739" i="33"/>
  <c r="A3740" i="33"/>
  <c r="B3740" i="33"/>
  <c r="A3741" i="33"/>
  <c r="A3742" i="33"/>
  <c r="A3743" i="33"/>
  <c r="B3743" i="33"/>
  <c r="A3744" i="33"/>
  <c r="B3744" i="33"/>
  <c r="A3745" i="33"/>
  <c r="B3745" i="33"/>
  <c r="A3746" i="33"/>
  <c r="B3746" i="33"/>
  <c r="A3747" i="33"/>
  <c r="B3747" i="33"/>
  <c r="A3748" i="33"/>
  <c r="B3748" i="33"/>
  <c r="A3749" i="33"/>
  <c r="B3749" i="33"/>
  <c r="A3750" i="33"/>
  <c r="B3750" i="33"/>
  <c r="A3751" i="33"/>
  <c r="B3751" i="33"/>
  <c r="A3752" i="33"/>
  <c r="B3752" i="33"/>
  <c r="A3753" i="33"/>
  <c r="B3753" i="33"/>
  <c r="A3754" i="33"/>
  <c r="B3754" i="33"/>
  <c r="A3755" i="33"/>
  <c r="B3755" i="33"/>
  <c r="A3756" i="33"/>
  <c r="B3756" i="33"/>
  <c r="A3757" i="33"/>
  <c r="B3757" i="33"/>
  <c r="A3758" i="33"/>
  <c r="B3758" i="33"/>
  <c r="A3759" i="33"/>
  <c r="B3759" i="33"/>
  <c r="A3760" i="33"/>
  <c r="B3760" i="33"/>
  <c r="A3761" i="33"/>
  <c r="B3761" i="33"/>
  <c r="A3762" i="33"/>
  <c r="B3762" i="33"/>
  <c r="A3763" i="33"/>
  <c r="B3763" i="33"/>
  <c r="A3764" i="33"/>
  <c r="B3764" i="33"/>
  <c r="A3765" i="33"/>
  <c r="B3765" i="33"/>
  <c r="A3766" i="33"/>
  <c r="B3766" i="33"/>
  <c r="A3767" i="33"/>
  <c r="B3767" i="33"/>
  <c r="A3768" i="33"/>
  <c r="B3768" i="33"/>
  <c r="A3769" i="33"/>
  <c r="B3769" i="33"/>
  <c r="A3770" i="33"/>
  <c r="B3770" i="33"/>
  <c r="A3771" i="33"/>
  <c r="B3771" i="33"/>
  <c r="A3772" i="33"/>
  <c r="B3772" i="33"/>
  <c r="A3773" i="33"/>
  <c r="B3773" i="33"/>
  <c r="A3774" i="33"/>
  <c r="B3774" i="33"/>
  <c r="A3775" i="33"/>
  <c r="B3775" i="33"/>
  <c r="A3776" i="33"/>
  <c r="B3776" i="33"/>
  <c r="A3777" i="33"/>
  <c r="B3777" i="33"/>
  <c r="A3778" i="33"/>
  <c r="B3778" i="33"/>
  <c r="A3779" i="33"/>
  <c r="B3779" i="33"/>
  <c r="A3780" i="33"/>
  <c r="B3780" i="33"/>
  <c r="A3781" i="33"/>
  <c r="B3781" i="33"/>
  <c r="A3782" i="33"/>
  <c r="B3782" i="33"/>
  <c r="A3783" i="33"/>
  <c r="B3783" i="33"/>
  <c r="A3784" i="33"/>
  <c r="B3784" i="33"/>
  <c r="A3785" i="33"/>
  <c r="B3785" i="33"/>
  <c r="A3786" i="33"/>
  <c r="B3786" i="33"/>
  <c r="A3787" i="33"/>
  <c r="B3787" i="33"/>
  <c r="A3788" i="33"/>
  <c r="B3788" i="33"/>
  <c r="A3789" i="33"/>
  <c r="B3789" i="33"/>
  <c r="A3790" i="33"/>
  <c r="B3790" i="33"/>
  <c r="A3791" i="33"/>
  <c r="B3791" i="33"/>
  <c r="A3792" i="33"/>
  <c r="B3792" i="33"/>
  <c r="A3793" i="33"/>
  <c r="B3793" i="33"/>
  <c r="A3794" i="33"/>
  <c r="B3794" i="33"/>
  <c r="A3795" i="33"/>
  <c r="B3795" i="33"/>
  <c r="A3796" i="33"/>
  <c r="B3796" i="33"/>
  <c r="A3797" i="33"/>
  <c r="B3797" i="33"/>
  <c r="A3798" i="33"/>
  <c r="B3798" i="33"/>
  <c r="A3799" i="33"/>
  <c r="B3799" i="33"/>
  <c r="A3800" i="33"/>
  <c r="B3800" i="33"/>
  <c r="A3801" i="33"/>
  <c r="B3801" i="33"/>
  <c r="A3802" i="33"/>
  <c r="B3802" i="33"/>
  <c r="A3803" i="33"/>
  <c r="B3803" i="33"/>
  <c r="A3804" i="33"/>
  <c r="B3804" i="33"/>
  <c r="A3805" i="33"/>
  <c r="B3805" i="33"/>
  <c r="A3806" i="33"/>
  <c r="B3806" i="33"/>
  <c r="A3807" i="33"/>
  <c r="B3807" i="33"/>
  <c r="A3808" i="33"/>
  <c r="B3808" i="33"/>
  <c r="A3809" i="33"/>
  <c r="B3809" i="33"/>
  <c r="A3810" i="33"/>
  <c r="B3810" i="33"/>
  <c r="A3811" i="33"/>
  <c r="B3811" i="33"/>
  <c r="A3812" i="33"/>
  <c r="B3812" i="33"/>
  <c r="A3813" i="33"/>
  <c r="B3813" i="33"/>
  <c r="A3814" i="33"/>
  <c r="B3814" i="33"/>
  <c r="A3815" i="33"/>
  <c r="B3815" i="33"/>
  <c r="A3816" i="33"/>
  <c r="B3816" i="33"/>
  <c r="A3817" i="33"/>
  <c r="B3817" i="33"/>
  <c r="A3818" i="33"/>
  <c r="B3818" i="33"/>
  <c r="A3819" i="33"/>
  <c r="B3819" i="33"/>
  <c r="A3820" i="33"/>
  <c r="B3820" i="33"/>
  <c r="A3821" i="33"/>
  <c r="B3821" i="33"/>
  <c r="A3822" i="33"/>
  <c r="B3822" i="33"/>
  <c r="A3823" i="33"/>
  <c r="B3823" i="33"/>
  <c r="A3824" i="33"/>
  <c r="B3824" i="33"/>
  <c r="A3825" i="33"/>
  <c r="B3825" i="33"/>
  <c r="A3826" i="33"/>
  <c r="B3826" i="33"/>
  <c r="A3827" i="33"/>
  <c r="B3827" i="33"/>
  <c r="A3828" i="33"/>
  <c r="B3828" i="33"/>
  <c r="A3829" i="33"/>
  <c r="B3829" i="33"/>
  <c r="A3830" i="33"/>
  <c r="B3830" i="33"/>
  <c r="A3831" i="33"/>
  <c r="B3831" i="33"/>
  <c r="A3832" i="33"/>
  <c r="B3832" i="33"/>
  <c r="A3833" i="33"/>
  <c r="B3833" i="33"/>
  <c r="A3834" i="33"/>
  <c r="B3834" i="33"/>
  <c r="A3835" i="33"/>
  <c r="B3835" i="33"/>
  <c r="A3836" i="33"/>
  <c r="B3836" i="33"/>
  <c r="A3837" i="33"/>
  <c r="B3837" i="33"/>
  <c r="A3838" i="33"/>
  <c r="B3838" i="33"/>
  <c r="A3839" i="33"/>
  <c r="B3839" i="33"/>
  <c r="A3840" i="33"/>
  <c r="B3840" i="33"/>
  <c r="A3841" i="33"/>
  <c r="B3841" i="33"/>
  <c r="A3842" i="33"/>
  <c r="B3842" i="33"/>
  <c r="A3843" i="33"/>
  <c r="B3843" i="33"/>
  <c r="A3844" i="33"/>
  <c r="B3844" i="33"/>
  <c r="A3845" i="33"/>
  <c r="B3845" i="33"/>
  <c r="A3846" i="33"/>
  <c r="B3846" i="33"/>
  <c r="A3847" i="33"/>
  <c r="B3847" i="33"/>
  <c r="A3848" i="33"/>
  <c r="B3848" i="33"/>
  <c r="A3849" i="33"/>
  <c r="B3849" i="33"/>
  <c r="A3850" i="33"/>
  <c r="B3850" i="33"/>
  <c r="A3851" i="33"/>
  <c r="B3851" i="33"/>
  <c r="A3852" i="33"/>
  <c r="B3852" i="33"/>
  <c r="A3853" i="33"/>
  <c r="B3853" i="33"/>
  <c r="A3854" i="33"/>
  <c r="B3854" i="33"/>
  <c r="A3855" i="33"/>
  <c r="B3855" i="33"/>
  <c r="A3856" i="33"/>
  <c r="B3856" i="33"/>
  <c r="A3857" i="33"/>
  <c r="B3857" i="33"/>
  <c r="A3858" i="33"/>
  <c r="B3858" i="33"/>
  <c r="A3859" i="33"/>
  <c r="B3859" i="33"/>
  <c r="A3860" i="33"/>
  <c r="B3860" i="33"/>
  <c r="A3861" i="33"/>
  <c r="B3861" i="33"/>
  <c r="A3862" i="33"/>
  <c r="B3862" i="33"/>
  <c r="A3863" i="33"/>
  <c r="B3863" i="33"/>
  <c r="A3864" i="33"/>
  <c r="B3864" i="33"/>
  <c r="A3865" i="33"/>
  <c r="B3865" i="33"/>
  <c r="A3866" i="33"/>
  <c r="B3866" i="33"/>
  <c r="A3867" i="33"/>
  <c r="B3867" i="33"/>
  <c r="A3868" i="33"/>
  <c r="B3868" i="33"/>
  <c r="A3869" i="33"/>
  <c r="B3869" i="33"/>
  <c r="A3870" i="33"/>
  <c r="B3870" i="33"/>
  <c r="A3871" i="33"/>
  <c r="B3871" i="33"/>
  <c r="A3872" i="33"/>
  <c r="B3872" i="33"/>
  <c r="A3873" i="33"/>
  <c r="B3873" i="33"/>
  <c r="A3874" i="33"/>
  <c r="B3874" i="33"/>
  <c r="A3875" i="33"/>
  <c r="B3875" i="33"/>
  <c r="A3876" i="33"/>
  <c r="B3876" i="33"/>
  <c r="A3877" i="33"/>
  <c r="B3877" i="33"/>
  <c r="A3878" i="33"/>
  <c r="B3878" i="33"/>
  <c r="A3879" i="33"/>
  <c r="B3879" i="33"/>
  <c r="A3880" i="33"/>
  <c r="B3880" i="33"/>
  <c r="A3881" i="33"/>
  <c r="B3881" i="33"/>
  <c r="A3882" i="33"/>
  <c r="B3882" i="33"/>
  <c r="A3883" i="33"/>
  <c r="B3883" i="33"/>
  <c r="A3884" i="33"/>
  <c r="B3884" i="33"/>
  <c r="A3885" i="33"/>
  <c r="B3885" i="33"/>
  <c r="A3886" i="33"/>
  <c r="B3886" i="33"/>
  <c r="A3887" i="33"/>
  <c r="B3887" i="33"/>
  <c r="A3888" i="33"/>
  <c r="B3888" i="33"/>
  <c r="A3889" i="33"/>
  <c r="B3889" i="33"/>
  <c r="A3890" i="33"/>
  <c r="B3890" i="33"/>
  <c r="A3891" i="33"/>
  <c r="B3891" i="33"/>
  <c r="A3892" i="33"/>
  <c r="B3892" i="33"/>
  <c r="A3893" i="33"/>
  <c r="B3893" i="33"/>
  <c r="A3894" i="33"/>
  <c r="B3894" i="33"/>
  <c r="A3895" i="33"/>
  <c r="B3895" i="33"/>
  <c r="A3896" i="33"/>
  <c r="B3896" i="33"/>
  <c r="A3897" i="33"/>
  <c r="B3897" i="33"/>
  <c r="A3898" i="33"/>
  <c r="B3898" i="33"/>
  <c r="A3899" i="33"/>
  <c r="B3899" i="33"/>
  <c r="A3900" i="33"/>
  <c r="B3900" i="33"/>
  <c r="A3901" i="33"/>
  <c r="B3901" i="33"/>
  <c r="A3902" i="33"/>
  <c r="B3902" i="33"/>
  <c r="A3903" i="33"/>
  <c r="B3903" i="33"/>
  <c r="A3904" i="33"/>
  <c r="B3904" i="33"/>
  <c r="A3905" i="33"/>
  <c r="B3905" i="33"/>
  <c r="A3906" i="33"/>
  <c r="B3906" i="33"/>
  <c r="A3907" i="33"/>
  <c r="B3907" i="33"/>
  <c r="A3908" i="33"/>
  <c r="B3908" i="33"/>
  <c r="A3909" i="33"/>
  <c r="B3909" i="33"/>
  <c r="A3910" i="33"/>
  <c r="B3910" i="33"/>
  <c r="A3911" i="33"/>
  <c r="B3911" i="33"/>
  <c r="A3912" i="33"/>
  <c r="B3912" i="33"/>
  <c r="A3913" i="33"/>
  <c r="B3913" i="33"/>
  <c r="A3914" i="33"/>
  <c r="B3914" i="33"/>
  <c r="A3915" i="33"/>
  <c r="B3915" i="33"/>
  <c r="A3916" i="33"/>
  <c r="B3916" i="33"/>
  <c r="A3917" i="33"/>
  <c r="B3917" i="33"/>
  <c r="A3918" i="33"/>
  <c r="B3918" i="33"/>
  <c r="A3919" i="33"/>
  <c r="B3919" i="33"/>
  <c r="A3920" i="33"/>
  <c r="B3920" i="33"/>
  <c r="A3921" i="33"/>
  <c r="B3921" i="33"/>
  <c r="A3922" i="33"/>
  <c r="B3922" i="33"/>
  <c r="A3923" i="33"/>
  <c r="B3923" i="33"/>
  <c r="A3924" i="33"/>
  <c r="B3924" i="33"/>
  <c r="A3925" i="33"/>
  <c r="B3925" i="33"/>
  <c r="A3926" i="33"/>
  <c r="B3926" i="33"/>
  <c r="A3927" i="33"/>
  <c r="B3927" i="33"/>
  <c r="A3928" i="33"/>
  <c r="B3928" i="33"/>
  <c r="A3929" i="33"/>
  <c r="B3929" i="33"/>
  <c r="A3930" i="33"/>
  <c r="B3930" i="33"/>
  <c r="A3931" i="33"/>
  <c r="B3931" i="33"/>
  <c r="A3932" i="33"/>
  <c r="B3932" i="33"/>
  <c r="A3933" i="33"/>
  <c r="B3933" i="33"/>
  <c r="A3934" i="33"/>
  <c r="B3934" i="33"/>
  <c r="A3935" i="33"/>
  <c r="B3935" i="33"/>
  <c r="A3936" i="33"/>
  <c r="B3936" i="33"/>
  <c r="A3937" i="33"/>
  <c r="B3937" i="33"/>
  <c r="A3938" i="33"/>
  <c r="B3938" i="33"/>
  <c r="A3939" i="33"/>
  <c r="B3939" i="33"/>
  <c r="A3940" i="33"/>
  <c r="B3940" i="33"/>
  <c r="A3941" i="33"/>
  <c r="B3941" i="33"/>
  <c r="A3942" i="33"/>
  <c r="B3942" i="33"/>
  <c r="A3943" i="33"/>
  <c r="B3943" i="33"/>
  <c r="A3944" i="33"/>
  <c r="B3944" i="33"/>
  <c r="A3945" i="33"/>
  <c r="B3945" i="33"/>
  <c r="A3946" i="33"/>
  <c r="B3946" i="33"/>
  <c r="A3947" i="33"/>
  <c r="B3947" i="33"/>
  <c r="A3948" i="33"/>
  <c r="B3948" i="33"/>
  <c r="A3949" i="33"/>
  <c r="B3949" i="33"/>
  <c r="A3950" i="33"/>
  <c r="B3950" i="33"/>
  <c r="A3951" i="33"/>
  <c r="B3951" i="33"/>
  <c r="A3952" i="33"/>
  <c r="B3952" i="33"/>
  <c r="A3953" i="33"/>
  <c r="B3953" i="33"/>
  <c r="A3954" i="33"/>
  <c r="B3954" i="33"/>
  <c r="A3955" i="33"/>
  <c r="B3955" i="33"/>
  <c r="A3956" i="33"/>
  <c r="B3956" i="33"/>
  <c r="A3957" i="33"/>
  <c r="B3957" i="33"/>
  <c r="A3958" i="33"/>
  <c r="B3958" i="33"/>
  <c r="A3959" i="33"/>
  <c r="B3959" i="33"/>
  <c r="A3960" i="33"/>
  <c r="B3960" i="33"/>
  <c r="A3961" i="33"/>
  <c r="B3961" i="33"/>
  <c r="A3962" i="33"/>
  <c r="B3962" i="33"/>
  <c r="A3963" i="33"/>
  <c r="B3963" i="33"/>
  <c r="A3964" i="33"/>
  <c r="B3964" i="33"/>
  <c r="A3965" i="33"/>
  <c r="B3965" i="33"/>
  <c r="A3966" i="33"/>
  <c r="B3966" i="33"/>
  <c r="A3967" i="33"/>
  <c r="B3967" i="33"/>
  <c r="A3968" i="33"/>
  <c r="B3968" i="33"/>
  <c r="A3969" i="33"/>
  <c r="B3969" i="33"/>
  <c r="A3970" i="33"/>
  <c r="B3970" i="33"/>
  <c r="A3971" i="33"/>
  <c r="B3971" i="33"/>
  <c r="A3972" i="33"/>
  <c r="B3972" i="33"/>
  <c r="A3973" i="33"/>
  <c r="B3973" i="33"/>
  <c r="A3974" i="33"/>
  <c r="B3974" i="33"/>
  <c r="A3975" i="33"/>
  <c r="B3975" i="33"/>
  <c r="A3976" i="33"/>
  <c r="B3976" i="33"/>
  <c r="A3977" i="33"/>
  <c r="B3977" i="33"/>
  <c r="A3978" i="33"/>
  <c r="B3978" i="33"/>
  <c r="A3979" i="33"/>
  <c r="B3979" i="33"/>
  <c r="A3980" i="33"/>
  <c r="B3980" i="33"/>
  <c r="A3981" i="33"/>
  <c r="B3981" i="33"/>
  <c r="A3982" i="33"/>
  <c r="B3982" i="33"/>
  <c r="A3983" i="33"/>
  <c r="B3983" i="33"/>
  <c r="A3984" i="33"/>
  <c r="B3984" i="33"/>
  <c r="A3985" i="33"/>
  <c r="B3985" i="33"/>
  <c r="A3986" i="33"/>
  <c r="B3986" i="33"/>
  <c r="A3987" i="33"/>
  <c r="B3987" i="33"/>
  <c r="A3988" i="33"/>
  <c r="B3988" i="33"/>
  <c r="A3989" i="33"/>
  <c r="B3989" i="33"/>
  <c r="A3990" i="33"/>
  <c r="B3990" i="33"/>
  <c r="A3991" i="33"/>
  <c r="B3991" i="33"/>
  <c r="A3992" i="33"/>
  <c r="B3992" i="33"/>
  <c r="A3993" i="33"/>
  <c r="B3993" i="33"/>
  <c r="A3994" i="33"/>
  <c r="B3994" i="33"/>
  <c r="A3995" i="33"/>
  <c r="B3995" i="33"/>
  <c r="A3996" i="33"/>
  <c r="B3996" i="33"/>
  <c r="A3997" i="33"/>
  <c r="B3997" i="33"/>
  <c r="A3998" i="33"/>
  <c r="B3998" i="33"/>
  <c r="A3999" i="33"/>
  <c r="B3999" i="33"/>
  <c r="A4000" i="33"/>
  <c r="B4000" i="33"/>
  <c r="A4001" i="33"/>
  <c r="B4001" i="33"/>
  <c r="A4002" i="33"/>
  <c r="B4002" i="33"/>
  <c r="A4003" i="33"/>
  <c r="B4003" i="33"/>
  <c r="A4004" i="33"/>
  <c r="B4004" i="33"/>
  <c r="A4005" i="33"/>
  <c r="B4005" i="33"/>
  <c r="A4006" i="33"/>
  <c r="B4006" i="33"/>
  <c r="A4007" i="33"/>
  <c r="B4007" i="33"/>
  <c r="A4008" i="33"/>
  <c r="B4008" i="33"/>
  <c r="A4009" i="33"/>
  <c r="B4009" i="33"/>
  <c r="A4010" i="33"/>
  <c r="B4010" i="33"/>
  <c r="A4011" i="33"/>
  <c r="B4011" i="33"/>
  <c r="A4012" i="33"/>
  <c r="B4012" i="33"/>
  <c r="A4013" i="33"/>
  <c r="B4013" i="33"/>
  <c r="A4014" i="33"/>
  <c r="B4014" i="33"/>
  <c r="A4015" i="33"/>
  <c r="B4015" i="33"/>
  <c r="A4016" i="33"/>
  <c r="B4016" i="33"/>
  <c r="A4017" i="33"/>
  <c r="B4017" i="33"/>
  <c r="A4018" i="33"/>
  <c r="B4018" i="33"/>
  <c r="A4019" i="33"/>
  <c r="B4019" i="33"/>
  <c r="A4020" i="33"/>
  <c r="B4020" i="33"/>
  <c r="A4021" i="33"/>
  <c r="B4021" i="33"/>
  <c r="A4022" i="33"/>
  <c r="B4022" i="33"/>
  <c r="A4023" i="33"/>
  <c r="B4023" i="33"/>
  <c r="A4024" i="33"/>
  <c r="B4024" i="33"/>
  <c r="A4025" i="33"/>
  <c r="B4025" i="33"/>
  <c r="A4026" i="33"/>
  <c r="B4026" i="33"/>
  <c r="A4027" i="33"/>
  <c r="B4027" i="33"/>
  <c r="A4028" i="33"/>
  <c r="B4028" i="33"/>
  <c r="A4029" i="33"/>
  <c r="B4029" i="33"/>
  <c r="A4030" i="33"/>
  <c r="B4030" i="33"/>
  <c r="A4031" i="33"/>
  <c r="B4031" i="33"/>
  <c r="A4032" i="33"/>
  <c r="B4032" i="33"/>
  <c r="A4033" i="33"/>
  <c r="B4033" i="33"/>
  <c r="A4034" i="33"/>
  <c r="B4034" i="33"/>
  <c r="A4035" i="33"/>
  <c r="A4036" i="33"/>
  <c r="B4036" i="33"/>
  <c r="A4037" i="33"/>
  <c r="B4037" i="33"/>
  <c r="A4038" i="33"/>
  <c r="B4038" i="33"/>
  <c r="A4039" i="33"/>
  <c r="B4039" i="33"/>
  <c r="A4040" i="33"/>
  <c r="B4040" i="33"/>
  <c r="A4041" i="33"/>
  <c r="B4041" i="33"/>
  <c r="A4042" i="33"/>
  <c r="B4042" i="33"/>
  <c r="A4043" i="33"/>
  <c r="B4043" i="33"/>
  <c r="A4044" i="33"/>
  <c r="B4044" i="33"/>
  <c r="A4045" i="33"/>
  <c r="B4045" i="33"/>
  <c r="A4046" i="33"/>
  <c r="B4046" i="33"/>
  <c r="A4047" i="33"/>
  <c r="B4047" i="33"/>
  <c r="A4048" i="33"/>
  <c r="B4048" i="33"/>
  <c r="A4049" i="33"/>
  <c r="B4049" i="33"/>
  <c r="A4050" i="33"/>
  <c r="A4051" i="33"/>
  <c r="B4051" i="33"/>
  <c r="A4052" i="33"/>
  <c r="B4052" i="33"/>
  <c r="A4053" i="33"/>
  <c r="B4053" i="33"/>
  <c r="A4054" i="33"/>
  <c r="B4054" i="33"/>
  <c r="A4055" i="33"/>
  <c r="B4055" i="33"/>
  <c r="A4056" i="33"/>
  <c r="B4056" i="33"/>
  <c r="A4057" i="33"/>
  <c r="B4057" i="33"/>
  <c r="A4058" i="33"/>
  <c r="B4058" i="33"/>
  <c r="A4059" i="33"/>
  <c r="B4059" i="33"/>
  <c r="A4060" i="33"/>
  <c r="B4060" i="33"/>
  <c r="A4061" i="33"/>
  <c r="B4061" i="33"/>
  <c r="A4062" i="33"/>
  <c r="B4062" i="33"/>
  <c r="A4063" i="33"/>
  <c r="B4063" i="33"/>
  <c r="A4064" i="33"/>
  <c r="B4064" i="33"/>
  <c r="A4065" i="33"/>
  <c r="B4065" i="33"/>
  <c r="A4066" i="33"/>
  <c r="B4066" i="33"/>
  <c r="A4067" i="33"/>
  <c r="B4067" i="33"/>
  <c r="A4068" i="33"/>
  <c r="B4068" i="33"/>
  <c r="A4069" i="33"/>
  <c r="B4069" i="33"/>
  <c r="A4070" i="33"/>
  <c r="B4070" i="33"/>
  <c r="A4071" i="33"/>
  <c r="B4071" i="33"/>
  <c r="A4072" i="33"/>
  <c r="B4072" i="33"/>
  <c r="A4073" i="33"/>
  <c r="B4073" i="33"/>
  <c r="A4074" i="33"/>
  <c r="B4074" i="33"/>
  <c r="A4075" i="33"/>
  <c r="B4075" i="33"/>
  <c r="A4076" i="33"/>
  <c r="B4076" i="33"/>
  <c r="A4077" i="33"/>
  <c r="B4077" i="33"/>
  <c r="A4078" i="33"/>
  <c r="B4078" i="33"/>
  <c r="A4079" i="33"/>
  <c r="B4079" i="33"/>
  <c r="A4080" i="33"/>
  <c r="B4080" i="33"/>
  <c r="A4081" i="33"/>
  <c r="B4081" i="33"/>
  <c r="A4082" i="33"/>
  <c r="B4082" i="33"/>
  <c r="A4083" i="33"/>
  <c r="B4083" i="33"/>
  <c r="A4084" i="33"/>
  <c r="B4084" i="33"/>
  <c r="A4085" i="33"/>
  <c r="B4085" i="33"/>
  <c r="A4086" i="33"/>
  <c r="B4086" i="33"/>
  <c r="A4087" i="33"/>
  <c r="B4087" i="33"/>
  <c r="A4088" i="33"/>
  <c r="B4088" i="33"/>
  <c r="A4089" i="33"/>
  <c r="B4089" i="33"/>
  <c r="A4090" i="33"/>
  <c r="B4090" i="33"/>
  <c r="A4091" i="33"/>
  <c r="B4091" i="33"/>
  <c r="A4092" i="33"/>
  <c r="B4092" i="33"/>
  <c r="A4093" i="33"/>
  <c r="B4093" i="33"/>
  <c r="A4094" i="33"/>
  <c r="B4094" i="33"/>
  <c r="A4095" i="33"/>
  <c r="B4095" i="33"/>
  <c r="A4096" i="33"/>
  <c r="B4096" i="33"/>
  <c r="A4097" i="33"/>
  <c r="B4097" i="33"/>
  <c r="A4098" i="33"/>
  <c r="B4098" i="33"/>
  <c r="A4099" i="33"/>
  <c r="B4099" i="33"/>
  <c r="A4100" i="33"/>
  <c r="B4100" i="33"/>
  <c r="A4101" i="33"/>
  <c r="B4101" i="33"/>
  <c r="A4102" i="33"/>
  <c r="B4102" i="33"/>
  <c r="A4103" i="33"/>
  <c r="B4103" i="33"/>
  <c r="A4104" i="33"/>
  <c r="B4104" i="33"/>
  <c r="A4105" i="33"/>
  <c r="B4105" i="33"/>
  <c r="A4106" i="33"/>
  <c r="B4106" i="33"/>
  <c r="A4107" i="33"/>
  <c r="B4107" i="33"/>
  <c r="A4108" i="33"/>
  <c r="B4108" i="33"/>
  <c r="A4109" i="33"/>
  <c r="B4109" i="33"/>
  <c r="A4110" i="33"/>
  <c r="B4110" i="33"/>
  <c r="A4111" i="33"/>
  <c r="B4111" i="33"/>
  <c r="A4112" i="33"/>
  <c r="B4112" i="33"/>
  <c r="A4113" i="33"/>
  <c r="B4113" i="33"/>
  <c r="A4114" i="33"/>
  <c r="B4114" i="33"/>
  <c r="A4115" i="33"/>
  <c r="A4116" i="33"/>
  <c r="B4116" i="33"/>
  <c r="A4117" i="33"/>
  <c r="B4117" i="33"/>
  <c r="A4118" i="33"/>
  <c r="B4118" i="33"/>
  <c r="A4119" i="33"/>
  <c r="B4119" i="33"/>
  <c r="A4120" i="33"/>
  <c r="B4120" i="33"/>
  <c r="A4121" i="33"/>
  <c r="B4121" i="33"/>
  <c r="A4122" i="33"/>
  <c r="B4122" i="33"/>
  <c r="A4123" i="33"/>
  <c r="B4123" i="33"/>
  <c r="A4124" i="33"/>
  <c r="B4124" i="33"/>
  <c r="A4125" i="33"/>
  <c r="B4125" i="33"/>
  <c r="A4126" i="33"/>
  <c r="B4126" i="33"/>
  <c r="A4127" i="33"/>
  <c r="B4127" i="33"/>
  <c r="A4128" i="33"/>
  <c r="B4128" i="33"/>
  <c r="A4129" i="33"/>
  <c r="B4129" i="33"/>
  <c r="A4130" i="33"/>
  <c r="B4130" i="33"/>
  <c r="A4131" i="33"/>
  <c r="B4131" i="33"/>
  <c r="A4132" i="33"/>
  <c r="B4132" i="33"/>
  <c r="A4133" i="33"/>
  <c r="B4133" i="33"/>
  <c r="A4134" i="33"/>
  <c r="B4134" i="33"/>
  <c r="A4135" i="33"/>
  <c r="B4135" i="33"/>
  <c r="A4136" i="33"/>
  <c r="B4136" i="33"/>
  <c r="A4137" i="33"/>
  <c r="B4137" i="33"/>
  <c r="A4138" i="33"/>
  <c r="B4138" i="33"/>
  <c r="A4139" i="33"/>
  <c r="B4139" i="33"/>
  <c r="A4140" i="33"/>
  <c r="B4140" i="33"/>
  <c r="A4141" i="33"/>
  <c r="B4141" i="33"/>
  <c r="A4142" i="33"/>
  <c r="B4142" i="33"/>
  <c r="A4143" i="33"/>
  <c r="B4143" i="33"/>
  <c r="A4144" i="33"/>
  <c r="B4144" i="33"/>
  <c r="A4145" i="33"/>
  <c r="B4145" i="33"/>
  <c r="A4146" i="33"/>
  <c r="B4146" i="33"/>
  <c r="A4147" i="33"/>
  <c r="B4147" i="33"/>
  <c r="A4148" i="33"/>
  <c r="B4148" i="33"/>
  <c r="A4149" i="33"/>
  <c r="B4149" i="33"/>
  <c r="A4150" i="33"/>
  <c r="B4150" i="33"/>
  <c r="A4151" i="33"/>
  <c r="B4151" i="33"/>
  <c r="A4152" i="33"/>
  <c r="B4152" i="33"/>
  <c r="A4153" i="33"/>
  <c r="B4153" i="33"/>
  <c r="A4154" i="33"/>
  <c r="B4154" i="33"/>
  <c r="A4155" i="33"/>
  <c r="B4155" i="33"/>
  <c r="A4156" i="33"/>
  <c r="B4156" i="33"/>
  <c r="A4157" i="33"/>
  <c r="B4157" i="33"/>
  <c r="A4158" i="33"/>
  <c r="B4158" i="33"/>
  <c r="A4159" i="33"/>
  <c r="B4159" i="33"/>
  <c r="A4160" i="33"/>
  <c r="B4160" i="33"/>
  <c r="A4161" i="33"/>
  <c r="B4161" i="33"/>
  <c r="A4162" i="33"/>
  <c r="B4162" i="33"/>
  <c r="A4163" i="33"/>
  <c r="B4163" i="33"/>
  <c r="A4164" i="33"/>
  <c r="B4164" i="33"/>
  <c r="A4165" i="33"/>
  <c r="B4165" i="33"/>
  <c r="A4166" i="33"/>
  <c r="B4166" i="33"/>
  <c r="A4167" i="33"/>
  <c r="B4167" i="33"/>
  <c r="A4168" i="33"/>
  <c r="B4168" i="33"/>
  <c r="A4169" i="33"/>
  <c r="B4169" i="33"/>
  <c r="A4170" i="33"/>
  <c r="B4170" i="33"/>
  <c r="A4171" i="33"/>
  <c r="B4171" i="33"/>
  <c r="A4172" i="33"/>
  <c r="B4172" i="33"/>
  <c r="A4173" i="33"/>
  <c r="B4173" i="33"/>
  <c r="A4174" i="33"/>
  <c r="B4174" i="33"/>
  <c r="A4175" i="33"/>
  <c r="B4175" i="33"/>
  <c r="A4176" i="33"/>
  <c r="B4176" i="33"/>
  <c r="A4177" i="33"/>
  <c r="B4177" i="33"/>
  <c r="A4178" i="33"/>
  <c r="B4178" i="33"/>
  <c r="A4179" i="33"/>
  <c r="B4179" i="33"/>
  <c r="A4180" i="33"/>
  <c r="B4180" i="33"/>
  <c r="A4181" i="33"/>
  <c r="B4181" i="33"/>
  <c r="A4182" i="33"/>
  <c r="B4182" i="33"/>
  <c r="A4183" i="33"/>
  <c r="B4183" i="33"/>
  <c r="A4184" i="33"/>
  <c r="B4184" i="33"/>
  <c r="A4185" i="33"/>
  <c r="B4185" i="33"/>
  <c r="A4186" i="33"/>
  <c r="B4186" i="33"/>
  <c r="A4187" i="33"/>
  <c r="B4187" i="33"/>
  <c r="A4188" i="33"/>
  <c r="B4188" i="33"/>
  <c r="A4189" i="33"/>
  <c r="B4189" i="33"/>
  <c r="A4190" i="33"/>
  <c r="B4190" i="33"/>
  <c r="A4191" i="33"/>
  <c r="B4191" i="33"/>
  <c r="A4192" i="33"/>
  <c r="B4192" i="33"/>
  <c r="A4193" i="33"/>
  <c r="B4193" i="33"/>
  <c r="A4194" i="33"/>
  <c r="B4194" i="33"/>
  <c r="A4195" i="33"/>
  <c r="B4195" i="33"/>
  <c r="A4196" i="33"/>
  <c r="B4196" i="33"/>
  <c r="A4197" i="33"/>
  <c r="B4197" i="33"/>
  <c r="A4198" i="33"/>
  <c r="B4198" i="33"/>
  <c r="A4199" i="33"/>
  <c r="B4199" i="33"/>
  <c r="A4200" i="33"/>
  <c r="B4200" i="33"/>
  <c r="A4201" i="33"/>
  <c r="B4201" i="33"/>
  <c r="A4202" i="33"/>
  <c r="B4202" i="33"/>
  <c r="A4203" i="33"/>
  <c r="B4203" i="33"/>
  <c r="A4204" i="33"/>
  <c r="B4204" i="33"/>
  <c r="A4205" i="33"/>
  <c r="B4205" i="33"/>
  <c r="A4206" i="33"/>
  <c r="B4206" i="33"/>
  <c r="A4207" i="33"/>
  <c r="B4207" i="33"/>
  <c r="A4208" i="33"/>
  <c r="B4208" i="33"/>
  <c r="A4209" i="33"/>
  <c r="B4209" i="33"/>
  <c r="A4210" i="33"/>
  <c r="B4210" i="33"/>
  <c r="A4211" i="33"/>
  <c r="B4211" i="33"/>
  <c r="A4212" i="33"/>
  <c r="B4212" i="33"/>
  <c r="A4213" i="33"/>
  <c r="B4213" i="33"/>
  <c r="A4214" i="33"/>
  <c r="B4214" i="33"/>
  <c r="A4215" i="33"/>
  <c r="B4215" i="33"/>
  <c r="A4216" i="33"/>
  <c r="B4216" i="33"/>
  <c r="A4217" i="33"/>
  <c r="B4217" i="33"/>
  <c r="A4218" i="33"/>
  <c r="B4218" i="33"/>
  <c r="A4219" i="33"/>
  <c r="B4219" i="33"/>
  <c r="A4220" i="33"/>
  <c r="B4220" i="33"/>
  <c r="A4221" i="33"/>
  <c r="B4221" i="33"/>
  <c r="A4222" i="33"/>
  <c r="B4222" i="33"/>
  <c r="A4223" i="33"/>
  <c r="B4223" i="33"/>
  <c r="A4224" i="33"/>
  <c r="B4224" i="33"/>
  <c r="A4225" i="33"/>
  <c r="B4225" i="33"/>
  <c r="A4226" i="33"/>
  <c r="B4226" i="33"/>
  <c r="A4227" i="33"/>
  <c r="B4227" i="33"/>
  <c r="A4228" i="33"/>
  <c r="B4228" i="33"/>
  <c r="A4229" i="33"/>
  <c r="B4229" i="33"/>
  <c r="A4230" i="33"/>
  <c r="B4230" i="33"/>
  <c r="A4231" i="33"/>
  <c r="B4231" i="33"/>
  <c r="A4232" i="33"/>
  <c r="B4232" i="33"/>
  <c r="A4233" i="33"/>
  <c r="B4233" i="33"/>
  <c r="A4234" i="33"/>
  <c r="B4234" i="33"/>
  <c r="A4235" i="33"/>
  <c r="B4235" i="33"/>
  <c r="A4236" i="33"/>
  <c r="B4236" i="33"/>
  <c r="A4237" i="33"/>
  <c r="B4237" i="33"/>
  <c r="A4238" i="33"/>
  <c r="B4238" i="33"/>
  <c r="A4239" i="33"/>
  <c r="B4239" i="33"/>
  <c r="A4240" i="33"/>
  <c r="B4240" i="33"/>
  <c r="A4241" i="33"/>
  <c r="B4241" i="33"/>
  <c r="A4242" i="33"/>
  <c r="B4242" i="33"/>
  <c r="A4243" i="33"/>
  <c r="B4243" i="33"/>
  <c r="A4244" i="33"/>
  <c r="B4244" i="33"/>
  <c r="A4245" i="33"/>
  <c r="B4245" i="33"/>
  <c r="A4246" i="33"/>
  <c r="B4246" i="33"/>
  <c r="A4247" i="33"/>
  <c r="B4247" i="33"/>
  <c r="A4248" i="33"/>
  <c r="B4248" i="33"/>
  <c r="A4249" i="33"/>
  <c r="B4249" i="33"/>
  <c r="A4250" i="33"/>
  <c r="B4250" i="33"/>
  <c r="A4251" i="33"/>
  <c r="B4251" i="33"/>
  <c r="A4252" i="33"/>
  <c r="B4252" i="33"/>
  <c r="A4253" i="33"/>
  <c r="B4253" i="33"/>
  <c r="A4254" i="33"/>
  <c r="B4254" i="33"/>
  <c r="A4255" i="33"/>
  <c r="B4255" i="33"/>
  <c r="A4256" i="33"/>
  <c r="B4256" i="33"/>
  <c r="A4257" i="33"/>
  <c r="B4257" i="33"/>
  <c r="A4258" i="33"/>
  <c r="B4258" i="33"/>
  <c r="A4259" i="33"/>
  <c r="B4259" i="33"/>
  <c r="A4260" i="33"/>
  <c r="B4260" i="33"/>
  <c r="A4261" i="33"/>
  <c r="B4261" i="33"/>
  <c r="A4262" i="33"/>
  <c r="B4262" i="33"/>
  <c r="A4263" i="33"/>
  <c r="B4263" i="33"/>
  <c r="A4264" i="33"/>
  <c r="B4264" i="33"/>
  <c r="A4265" i="33"/>
  <c r="B4265" i="33"/>
  <c r="A4266" i="33"/>
  <c r="B4266" i="33"/>
  <c r="A4267" i="33"/>
  <c r="B4267" i="33"/>
  <c r="A4268" i="33"/>
  <c r="B4268" i="33"/>
  <c r="A4269" i="33"/>
  <c r="B4269" i="33"/>
  <c r="A4270" i="33"/>
  <c r="B4270" i="33"/>
  <c r="A4271" i="33"/>
  <c r="B4271" i="33"/>
  <c r="A4272" i="33"/>
  <c r="B4272" i="33"/>
  <c r="A4273" i="33"/>
  <c r="A4274" i="33"/>
  <c r="B4274" i="33"/>
  <c r="A4275" i="33"/>
  <c r="B4275" i="33"/>
  <c r="A4276" i="33"/>
  <c r="B4276" i="33"/>
  <c r="A4277" i="33"/>
  <c r="B4277" i="33"/>
  <c r="A4278" i="33"/>
  <c r="B4278" i="33"/>
  <c r="A4279" i="33"/>
  <c r="B4279" i="33"/>
  <c r="A4280" i="33"/>
  <c r="B4280" i="33"/>
  <c r="A4281" i="33"/>
  <c r="B4281" i="33"/>
  <c r="A4282" i="33"/>
  <c r="B4282" i="33"/>
  <c r="A4283" i="33"/>
  <c r="B4283" i="33"/>
  <c r="A4284" i="33"/>
  <c r="B4284" i="33"/>
  <c r="A4285" i="33"/>
  <c r="B4285" i="33"/>
  <c r="A4286" i="33"/>
  <c r="B4286" i="33"/>
  <c r="A4287" i="33"/>
  <c r="B4287" i="33"/>
  <c r="A4288" i="33"/>
  <c r="A4289" i="33"/>
  <c r="B4289" i="33"/>
  <c r="A4290" i="33"/>
  <c r="B4290" i="33"/>
  <c r="A4291" i="33"/>
  <c r="B4291" i="33"/>
  <c r="A4292" i="33"/>
  <c r="B4292" i="33"/>
  <c r="A4293" i="33"/>
  <c r="B4293" i="33"/>
  <c r="A4294" i="33"/>
  <c r="B4294" i="33"/>
  <c r="A4295" i="33"/>
  <c r="B4295" i="33"/>
  <c r="A4296" i="33"/>
  <c r="B4296" i="33"/>
  <c r="A4297" i="33"/>
  <c r="B4297" i="33"/>
  <c r="A4298" i="33"/>
  <c r="B4298" i="33"/>
  <c r="A4299" i="33"/>
  <c r="B4299" i="33"/>
  <c r="A4300" i="33"/>
  <c r="B4300" i="33"/>
  <c r="A4301" i="33"/>
  <c r="B4301" i="33"/>
  <c r="A4302" i="33"/>
  <c r="B4302" i="33"/>
  <c r="A4303" i="33"/>
  <c r="B4303" i="33"/>
  <c r="A4304" i="33"/>
  <c r="B4304" i="33"/>
  <c r="A4305" i="33"/>
  <c r="B4305" i="33"/>
  <c r="A4306" i="33"/>
  <c r="B4306" i="33"/>
  <c r="A4307" i="33"/>
  <c r="B4307" i="33"/>
  <c r="A4308" i="33"/>
  <c r="B4308" i="33"/>
  <c r="A4309" i="33"/>
  <c r="B4309" i="33"/>
  <c r="A4310" i="33"/>
  <c r="B4310" i="33"/>
  <c r="A4311" i="33"/>
  <c r="B4311" i="33"/>
  <c r="A4312" i="33"/>
  <c r="B4312" i="33"/>
  <c r="A4313" i="33"/>
  <c r="B4313" i="33"/>
  <c r="A4314" i="33"/>
  <c r="B4314" i="33"/>
  <c r="A4315" i="33"/>
  <c r="B4315" i="33"/>
  <c r="A4316" i="33"/>
  <c r="B4316" i="33"/>
  <c r="A4317" i="33"/>
  <c r="B4317" i="33"/>
  <c r="A4318" i="33"/>
  <c r="B4318" i="33"/>
  <c r="A4319" i="33"/>
  <c r="B4319" i="33"/>
  <c r="A4320" i="33"/>
  <c r="B4320" i="33"/>
  <c r="A4321" i="33"/>
  <c r="B4321" i="33"/>
  <c r="A4322" i="33"/>
  <c r="B4322" i="33"/>
  <c r="A4323" i="33"/>
  <c r="B4323" i="33"/>
  <c r="A4324" i="33"/>
  <c r="B4324" i="33"/>
  <c r="A4325" i="33"/>
  <c r="B4325" i="33"/>
  <c r="A4326" i="33"/>
  <c r="B4326" i="33"/>
  <c r="A4327" i="33"/>
  <c r="B4327" i="33"/>
  <c r="A4328" i="33"/>
  <c r="B4328" i="33"/>
  <c r="A4329" i="33"/>
  <c r="B4329" i="33"/>
  <c r="A4330" i="33"/>
  <c r="B4330" i="33"/>
  <c r="A4331" i="33"/>
  <c r="B4331" i="33"/>
  <c r="A4332" i="33"/>
  <c r="B4332" i="33"/>
  <c r="A4333" i="33"/>
  <c r="B4333" i="33"/>
  <c r="A4334" i="33"/>
  <c r="B4334" i="33"/>
  <c r="A4335" i="33"/>
  <c r="B4335" i="33"/>
  <c r="A4336" i="33"/>
  <c r="B4336" i="33"/>
  <c r="A4337" i="33"/>
  <c r="B4337" i="33"/>
  <c r="A4338" i="33"/>
  <c r="B4338" i="33"/>
  <c r="A4339" i="33"/>
  <c r="B4339" i="33"/>
  <c r="A4340" i="33"/>
  <c r="B4340" i="33"/>
  <c r="A4341" i="33"/>
  <c r="B4341" i="33"/>
  <c r="A4342" i="33"/>
  <c r="B4342" i="33"/>
  <c r="A4343" i="33"/>
  <c r="B4343" i="33"/>
  <c r="A4344" i="33"/>
  <c r="B4344" i="33"/>
  <c r="A4345" i="33"/>
  <c r="B4345" i="33"/>
  <c r="A4346" i="33"/>
  <c r="B4346" i="33"/>
  <c r="A4347" i="33"/>
  <c r="B4347" i="33"/>
  <c r="A4348" i="33"/>
  <c r="B4348" i="33"/>
  <c r="A4349" i="33"/>
  <c r="B4349" i="33"/>
  <c r="A4350" i="33"/>
  <c r="B4350" i="33"/>
  <c r="A4351" i="33"/>
  <c r="B4351" i="33"/>
  <c r="A4352" i="33"/>
  <c r="B4352" i="33"/>
  <c r="A4353" i="33"/>
  <c r="B4353" i="33"/>
  <c r="A4354" i="33"/>
  <c r="B4354" i="33"/>
  <c r="A4355" i="33"/>
  <c r="B4355" i="33"/>
  <c r="A4356" i="33"/>
  <c r="B4356" i="33"/>
  <c r="A4357" i="33"/>
  <c r="B4357" i="33"/>
  <c r="A4358" i="33"/>
  <c r="B4358" i="33"/>
  <c r="A4359" i="33"/>
  <c r="B4359" i="33"/>
  <c r="A4360" i="33"/>
  <c r="B4360" i="33"/>
  <c r="A4361" i="33"/>
  <c r="B4361" i="33"/>
  <c r="A4362" i="33"/>
  <c r="B4362" i="33"/>
  <c r="A4363" i="33"/>
  <c r="B4363" i="33"/>
  <c r="A4364" i="33"/>
  <c r="B4364" i="33"/>
  <c r="A4365" i="33"/>
  <c r="B4365" i="33"/>
  <c r="A4366" i="33"/>
  <c r="B4366" i="33"/>
  <c r="A4367" i="33"/>
  <c r="B4367" i="33"/>
  <c r="A4368" i="33"/>
  <c r="B4368" i="33"/>
  <c r="A4369" i="33"/>
  <c r="B4369" i="33"/>
  <c r="A4370" i="33"/>
  <c r="B4370" i="33"/>
  <c r="A4371" i="33"/>
  <c r="B4371" i="33"/>
  <c r="A4372" i="33"/>
  <c r="B4372" i="33"/>
  <c r="A4373" i="33"/>
  <c r="B4373" i="33"/>
  <c r="A4374" i="33"/>
  <c r="B4374" i="33"/>
  <c r="A4375" i="33"/>
  <c r="B4375" i="33"/>
  <c r="A4376" i="33"/>
  <c r="B4376" i="33"/>
  <c r="A4377" i="33"/>
  <c r="B4377" i="33"/>
  <c r="A4378" i="33"/>
  <c r="B4378" i="33"/>
  <c r="A4379" i="33"/>
  <c r="B4379" i="33"/>
  <c r="A4380" i="33"/>
  <c r="B4380" i="33"/>
  <c r="A4381" i="33"/>
  <c r="B4381" i="33"/>
  <c r="A4382" i="33"/>
  <c r="B4382" i="33"/>
  <c r="A4383" i="33"/>
  <c r="B4383" i="33"/>
  <c r="A4384" i="33"/>
  <c r="B4384" i="33"/>
  <c r="A4385" i="33"/>
  <c r="B4385" i="33"/>
  <c r="A4386" i="33"/>
  <c r="B4386" i="33"/>
  <c r="A4387" i="33"/>
  <c r="B4387" i="33"/>
  <c r="A4388" i="33"/>
  <c r="B4388" i="33"/>
  <c r="A4389" i="33"/>
  <c r="B4389" i="33"/>
  <c r="A4390" i="33"/>
  <c r="B4390" i="33"/>
  <c r="A4391" i="33"/>
  <c r="B4391" i="33"/>
  <c r="A4392" i="33"/>
  <c r="B4392" i="33"/>
  <c r="A4393" i="33"/>
  <c r="B4393" i="33"/>
  <c r="A4394" i="33"/>
  <c r="B4394" i="33"/>
  <c r="A4395" i="33"/>
  <c r="B4395" i="33"/>
  <c r="A4396" i="33"/>
  <c r="B4396" i="33"/>
  <c r="A4397" i="33"/>
  <c r="B4397" i="33"/>
  <c r="A4398" i="33"/>
  <c r="B4398" i="33"/>
  <c r="A4399" i="33"/>
  <c r="B4399" i="33"/>
  <c r="A4400" i="33"/>
  <c r="B4400" i="33"/>
  <c r="A4401" i="33"/>
  <c r="B4401" i="33"/>
  <c r="A4402" i="33"/>
  <c r="B4402" i="33"/>
  <c r="A4403" i="33"/>
  <c r="B4403" i="33"/>
  <c r="A4404" i="33"/>
  <c r="B4404" i="33"/>
  <c r="A4405" i="33"/>
  <c r="B4405" i="33"/>
  <c r="A4406" i="33"/>
  <c r="B4406" i="33"/>
  <c r="A4407" i="33"/>
  <c r="B4407" i="33"/>
  <c r="A4408" i="33"/>
  <c r="B4408" i="33"/>
  <c r="A4409" i="33"/>
  <c r="B4409" i="33"/>
  <c r="A4410" i="33"/>
  <c r="B4410" i="33"/>
  <c r="A4411" i="33"/>
  <c r="B4411" i="33"/>
  <c r="A4412" i="33"/>
  <c r="B4412" i="33"/>
  <c r="A4413" i="33"/>
  <c r="B4413" i="33"/>
  <c r="A4414" i="33"/>
  <c r="B4414" i="33"/>
  <c r="A4415" i="33"/>
  <c r="B4415" i="33"/>
  <c r="A4416" i="33"/>
  <c r="B4416" i="33"/>
  <c r="A4417" i="33"/>
  <c r="B4417" i="33"/>
  <c r="A4418" i="33"/>
  <c r="B4418" i="33"/>
  <c r="A4419" i="33"/>
  <c r="B4419" i="33"/>
  <c r="A4420" i="33"/>
  <c r="B4420" i="33"/>
  <c r="A4421" i="33"/>
  <c r="B4421" i="33"/>
  <c r="A4422" i="33"/>
  <c r="B4422" i="33"/>
  <c r="A4423" i="33"/>
  <c r="B4423" i="33"/>
  <c r="A4424" i="33"/>
  <c r="B4424" i="33"/>
  <c r="A4425" i="33"/>
  <c r="B4425" i="33"/>
  <c r="A4426" i="33"/>
  <c r="B4426" i="33"/>
  <c r="A4427" i="33"/>
  <c r="B4427" i="33"/>
  <c r="A4428" i="33"/>
  <c r="B4428" i="33"/>
  <c r="A4429" i="33"/>
  <c r="B4429" i="33"/>
  <c r="A4430" i="33"/>
  <c r="B4430" i="33"/>
  <c r="A4431" i="33"/>
  <c r="B4431" i="33"/>
  <c r="A4432" i="33"/>
  <c r="B4432" i="33"/>
  <c r="A4433" i="33"/>
  <c r="B4433" i="33"/>
  <c r="A4434" i="33"/>
  <c r="B4434" i="33"/>
  <c r="A4435" i="33"/>
  <c r="B4435" i="33"/>
  <c r="A4436" i="33"/>
  <c r="B4436" i="33"/>
  <c r="A4437" i="33"/>
  <c r="B4437" i="33"/>
  <c r="A4438" i="33"/>
  <c r="B4438" i="33"/>
  <c r="A4439" i="33"/>
  <c r="B4439" i="33"/>
  <c r="A4440" i="33"/>
  <c r="B4440" i="33"/>
  <c r="A4441" i="33"/>
  <c r="B4441" i="33"/>
  <c r="A4442" i="33"/>
  <c r="B4442" i="33"/>
  <c r="A4443" i="33"/>
  <c r="B4443" i="33"/>
  <c r="A4444" i="33"/>
  <c r="B4444" i="33"/>
  <c r="A4445" i="33"/>
  <c r="B4445" i="33"/>
  <c r="A4446" i="33"/>
  <c r="B4446" i="33"/>
  <c r="A4447" i="33"/>
  <c r="B4447" i="33"/>
  <c r="A4448" i="33"/>
  <c r="B4448" i="33"/>
  <c r="A4449" i="33"/>
  <c r="B4449" i="33"/>
  <c r="A4450" i="33"/>
  <c r="B4450" i="33"/>
  <c r="A4451" i="33"/>
  <c r="B4451" i="33"/>
  <c r="A4452" i="33"/>
  <c r="B4452" i="33"/>
  <c r="A4453" i="33"/>
  <c r="B4453" i="33"/>
  <c r="A4454" i="33"/>
  <c r="B4454" i="33"/>
  <c r="A4455" i="33"/>
  <c r="B4455" i="33"/>
  <c r="A4456" i="33"/>
  <c r="B4456" i="33"/>
  <c r="A4457" i="33"/>
  <c r="B4457" i="33"/>
  <c r="A4458" i="33"/>
  <c r="B4458" i="33"/>
  <c r="A4459" i="33"/>
  <c r="B4459" i="33"/>
  <c r="A4460" i="33"/>
  <c r="B4460" i="33"/>
  <c r="A4461" i="33"/>
  <c r="B4461" i="33"/>
  <c r="A4462" i="33"/>
  <c r="B4462" i="33"/>
  <c r="A4463" i="33"/>
  <c r="B4463" i="33"/>
  <c r="A4464" i="33"/>
  <c r="B4464" i="33"/>
  <c r="A4465" i="33"/>
  <c r="B4465" i="33"/>
  <c r="A4466" i="33"/>
  <c r="B4466" i="33"/>
  <c r="A4467" i="33"/>
  <c r="A4468" i="33"/>
  <c r="A4469" i="33"/>
  <c r="A4470" i="33"/>
  <c r="B4470" i="33"/>
  <c r="A4471" i="33"/>
  <c r="B4471" i="33"/>
  <c r="A4472" i="33"/>
  <c r="B4472" i="33"/>
  <c r="A4473" i="33"/>
  <c r="B4473" i="33"/>
  <c r="A4474" i="33"/>
  <c r="B4474" i="33"/>
  <c r="A4475" i="33"/>
  <c r="B4475" i="33"/>
  <c r="A4476" i="33"/>
  <c r="B4476" i="33"/>
  <c r="A4477" i="33"/>
  <c r="B4477" i="33"/>
  <c r="A4478" i="33"/>
  <c r="B4478" i="33"/>
  <c r="A4479" i="33"/>
  <c r="B4479" i="33"/>
  <c r="A4480" i="33"/>
  <c r="B4480" i="33"/>
  <c r="A4481" i="33"/>
  <c r="B4481" i="33"/>
  <c r="A4482" i="33"/>
  <c r="B4482" i="33"/>
  <c r="A4483" i="33"/>
  <c r="B4483" i="33"/>
  <c r="A4484" i="33"/>
  <c r="B4484" i="33"/>
  <c r="A4485" i="33"/>
  <c r="B4485" i="33"/>
  <c r="A4486" i="33"/>
  <c r="B4486" i="33"/>
  <c r="A4487" i="33"/>
  <c r="B4487" i="33"/>
  <c r="A4488" i="33"/>
  <c r="B4488" i="33"/>
  <c r="A4489" i="33"/>
  <c r="B4489" i="33"/>
  <c r="A4490" i="33"/>
  <c r="B4490" i="33"/>
  <c r="A4491" i="33"/>
  <c r="B4491" i="33"/>
  <c r="A4492" i="33"/>
  <c r="B4492" i="33"/>
  <c r="A4493" i="33"/>
  <c r="B4493" i="33"/>
  <c r="A4494" i="33"/>
  <c r="B4494" i="33"/>
  <c r="A4495" i="33"/>
  <c r="B4495" i="33"/>
  <c r="A4496" i="33"/>
  <c r="B4496" i="33"/>
  <c r="A4497" i="33"/>
  <c r="B4497" i="33"/>
  <c r="A4498" i="33"/>
  <c r="B4498" i="33"/>
  <c r="A4499" i="33"/>
  <c r="B4499" i="33"/>
  <c r="A4500" i="33"/>
  <c r="B4500" i="33"/>
  <c r="A4501" i="33"/>
  <c r="B4501" i="33"/>
  <c r="A4502" i="33"/>
  <c r="B4502" i="33"/>
  <c r="A4503" i="33"/>
  <c r="B4503" i="33"/>
  <c r="A4504" i="33"/>
  <c r="B4504" i="33"/>
  <c r="A4505" i="33"/>
  <c r="B4505" i="33"/>
  <c r="A4506" i="33"/>
  <c r="B4506" i="33"/>
  <c r="A4507" i="33"/>
  <c r="B4507" i="33"/>
  <c r="A4508" i="33"/>
  <c r="B4508" i="33"/>
  <c r="A4509" i="33"/>
  <c r="B4509" i="33"/>
  <c r="A4510" i="33"/>
  <c r="B4510" i="33"/>
  <c r="A4511" i="33"/>
  <c r="B4511" i="33"/>
  <c r="A4512" i="33"/>
  <c r="B4512" i="33"/>
  <c r="A4513" i="33"/>
  <c r="B4513" i="33"/>
  <c r="A4514" i="33"/>
  <c r="B4514" i="33"/>
  <c r="A4515" i="33"/>
  <c r="B4515" i="33"/>
  <c r="A4516" i="33"/>
  <c r="B4516" i="33"/>
  <c r="A4517" i="33"/>
  <c r="B4517" i="33"/>
  <c r="A4518" i="33"/>
  <c r="B4518" i="33"/>
  <c r="A4519" i="33"/>
  <c r="B4519" i="33"/>
  <c r="A4520" i="33"/>
  <c r="B4520" i="33"/>
  <c r="A4521" i="33"/>
  <c r="B4521" i="33"/>
  <c r="A4522" i="33"/>
  <c r="B4522" i="33"/>
  <c r="A4523" i="33"/>
  <c r="B4523" i="33"/>
  <c r="A4524" i="33"/>
  <c r="B4524" i="33"/>
  <c r="A4525" i="33"/>
  <c r="B4525" i="33"/>
  <c r="A4526" i="33"/>
  <c r="B4526" i="33"/>
  <c r="A4527" i="33"/>
  <c r="B4527" i="33"/>
  <c r="A4528" i="33"/>
  <c r="B4528" i="33"/>
  <c r="A4529" i="33"/>
  <c r="B4529" i="33"/>
  <c r="A4530" i="33"/>
  <c r="B4530" i="33"/>
  <c r="A4531" i="33"/>
  <c r="B4531" i="33"/>
  <c r="A4532" i="33"/>
  <c r="B4532" i="33"/>
  <c r="A4533" i="33"/>
  <c r="B4533" i="33"/>
  <c r="A4534" i="33"/>
  <c r="B4534" i="33"/>
  <c r="A4535" i="33"/>
  <c r="B4535" i="33"/>
  <c r="A4536" i="33"/>
  <c r="B4536" i="33"/>
  <c r="A4537" i="33"/>
  <c r="B4537" i="33"/>
  <c r="A4538" i="33"/>
  <c r="B4538" i="33"/>
  <c r="A4539" i="33"/>
  <c r="B4539" i="33"/>
  <c r="A4540" i="33"/>
  <c r="B4540" i="33"/>
  <c r="A4541" i="33"/>
  <c r="B4541" i="33"/>
  <c r="A4542" i="33"/>
  <c r="B4542" i="33"/>
  <c r="A4543" i="33"/>
  <c r="B4543" i="33"/>
  <c r="A4544" i="33"/>
  <c r="B4544" i="33"/>
  <c r="A4545" i="33"/>
  <c r="B4545" i="33"/>
  <c r="A4546" i="33"/>
  <c r="B4546" i="33"/>
  <c r="A4547" i="33"/>
  <c r="B4547" i="33"/>
  <c r="A4548" i="33"/>
  <c r="B4548" i="33"/>
  <c r="A4549" i="33"/>
  <c r="B4549" i="33"/>
  <c r="A4550" i="33"/>
  <c r="B4550" i="33"/>
  <c r="A4551" i="33"/>
  <c r="B4551" i="33"/>
  <c r="A4552" i="33"/>
  <c r="B4552" i="33"/>
  <c r="A4553" i="33"/>
  <c r="B4553" i="33"/>
  <c r="A4554" i="33"/>
  <c r="B4554" i="33"/>
  <c r="A4555" i="33"/>
  <c r="B4555" i="33"/>
  <c r="A4556" i="33"/>
  <c r="B4556" i="33"/>
  <c r="A4557" i="33"/>
  <c r="B4557" i="33"/>
  <c r="A4558" i="33"/>
  <c r="B4558" i="33"/>
  <c r="A4559" i="33"/>
  <c r="B4559" i="33"/>
  <c r="A4560" i="33"/>
  <c r="B4560" i="33"/>
  <c r="A4561" i="33"/>
  <c r="B4561" i="33"/>
  <c r="A4562" i="33"/>
  <c r="B4562" i="33"/>
  <c r="A4563" i="33"/>
  <c r="B4563" i="33"/>
  <c r="A4564" i="33"/>
  <c r="B4564" i="33"/>
  <c r="A4565" i="33"/>
  <c r="B4565" i="33"/>
  <c r="A4566" i="33"/>
  <c r="B4566" i="33"/>
  <c r="A4567" i="33"/>
  <c r="B4567" i="33"/>
  <c r="A4568" i="33"/>
  <c r="B4568" i="33"/>
  <c r="A4569" i="33"/>
  <c r="B4569" i="33"/>
  <c r="A4570" i="33"/>
  <c r="B4570" i="33"/>
  <c r="A4571" i="33"/>
  <c r="B4571" i="33"/>
  <c r="A4572" i="33"/>
  <c r="B4572" i="33"/>
  <c r="A4573" i="33"/>
  <c r="B4573" i="33"/>
  <c r="A4574" i="33"/>
  <c r="B4574" i="33"/>
  <c r="A4575" i="33"/>
  <c r="B4575" i="33"/>
  <c r="A4576" i="33"/>
  <c r="B4576" i="33"/>
  <c r="A4577" i="33"/>
  <c r="B4577" i="33"/>
  <c r="A4578" i="33"/>
  <c r="B4578" i="33"/>
  <c r="A4579" i="33"/>
  <c r="B4579" i="33"/>
  <c r="A4580" i="33"/>
  <c r="B4580" i="33"/>
  <c r="A4581" i="33"/>
  <c r="B4581" i="33"/>
  <c r="A4582" i="33"/>
  <c r="B4582" i="33"/>
  <c r="A4583" i="33"/>
  <c r="B4583" i="33"/>
  <c r="A4584" i="33"/>
  <c r="B4584" i="33"/>
  <c r="A4585" i="33"/>
  <c r="B4585" i="33"/>
  <c r="A4586" i="33"/>
  <c r="B4586" i="33"/>
  <c r="A4587" i="33"/>
  <c r="B4587" i="33"/>
  <c r="A4588" i="33"/>
  <c r="B4588" i="33"/>
  <c r="A4589" i="33"/>
  <c r="B4589" i="33"/>
  <c r="A4590" i="33"/>
  <c r="B4590" i="33"/>
  <c r="A4591" i="33"/>
  <c r="B4591" i="33"/>
  <c r="A4592" i="33"/>
  <c r="B4592" i="33"/>
  <c r="A4593" i="33"/>
  <c r="B4593" i="33"/>
  <c r="A4594" i="33"/>
  <c r="B4594" i="33"/>
  <c r="A4595" i="33"/>
  <c r="B4595" i="33"/>
  <c r="A4596" i="33"/>
  <c r="B4596" i="33"/>
  <c r="A4597" i="33"/>
  <c r="B4597" i="33"/>
  <c r="A4598" i="33"/>
  <c r="B4598" i="33"/>
  <c r="A4599" i="33"/>
  <c r="B4599" i="33"/>
  <c r="A4600" i="33"/>
  <c r="B4600" i="33"/>
  <c r="A4601" i="33"/>
  <c r="B4601" i="33"/>
  <c r="A4602" i="33"/>
  <c r="B4602" i="33"/>
  <c r="A4603" i="33"/>
  <c r="B4603" i="33"/>
  <c r="A4604" i="33"/>
  <c r="B4604" i="33"/>
  <c r="A4605" i="33"/>
  <c r="B4605" i="33"/>
  <c r="A4606" i="33"/>
  <c r="B4606" i="33"/>
  <c r="A4607" i="33"/>
  <c r="B4607" i="33"/>
  <c r="A4608" i="33"/>
  <c r="B4608" i="33"/>
  <c r="A4609" i="33"/>
  <c r="B4609" i="33"/>
  <c r="A4610" i="33"/>
  <c r="B4610" i="33"/>
  <c r="A4611" i="33"/>
  <c r="B4611" i="33"/>
  <c r="A4612" i="33"/>
  <c r="B4612" i="33"/>
  <c r="A4613" i="33"/>
  <c r="B4613" i="33"/>
  <c r="A4614" i="33"/>
  <c r="B4614" i="33"/>
  <c r="A4615" i="33"/>
  <c r="B4615" i="33"/>
  <c r="A4616" i="33"/>
  <c r="B4616" i="33"/>
  <c r="A4617" i="33"/>
  <c r="B4617" i="33"/>
  <c r="A4618" i="33"/>
  <c r="B4618" i="33"/>
  <c r="A4619" i="33"/>
  <c r="B4619" i="33"/>
  <c r="A4620" i="33"/>
  <c r="B4620" i="33"/>
  <c r="A4621" i="33"/>
  <c r="B4621" i="33"/>
  <c r="A4622" i="33"/>
  <c r="B4622" i="33"/>
  <c r="A4623" i="33"/>
  <c r="B4623" i="33"/>
  <c r="A4624" i="33"/>
  <c r="B4624" i="33"/>
  <c r="A4625" i="33"/>
  <c r="B4625" i="33"/>
  <c r="A4626" i="33"/>
  <c r="B4626" i="33"/>
  <c r="A4627" i="33"/>
  <c r="B4627" i="33"/>
  <c r="A4628" i="33"/>
  <c r="B4628" i="33"/>
  <c r="A4629" i="33"/>
  <c r="B4629" i="33"/>
  <c r="A4630" i="33"/>
  <c r="B4630" i="33"/>
  <c r="A4631" i="33"/>
  <c r="B4631" i="33"/>
  <c r="A4632" i="33"/>
  <c r="B4632" i="33"/>
  <c r="A4633" i="33"/>
  <c r="B4633" i="33"/>
  <c r="A4634" i="33"/>
  <c r="A4635" i="33"/>
  <c r="B4635" i="33"/>
  <c r="A4636" i="33"/>
  <c r="B4636" i="33"/>
  <c r="A4637" i="33"/>
  <c r="B4637" i="33"/>
  <c r="A4638" i="33"/>
  <c r="B4638" i="33"/>
  <c r="A4639" i="33"/>
  <c r="B4639" i="33"/>
  <c r="A4640" i="33"/>
  <c r="B4640" i="33"/>
  <c r="A4641" i="33"/>
  <c r="B4641" i="33"/>
  <c r="A4642" i="33"/>
  <c r="B4642" i="33"/>
  <c r="A4643" i="33"/>
  <c r="B4643" i="33"/>
  <c r="A4644" i="33"/>
  <c r="B4644" i="33"/>
  <c r="A4645" i="33"/>
  <c r="B4645" i="33"/>
  <c r="A4646" i="33"/>
  <c r="B4646" i="33"/>
  <c r="A4647" i="33"/>
  <c r="B4647" i="33"/>
  <c r="A4648" i="33"/>
  <c r="B4648" i="33"/>
  <c r="A4649" i="33"/>
  <c r="B4649" i="33"/>
  <c r="A4650" i="33"/>
  <c r="B4650" i="33"/>
  <c r="A4651" i="33"/>
  <c r="B4651" i="33"/>
  <c r="A4652" i="33"/>
  <c r="B4652" i="33"/>
  <c r="A4653" i="33"/>
  <c r="B4653" i="33"/>
  <c r="A4654" i="33"/>
  <c r="B4654" i="33"/>
  <c r="A4655" i="33"/>
  <c r="B4655" i="33"/>
  <c r="A4656" i="33"/>
  <c r="B4656" i="33"/>
  <c r="A4657" i="33"/>
  <c r="B4657" i="33"/>
  <c r="A4658" i="33"/>
  <c r="B4658" i="33"/>
  <c r="A4659" i="33"/>
  <c r="B4659" i="33"/>
  <c r="A4660" i="33"/>
  <c r="B4660" i="33"/>
  <c r="A4661" i="33"/>
  <c r="B4661" i="33"/>
  <c r="A4662" i="33"/>
  <c r="B4662" i="33"/>
  <c r="A4663" i="33"/>
  <c r="B4663" i="33"/>
  <c r="A4664" i="33"/>
  <c r="B4664" i="33"/>
  <c r="A4665" i="33"/>
  <c r="B4665" i="33"/>
  <c r="A4666" i="33"/>
  <c r="B4666" i="33"/>
  <c r="A4667" i="33"/>
  <c r="B4667" i="33"/>
  <c r="A4668" i="33"/>
  <c r="B4668" i="33"/>
  <c r="A4669" i="33"/>
  <c r="B4669" i="33"/>
  <c r="A4670" i="33"/>
  <c r="B4670" i="33"/>
  <c r="A4671" i="33"/>
  <c r="B4671" i="33"/>
  <c r="A4672" i="33"/>
  <c r="B4672" i="33"/>
  <c r="A4673" i="33"/>
  <c r="B4673" i="33"/>
  <c r="A4674" i="33"/>
  <c r="B4674" i="33"/>
  <c r="A4675" i="33"/>
  <c r="B4675" i="33"/>
  <c r="A4676" i="33"/>
  <c r="B4676" i="33"/>
  <c r="A4677" i="33"/>
  <c r="B4677" i="33"/>
  <c r="A4678" i="33"/>
  <c r="B4678" i="33"/>
  <c r="A4679" i="33"/>
  <c r="B4679" i="33"/>
  <c r="A4680" i="33"/>
  <c r="B4680" i="33"/>
  <c r="A4681" i="33"/>
  <c r="B4681" i="33"/>
  <c r="A4682" i="33"/>
  <c r="B4682" i="33"/>
  <c r="A4683" i="33"/>
  <c r="B4683" i="33"/>
  <c r="A4684" i="33"/>
  <c r="B4684" i="33"/>
  <c r="A4685" i="33"/>
  <c r="B4685" i="33"/>
  <c r="A4686" i="33"/>
  <c r="B4686" i="33"/>
  <c r="A4687" i="33"/>
  <c r="B4687" i="33"/>
  <c r="A4688" i="33"/>
  <c r="B4688" i="33"/>
  <c r="A4689" i="33"/>
  <c r="B4689" i="33"/>
  <c r="A4690" i="33"/>
  <c r="B4690" i="33"/>
  <c r="A4691" i="33"/>
  <c r="B4691" i="33"/>
  <c r="A4692" i="33"/>
  <c r="B4692" i="33"/>
  <c r="A4693" i="33"/>
  <c r="B4693" i="33"/>
  <c r="A4694" i="33"/>
  <c r="B4694" i="33"/>
  <c r="A4695" i="33"/>
  <c r="B4695" i="33"/>
  <c r="A4696" i="33"/>
  <c r="B4696" i="33"/>
  <c r="A4697" i="33"/>
  <c r="B4697" i="33"/>
  <c r="A4698" i="33"/>
  <c r="B4698" i="33"/>
  <c r="A4699" i="33"/>
  <c r="B4699" i="33"/>
  <c r="A4700" i="33"/>
  <c r="B4700" i="33"/>
  <c r="A4701" i="33"/>
  <c r="B4701" i="33"/>
  <c r="A4702" i="33"/>
  <c r="B4702" i="33"/>
  <c r="A4703" i="33"/>
  <c r="B4703" i="33"/>
  <c r="A4704" i="33"/>
  <c r="B4704" i="33"/>
  <c r="A4705" i="33"/>
  <c r="B4705" i="33"/>
  <c r="A4706" i="33"/>
  <c r="B4706" i="33"/>
  <c r="A4707" i="33"/>
  <c r="B4707" i="33"/>
  <c r="A4708" i="33"/>
  <c r="B4708" i="33"/>
  <c r="A4709" i="33"/>
  <c r="B4709" i="33"/>
  <c r="A4710" i="33"/>
  <c r="B4710" i="33"/>
  <c r="A4711" i="33"/>
  <c r="B4711" i="33"/>
  <c r="A4712" i="33"/>
  <c r="B4712" i="33"/>
  <c r="A4713" i="33"/>
  <c r="B4713" i="33"/>
  <c r="A4714" i="33"/>
  <c r="B4714" i="33"/>
  <c r="A4715" i="33"/>
  <c r="B4715" i="33"/>
  <c r="A4716" i="33"/>
  <c r="B4716" i="33"/>
  <c r="A4717" i="33"/>
  <c r="B4717" i="33"/>
  <c r="A4718" i="33"/>
  <c r="B4718" i="33"/>
  <c r="A4719" i="33"/>
  <c r="B4719" i="33"/>
  <c r="A4720" i="33"/>
  <c r="B4720" i="33"/>
  <c r="A4721" i="33"/>
  <c r="B4721" i="33"/>
  <c r="A4722" i="33"/>
  <c r="B4722" i="33"/>
  <c r="A4723" i="33"/>
  <c r="B4723" i="33"/>
  <c r="A4724" i="33"/>
  <c r="B4724" i="33"/>
  <c r="A4725" i="33"/>
  <c r="B4725" i="33"/>
  <c r="A4726" i="33"/>
  <c r="B4726" i="33"/>
  <c r="A4727" i="33"/>
  <c r="B4727" i="33"/>
  <c r="A4728" i="33"/>
  <c r="B4728" i="33"/>
  <c r="A4729" i="33"/>
  <c r="B4729" i="33"/>
  <c r="A4730" i="33"/>
  <c r="B4730" i="33"/>
  <c r="A4731" i="33"/>
  <c r="B4731" i="33"/>
  <c r="A4732" i="33"/>
  <c r="B4732" i="33"/>
  <c r="A4735" i="33"/>
  <c r="B4735" i="33"/>
  <c r="A4736" i="33"/>
  <c r="B4736" i="33"/>
  <c r="A4737" i="33"/>
  <c r="B4737" i="33"/>
  <c r="A4738" i="33"/>
  <c r="A4739" i="33"/>
  <c r="B4739" i="33"/>
  <c r="A4740" i="33"/>
  <c r="B4740" i="33"/>
  <c r="A4741" i="33"/>
  <c r="B4741" i="33"/>
  <c r="A4742" i="33"/>
  <c r="B4742" i="33"/>
  <c r="A4743" i="33"/>
  <c r="B4743" i="33"/>
  <c r="A4744" i="33"/>
  <c r="B4744" i="33"/>
  <c r="A4745" i="33"/>
  <c r="B4745" i="33"/>
  <c r="A4746" i="33"/>
  <c r="B4746" i="33"/>
  <c r="A4747" i="33"/>
  <c r="B4747" i="33"/>
  <c r="A4748" i="33"/>
  <c r="B4748" i="33"/>
  <c r="A4749" i="33"/>
  <c r="B4749" i="33"/>
  <c r="A4750" i="33"/>
  <c r="B4750" i="33"/>
  <c r="A4751" i="33"/>
  <c r="B4751" i="33"/>
  <c r="A4752" i="33"/>
  <c r="B4752" i="33"/>
  <c r="A4753" i="33"/>
  <c r="B4753" i="33"/>
  <c r="A4754" i="33"/>
  <c r="B4754" i="33"/>
  <c r="A4755" i="33"/>
  <c r="B4755" i="33"/>
  <c r="A4756" i="33"/>
  <c r="B4756" i="33"/>
  <c r="A4757" i="33"/>
  <c r="B4757" i="33"/>
  <c r="A4758" i="33"/>
  <c r="B4758" i="33"/>
  <c r="A4759" i="33"/>
  <c r="B4759" i="33"/>
  <c r="A4760" i="33"/>
  <c r="B4760" i="33"/>
  <c r="A4761" i="33"/>
  <c r="B4761" i="33"/>
  <c r="A4762" i="33"/>
  <c r="B4762" i="33"/>
  <c r="A4763" i="33"/>
  <c r="B4763" i="33"/>
  <c r="A4764" i="33"/>
  <c r="B4764" i="33"/>
  <c r="A4765" i="33"/>
  <c r="B4765" i="33"/>
  <c r="A4766" i="33"/>
  <c r="B4766" i="33"/>
  <c r="A4767" i="33"/>
  <c r="B4767" i="33"/>
  <c r="A4768" i="33"/>
  <c r="B4768" i="33"/>
  <c r="A4769" i="33"/>
  <c r="B4769" i="33"/>
  <c r="A4770" i="33"/>
  <c r="B4770" i="33"/>
  <c r="A4771" i="33"/>
  <c r="B4771" i="33"/>
  <c r="A4772" i="33"/>
  <c r="B4772" i="33"/>
  <c r="A4773" i="33"/>
  <c r="B4773" i="33"/>
  <c r="A4774" i="33"/>
  <c r="B4774" i="33"/>
  <c r="A4775" i="33"/>
  <c r="B4775" i="33"/>
  <c r="A4776" i="33"/>
  <c r="B4776" i="33"/>
  <c r="A4777" i="33"/>
  <c r="B4777" i="33"/>
  <c r="A4778" i="33"/>
  <c r="B4778" i="33"/>
  <c r="A4779" i="33"/>
  <c r="B4779" i="33"/>
  <c r="A4780" i="33"/>
  <c r="B4780" i="33"/>
  <c r="A4781" i="33"/>
  <c r="B4781" i="33"/>
  <c r="A4782" i="33"/>
  <c r="B4782" i="33"/>
  <c r="A4783" i="33"/>
  <c r="B4783" i="33"/>
  <c r="A4784" i="33"/>
  <c r="B4784" i="33"/>
  <c r="A4785" i="33"/>
  <c r="B4785" i="33"/>
  <c r="A4786" i="33"/>
  <c r="B4786" i="33"/>
  <c r="A4787" i="33"/>
  <c r="B4787" i="33"/>
  <c r="A4788" i="33"/>
  <c r="B4788" i="33"/>
  <c r="A4789" i="33"/>
  <c r="B4789" i="33"/>
  <c r="A4790" i="33"/>
  <c r="B4790" i="33"/>
  <c r="A4791" i="33"/>
  <c r="B4791" i="33"/>
  <c r="A4792" i="33"/>
  <c r="B4792" i="33"/>
  <c r="A4793" i="33"/>
  <c r="B4793" i="33"/>
  <c r="A4794" i="33"/>
  <c r="A4795" i="33"/>
  <c r="A4796" i="33"/>
  <c r="B4796" i="33"/>
  <c r="A4797" i="33"/>
  <c r="B4797" i="33"/>
  <c r="A4798" i="33"/>
  <c r="B4798" i="33"/>
  <c r="A4799" i="33"/>
  <c r="B4799" i="33"/>
  <c r="A4800" i="33"/>
  <c r="B4800" i="33"/>
  <c r="A4801" i="33"/>
  <c r="B4801" i="33"/>
  <c r="A4802" i="33"/>
  <c r="B4802" i="33"/>
  <c r="A4803" i="33"/>
  <c r="B4803" i="33"/>
  <c r="A4804" i="33"/>
  <c r="B4804" i="33"/>
  <c r="A4805" i="33"/>
  <c r="B4805" i="33"/>
  <c r="A4806" i="33"/>
  <c r="B4806" i="33"/>
  <c r="A4807" i="33"/>
  <c r="B4807" i="33"/>
  <c r="A4808" i="33"/>
  <c r="B4808" i="33"/>
  <c r="A4809" i="33"/>
  <c r="B4809" i="33"/>
  <c r="A4810" i="33"/>
  <c r="B4810" i="33"/>
  <c r="A4811" i="33"/>
  <c r="B4811" i="33"/>
  <c r="A4812" i="33"/>
  <c r="B4812" i="33"/>
  <c r="A4813" i="33"/>
  <c r="B4813" i="33"/>
  <c r="A4814" i="33"/>
  <c r="B4814" i="33"/>
  <c r="A4815" i="33"/>
  <c r="B4815" i="33"/>
  <c r="A4816" i="33"/>
  <c r="B4816" i="33"/>
  <c r="A4817" i="33"/>
  <c r="B4817" i="33"/>
  <c r="A4818" i="33"/>
  <c r="B4818" i="33"/>
  <c r="A4819" i="33"/>
  <c r="B4819" i="33"/>
  <c r="A4820" i="33"/>
  <c r="B4820" i="33"/>
  <c r="A4821" i="33"/>
  <c r="B4821" i="33"/>
  <c r="A4822" i="33"/>
  <c r="B4822" i="33"/>
  <c r="A4823" i="33"/>
  <c r="B4823" i="33"/>
  <c r="A4824" i="33"/>
  <c r="B4824" i="33"/>
  <c r="A4825" i="33"/>
  <c r="B4825" i="33"/>
  <c r="A4826" i="33"/>
  <c r="B4826" i="33"/>
  <c r="A4827" i="33"/>
  <c r="B4827" i="33"/>
  <c r="A4828" i="33"/>
  <c r="B4828" i="33"/>
  <c r="A4829" i="33"/>
  <c r="B4829" i="33"/>
  <c r="A4830" i="33"/>
  <c r="B4830" i="33"/>
  <c r="A4831" i="33"/>
  <c r="B4831" i="33"/>
  <c r="A4832" i="33"/>
  <c r="B4832" i="33"/>
  <c r="A4833" i="33"/>
  <c r="B4833" i="33"/>
  <c r="A4834" i="33"/>
  <c r="B4834" i="33"/>
  <c r="A4835" i="33"/>
  <c r="B4835" i="33"/>
  <c r="A4836" i="33"/>
  <c r="B4836" i="33"/>
  <c r="A4837" i="33"/>
  <c r="B4837" i="33"/>
  <c r="A4838" i="33"/>
  <c r="B4838" i="33"/>
  <c r="A4839" i="33"/>
  <c r="B4839" i="33"/>
  <c r="A4840" i="33"/>
  <c r="B4840" i="33"/>
  <c r="A4841" i="33"/>
  <c r="B4841" i="33"/>
  <c r="A4842" i="33"/>
  <c r="B4842" i="33"/>
  <c r="A4843" i="33"/>
  <c r="B4843" i="33"/>
  <c r="A4844" i="33"/>
  <c r="B4844" i="33"/>
  <c r="A4845" i="33"/>
  <c r="B4845" i="33"/>
  <c r="A4846" i="33"/>
  <c r="B4846" i="33"/>
  <c r="A4847" i="33"/>
  <c r="B4847" i="33"/>
  <c r="A4848" i="33"/>
  <c r="B4848" i="33"/>
  <c r="A4849" i="33"/>
  <c r="B4849" i="33"/>
  <c r="A4850" i="33"/>
  <c r="B4850" i="33"/>
  <c r="A4851" i="33"/>
  <c r="B4851" i="33"/>
  <c r="A4852" i="33"/>
  <c r="B4852" i="33"/>
  <c r="A4853" i="33"/>
  <c r="B4853" i="33"/>
  <c r="A4854" i="33"/>
  <c r="B4854" i="33"/>
  <c r="A4855" i="33"/>
  <c r="B4855" i="33"/>
  <c r="A4856" i="33"/>
  <c r="B4856" i="33"/>
  <c r="A4857" i="33"/>
  <c r="B4857" i="33"/>
  <c r="A4858" i="33"/>
  <c r="B4858" i="33"/>
  <c r="A4859" i="33"/>
  <c r="B4859" i="33"/>
  <c r="A4860" i="33"/>
  <c r="B4860" i="33"/>
  <c r="A4861" i="33"/>
  <c r="B4861" i="33"/>
  <c r="A4862" i="33"/>
  <c r="B4862" i="33"/>
  <c r="A4863" i="33"/>
  <c r="B4863" i="33"/>
  <c r="A4864" i="33"/>
  <c r="B4864" i="33"/>
  <c r="A4865" i="33"/>
  <c r="B4865" i="33"/>
  <c r="A4866" i="33"/>
  <c r="B4866" i="33"/>
  <c r="A4867" i="33"/>
  <c r="B4867" i="33"/>
  <c r="A4868" i="33"/>
  <c r="B4868" i="33"/>
  <c r="A4869" i="33"/>
  <c r="B4869" i="33"/>
  <c r="A4870" i="33"/>
  <c r="B4870" i="33"/>
  <c r="A4871" i="33"/>
  <c r="B4871" i="33"/>
  <c r="A4872" i="33"/>
  <c r="B4872" i="33"/>
  <c r="A4873" i="33"/>
  <c r="B4873" i="33"/>
  <c r="A4874" i="33"/>
  <c r="B4874" i="33"/>
  <c r="A4875" i="33"/>
  <c r="B4875" i="33"/>
  <c r="A4876" i="33"/>
  <c r="B4876" i="33"/>
  <c r="A4877" i="33"/>
  <c r="B4877" i="33"/>
  <c r="A4878" i="33"/>
  <c r="B4878" i="33"/>
  <c r="A4879" i="33"/>
  <c r="B4879" i="33"/>
  <c r="A4880" i="33"/>
  <c r="B4880" i="33"/>
  <c r="A4881" i="33"/>
  <c r="B4881" i="33"/>
  <c r="A4882" i="33"/>
  <c r="B4882" i="33"/>
  <c r="A4883" i="33"/>
  <c r="B4883" i="33"/>
  <c r="A4884" i="33"/>
  <c r="B4884" i="33"/>
  <c r="A4885" i="33"/>
  <c r="B4885" i="33"/>
  <c r="A4886" i="33"/>
  <c r="B4886" i="33"/>
  <c r="A4887" i="33"/>
  <c r="B4887" i="33"/>
  <c r="A4888" i="33"/>
  <c r="B4888" i="33"/>
  <c r="A4889" i="33"/>
  <c r="B4889" i="33"/>
  <c r="A4890" i="33"/>
  <c r="B4890" i="33"/>
  <c r="A4891" i="33"/>
  <c r="B4891" i="33"/>
  <c r="A4892" i="33"/>
  <c r="B4892" i="33"/>
  <c r="A4893" i="33"/>
  <c r="B4893" i="33"/>
  <c r="A4894" i="33"/>
  <c r="B4894" i="33"/>
  <c r="A4895" i="33"/>
  <c r="B4895" i="33"/>
  <c r="A4896" i="33"/>
  <c r="B4896" i="33"/>
  <c r="A4897" i="33"/>
  <c r="B4897" i="33"/>
  <c r="A4898" i="33"/>
  <c r="B4898" i="33"/>
  <c r="A4899" i="33"/>
  <c r="B4899" i="33"/>
  <c r="A4900" i="33"/>
  <c r="B4900" i="33"/>
  <c r="A4901" i="33"/>
  <c r="B4901" i="33"/>
  <c r="A4902" i="33"/>
  <c r="B4902" i="33"/>
  <c r="A4903" i="33"/>
  <c r="B4903" i="33"/>
  <c r="A4904" i="33"/>
  <c r="B4904" i="33"/>
  <c r="A4905" i="33"/>
  <c r="B4905" i="33"/>
  <c r="A4906" i="33"/>
  <c r="B4906" i="33"/>
  <c r="A4907" i="33"/>
  <c r="B4907" i="33"/>
  <c r="A4908" i="33"/>
  <c r="B4908" i="33"/>
  <c r="A4909" i="33"/>
  <c r="B4909" i="33"/>
  <c r="A4910" i="33"/>
  <c r="B4910" i="33"/>
  <c r="A4911" i="33"/>
  <c r="B4911" i="33"/>
  <c r="A4912" i="33"/>
  <c r="B4912" i="33"/>
  <c r="A4913" i="33"/>
  <c r="B4913" i="33"/>
  <c r="A4914" i="33"/>
  <c r="B4914" i="33"/>
  <c r="A4915" i="33"/>
  <c r="B4915" i="33"/>
  <c r="A4916" i="33"/>
  <c r="B4916" i="33"/>
  <c r="A4917" i="33"/>
  <c r="B4917" i="33"/>
  <c r="A4918" i="33"/>
  <c r="B4918" i="33"/>
  <c r="A4919" i="33"/>
  <c r="A4920" i="33"/>
  <c r="B4920" i="33"/>
  <c r="A4921" i="33"/>
  <c r="B4921" i="33"/>
  <c r="A4922" i="33"/>
  <c r="B4922" i="33"/>
  <c r="A4923" i="33"/>
  <c r="B4923" i="33"/>
  <c r="A4924" i="33"/>
  <c r="B4924" i="33"/>
  <c r="A4925" i="33"/>
  <c r="B4925" i="33"/>
  <c r="A4926" i="33"/>
  <c r="B4926" i="33"/>
  <c r="A4927" i="33"/>
  <c r="B4927" i="33"/>
  <c r="A4928" i="33"/>
  <c r="B4928" i="33"/>
  <c r="A4929" i="33"/>
  <c r="B4929" i="33"/>
  <c r="A4930" i="33"/>
  <c r="B4930" i="33"/>
  <c r="A4931" i="33"/>
  <c r="B4931" i="33"/>
  <c r="A4932" i="33"/>
  <c r="B4932" i="33"/>
  <c r="A4933" i="33"/>
  <c r="B4933" i="33"/>
  <c r="A4934" i="33"/>
  <c r="B4934" i="33"/>
  <c r="A4935" i="33"/>
  <c r="B4935" i="33"/>
  <c r="A4936" i="33"/>
  <c r="B4936" i="33"/>
  <c r="A4937" i="33"/>
  <c r="B4937" i="33"/>
  <c r="A4938" i="33"/>
  <c r="B4938" i="33"/>
  <c r="A4939" i="33"/>
  <c r="B4939" i="33"/>
  <c r="A4940" i="33"/>
  <c r="B4940" i="33"/>
  <c r="A4941" i="33"/>
  <c r="B4941" i="33"/>
  <c r="A4942" i="33"/>
  <c r="B4942" i="33"/>
  <c r="A4943" i="33"/>
  <c r="B4943" i="33"/>
  <c r="A4944" i="33"/>
  <c r="B4944" i="33"/>
  <c r="A4945" i="33"/>
  <c r="B4945" i="33"/>
  <c r="A4946" i="33"/>
  <c r="B4946" i="33"/>
  <c r="A4947" i="33"/>
  <c r="B4947" i="33"/>
  <c r="A4948" i="33"/>
  <c r="B4948" i="33"/>
  <c r="A4949" i="33"/>
  <c r="B4949" i="33"/>
  <c r="A4950" i="33"/>
  <c r="A4951" i="33"/>
  <c r="B4951" i="33"/>
  <c r="A4952" i="33"/>
  <c r="B4952" i="33"/>
  <c r="A4953" i="33"/>
  <c r="B4953" i="33"/>
  <c r="A4954" i="33"/>
  <c r="B4954" i="33"/>
  <c r="A4955" i="33"/>
  <c r="B4955" i="33"/>
  <c r="A4956" i="33"/>
  <c r="B4956" i="33"/>
  <c r="A4957" i="33"/>
  <c r="B4957" i="33"/>
  <c r="A4958" i="33"/>
  <c r="B4958" i="33"/>
  <c r="A4959" i="33"/>
  <c r="B4959" i="33"/>
  <c r="A4960" i="33"/>
  <c r="B4960" i="33"/>
  <c r="A4961" i="33"/>
  <c r="B4961" i="33"/>
  <c r="A4962" i="33"/>
  <c r="B4962" i="33"/>
  <c r="A4963" i="33"/>
  <c r="B4963" i="33"/>
  <c r="A4964" i="33"/>
  <c r="B4964" i="33"/>
  <c r="A4965" i="33"/>
  <c r="B4965" i="33"/>
  <c r="A4966" i="33"/>
  <c r="B4966" i="33"/>
  <c r="A4967" i="33"/>
  <c r="B4967" i="33"/>
  <c r="A4968" i="33"/>
  <c r="B4968" i="33"/>
  <c r="A4969" i="33"/>
  <c r="B4969" i="33"/>
  <c r="A4970" i="33"/>
  <c r="B4970" i="33"/>
  <c r="A4971" i="33"/>
  <c r="B4971" i="33"/>
  <c r="A4972" i="33"/>
  <c r="B4972" i="33"/>
  <c r="A4973" i="33"/>
  <c r="B4973" i="33"/>
  <c r="A4974" i="33"/>
  <c r="B4974" i="33"/>
  <c r="A4975" i="33"/>
  <c r="B4975" i="33"/>
  <c r="A4976" i="33"/>
  <c r="B4976" i="33"/>
  <c r="A4977" i="33"/>
  <c r="B4977" i="33"/>
  <c r="A4978" i="33"/>
  <c r="B4978" i="33"/>
  <c r="A4979" i="33"/>
  <c r="B4979" i="33"/>
  <c r="A4980" i="33"/>
  <c r="B4980" i="33"/>
  <c r="A4981" i="33"/>
  <c r="B4981" i="33"/>
  <c r="A4982" i="33"/>
  <c r="B4982" i="33"/>
  <c r="A4983" i="33"/>
  <c r="B4983" i="33"/>
  <c r="A4984" i="33"/>
  <c r="B4984" i="33"/>
  <c r="A4985" i="33"/>
  <c r="B4985" i="33"/>
  <c r="A4986" i="33"/>
  <c r="B4986" i="33"/>
  <c r="A4987" i="33"/>
  <c r="B4987" i="33"/>
  <c r="A4988" i="33"/>
  <c r="B4988" i="33"/>
  <c r="A4989" i="33"/>
  <c r="B4989" i="33"/>
  <c r="A4990" i="33"/>
  <c r="B4990" i="33"/>
  <c r="A4991" i="33"/>
  <c r="B4991" i="33"/>
  <c r="A4992" i="33"/>
  <c r="B4992" i="33"/>
  <c r="A4993" i="33"/>
  <c r="B4993" i="33"/>
  <c r="A4994" i="33"/>
  <c r="B4994" i="33"/>
  <c r="A4995" i="33"/>
  <c r="B4995" i="33"/>
  <c r="A4996" i="33"/>
  <c r="A4997" i="33"/>
  <c r="B4997" i="33"/>
  <c r="A4998" i="33"/>
  <c r="B4998" i="33"/>
  <c r="A4999" i="33"/>
  <c r="B4999" i="33"/>
  <c r="A5000" i="33"/>
  <c r="B5000" i="33"/>
  <c r="A5001" i="33"/>
  <c r="B5001" i="33"/>
  <c r="A5002" i="33"/>
  <c r="B5002" i="33"/>
  <c r="A5003" i="33"/>
  <c r="B5003" i="33"/>
  <c r="A5004" i="33"/>
  <c r="B5004" i="33"/>
  <c r="A5005" i="33"/>
  <c r="B5005" i="33"/>
  <c r="A5006" i="33"/>
  <c r="B5006" i="33"/>
  <c r="A5007" i="33"/>
  <c r="B5007" i="33"/>
  <c r="A5008" i="33"/>
  <c r="B5008" i="33"/>
  <c r="A5009" i="33"/>
  <c r="B5009" i="33"/>
  <c r="A5010" i="33"/>
  <c r="B5010" i="33"/>
  <c r="A5011" i="33"/>
  <c r="B5011" i="33"/>
  <c r="A5012" i="33"/>
  <c r="B5012" i="33"/>
  <c r="A5013" i="33"/>
  <c r="B5013" i="33"/>
  <c r="A5014" i="33"/>
  <c r="B5014" i="33"/>
  <c r="A5015" i="33"/>
  <c r="B5015" i="33"/>
  <c r="A5016" i="33"/>
  <c r="B5016" i="33"/>
  <c r="A5017" i="33"/>
  <c r="B5017" i="33"/>
  <c r="A5018" i="33"/>
  <c r="B5018" i="33"/>
  <c r="A5019" i="33"/>
  <c r="B5019" i="33"/>
  <c r="A5020" i="33"/>
  <c r="B5020" i="33"/>
  <c r="A5021" i="33"/>
  <c r="B5021" i="33"/>
  <c r="A5022" i="33"/>
  <c r="B5022" i="33"/>
  <c r="A5023" i="33"/>
  <c r="B5023" i="33"/>
  <c r="A5024" i="33"/>
  <c r="B5024" i="33"/>
  <c r="A5025" i="33"/>
  <c r="B5025" i="33"/>
  <c r="B5026" i="33"/>
  <c r="A5027" i="33"/>
  <c r="B5027" i="33"/>
  <c r="A5028" i="33"/>
  <c r="B5028" i="33"/>
  <c r="A5029" i="33"/>
  <c r="B5029" i="33"/>
  <c r="A5030" i="33"/>
  <c r="B5030" i="33"/>
  <c r="A5031" i="33"/>
  <c r="B5031" i="33"/>
  <c r="A5032" i="33"/>
  <c r="B5032" i="33"/>
  <c r="A5033" i="33"/>
  <c r="B5033" i="33"/>
  <c r="A5034" i="33"/>
  <c r="B5034" i="33"/>
  <c r="A5035" i="33"/>
  <c r="B5035" i="33"/>
  <c r="A5036" i="33"/>
  <c r="B5036" i="33"/>
  <c r="A5037" i="33"/>
  <c r="B5037" i="33"/>
  <c r="A5038" i="33"/>
  <c r="B5038" i="33"/>
  <c r="A5039" i="33"/>
  <c r="B5039" i="33"/>
  <c r="A5040" i="33"/>
  <c r="B5040" i="33"/>
  <c r="A5041" i="33"/>
  <c r="B5041" i="33"/>
  <c r="A5042" i="33"/>
  <c r="B5042" i="33"/>
  <c r="A5043" i="33"/>
  <c r="A5044" i="33"/>
  <c r="B5044" i="33"/>
  <c r="A5045" i="33"/>
  <c r="B5045" i="33"/>
  <c r="A5046" i="33"/>
  <c r="B5046" i="33"/>
  <c r="A5047" i="33"/>
  <c r="B5047" i="33"/>
  <c r="A5048" i="33"/>
  <c r="B5048" i="33"/>
  <c r="A5049" i="33"/>
  <c r="B5049" i="33"/>
  <c r="A5050" i="33"/>
  <c r="B5050" i="33"/>
  <c r="A5051" i="33"/>
  <c r="B5051" i="33"/>
  <c r="A5052" i="33"/>
  <c r="B5052" i="33"/>
  <c r="A5053" i="33"/>
  <c r="B5053" i="33"/>
  <c r="A5054" i="33"/>
  <c r="B5054" i="33"/>
  <c r="A5055" i="33"/>
  <c r="B5055" i="33"/>
  <c r="A5056" i="33"/>
  <c r="B5056" i="33"/>
  <c r="A5057" i="33"/>
  <c r="B5057" i="33"/>
  <c r="A5058" i="33"/>
  <c r="B5058" i="33"/>
  <c r="A5059" i="33"/>
  <c r="B5059" i="33"/>
  <c r="B5060" i="33"/>
  <c r="A5061" i="33"/>
  <c r="B5061" i="33"/>
  <c r="A5062" i="33"/>
  <c r="B5062" i="33"/>
  <c r="A5063" i="33"/>
  <c r="B5063" i="33"/>
  <c r="A5064" i="33"/>
  <c r="B5064" i="33"/>
  <c r="A5065" i="33"/>
  <c r="B5065" i="33"/>
  <c r="A5066" i="33"/>
  <c r="B5066" i="33"/>
  <c r="A5067" i="33"/>
  <c r="B5067" i="33"/>
  <c r="A5068" i="33"/>
  <c r="B5068" i="33"/>
  <c r="A5069" i="33"/>
  <c r="B5069" i="33"/>
  <c r="A5070" i="33"/>
  <c r="B5070" i="33"/>
  <c r="A5071" i="33"/>
  <c r="B5071" i="33"/>
  <c r="A5072" i="33"/>
  <c r="B5072" i="33"/>
  <c r="A5073" i="33"/>
  <c r="A5074" i="33"/>
  <c r="B5074" i="33"/>
  <c r="A5075" i="33"/>
  <c r="B5075" i="33"/>
  <c r="A5076" i="33"/>
  <c r="B5076" i="33"/>
  <c r="A5077" i="33"/>
  <c r="B5077" i="33"/>
  <c r="A5078" i="33"/>
  <c r="B5078" i="33"/>
  <c r="A5079" i="33"/>
  <c r="B5079" i="33"/>
  <c r="A5080" i="33"/>
  <c r="B5080" i="33"/>
  <c r="A5081" i="33"/>
  <c r="B5081" i="33"/>
  <c r="A5082" i="33"/>
  <c r="B5082" i="33"/>
  <c r="A5083" i="33"/>
  <c r="B5083" i="33"/>
  <c r="A5084" i="33"/>
  <c r="B5084" i="33"/>
  <c r="A5085" i="33"/>
  <c r="A5086" i="33"/>
  <c r="B5086" i="33"/>
  <c r="A5087" i="33"/>
  <c r="B5087" i="33"/>
  <c r="A5088" i="33"/>
  <c r="B5088" i="33"/>
  <c r="A5089" i="33"/>
  <c r="B5089" i="33"/>
  <c r="A5090" i="33"/>
  <c r="B5090" i="33"/>
  <c r="A5091" i="33"/>
  <c r="B5091" i="33"/>
  <c r="A5092" i="33"/>
  <c r="B5092" i="33"/>
  <c r="A5093" i="33"/>
  <c r="B5093" i="33"/>
  <c r="A5094" i="33"/>
  <c r="A5095" i="33"/>
  <c r="A5096" i="33"/>
  <c r="B5096" i="33"/>
  <c r="A5097" i="33"/>
  <c r="B5097" i="33"/>
  <c r="A5098" i="33"/>
  <c r="B5098" i="33"/>
  <c r="A5099" i="33"/>
  <c r="B5099" i="33"/>
  <c r="A5100" i="33"/>
  <c r="B5100" i="33"/>
  <c r="A5101" i="33"/>
  <c r="B5101" i="33"/>
  <c r="A5102" i="33"/>
  <c r="B5102" i="33"/>
  <c r="A5103" i="33"/>
  <c r="B5103" i="33"/>
  <c r="A5104" i="33"/>
  <c r="B5104" i="33"/>
  <c r="A5105" i="33"/>
  <c r="B5105" i="33"/>
  <c r="A5106" i="33"/>
  <c r="B5106" i="33"/>
  <c r="A5107" i="33"/>
  <c r="B5107" i="33"/>
  <c r="A5108" i="33"/>
  <c r="B5108" i="33"/>
  <c r="A5109" i="33"/>
  <c r="B5109" i="33"/>
  <c r="A5110" i="33"/>
  <c r="B5110" i="33"/>
  <c r="A5111" i="33"/>
  <c r="B5111" i="33"/>
  <c r="A5112" i="33"/>
  <c r="B5112" i="33"/>
  <c r="A5113" i="33"/>
  <c r="B5113" i="33"/>
  <c r="A5114" i="33"/>
  <c r="B5114" i="33"/>
  <c r="A5115" i="33"/>
  <c r="B5115" i="33"/>
  <c r="A5116" i="33"/>
  <c r="B5116" i="33"/>
  <c r="A5117" i="33"/>
  <c r="B5117" i="33"/>
  <c r="A5118" i="33"/>
  <c r="B5118" i="33"/>
  <c r="A5119" i="33"/>
  <c r="B5119" i="33"/>
  <c r="A5120" i="33"/>
  <c r="B5120" i="33"/>
  <c r="A5121" i="33"/>
  <c r="B5121" i="33"/>
  <c r="A5122" i="33"/>
  <c r="B5122" i="33"/>
  <c r="A5123" i="33"/>
  <c r="B5123" i="33"/>
  <c r="A5124" i="33"/>
  <c r="B5124" i="33"/>
  <c r="A5125" i="33"/>
  <c r="B5125" i="33"/>
  <c r="A5126" i="33"/>
  <c r="B5126" i="33"/>
  <c r="A5127" i="33"/>
  <c r="B5127" i="33"/>
  <c r="A5128" i="33"/>
  <c r="B5128" i="33"/>
  <c r="A5129" i="33"/>
  <c r="B5129" i="33"/>
  <c r="A5130" i="33"/>
  <c r="B5130" i="33"/>
  <c r="A5131" i="33"/>
  <c r="B5131" i="33"/>
  <c r="A5132" i="33"/>
  <c r="B5132" i="33"/>
  <c r="A5133" i="33"/>
  <c r="B5133" i="33"/>
  <c r="A5134" i="33"/>
  <c r="B5134" i="33"/>
  <c r="A5135" i="33"/>
  <c r="B5135" i="33"/>
  <c r="A5136" i="33"/>
  <c r="B5136" i="33"/>
  <c r="A5137" i="33"/>
  <c r="B5137" i="33"/>
  <c r="A5138" i="33"/>
  <c r="B5138" i="33"/>
  <c r="A5139" i="33"/>
  <c r="B5139" i="33"/>
  <c r="A5140" i="33"/>
  <c r="B5140" i="33"/>
  <c r="A5141" i="33"/>
  <c r="B5141" i="33"/>
  <c r="A5142" i="33"/>
  <c r="B5142" i="33"/>
  <c r="A5143" i="33"/>
  <c r="B5143" i="33"/>
  <c r="A5144" i="33"/>
  <c r="B5144" i="33"/>
  <c r="A5145" i="33"/>
  <c r="B5145" i="33"/>
  <c r="A5146" i="33"/>
  <c r="B5146" i="33"/>
  <c r="A5147" i="33"/>
  <c r="B5147" i="33"/>
  <c r="A5148" i="33"/>
  <c r="B5148" i="33"/>
  <c r="A5149" i="33"/>
  <c r="B5149" i="33"/>
  <c r="A5150" i="33"/>
  <c r="B5150" i="33"/>
  <c r="A5151" i="33"/>
  <c r="B5151" i="33"/>
  <c r="A5152" i="33"/>
  <c r="B5152" i="33"/>
  <c r="A5153" i="33"/>
  <c r="B5153" i="33"/>
  <c r="A5154" i="33"/>
  <c r="B5154" i="33"/>
  <c r="A5155" i="33"/>
  <c r="B5155" i="33"/>
  <c r="A5156" i="33"/>
  <c r="B5156" i="33"/>
  <c r="A5157" i="33"/>
  <c r="B5157" i="33"/>
  <c r="A5158" i="33"/>
  <c r="B5158" i="33"/>
  <c r="A5159" i="33"/>
  <c r="B5159" i="33"/>
  <c r="A5160" i="33"/>
  <c r="B5160" i="33"/>
  <c r="A5161" i="33"/>
  <c r="B5161" i="33"/>
  <c r="A5162" i="33"/>
  <c r="B5162" i="33"/>
  <c r="A5163" i="33"/>
  <c r="B5163" i="33"/>
  <c r="A5164" i="33"/>
  <c r="B5164" i="33"/>
  <c r="A5165" i="33"/>
  <c r="B5165" i="33"/>
  <c r="A5166" i="33"/>
  <c r="B5166" i="33"/>
  <c r="A5167" i="33"/>
  <c r="B5167" i="33"/>
  <c r="A5168" i="33"/>
  <c r="B5168" i="33"/>
  <c r="A5169" i="33"/>
  <c r="B5169" i="33"/>
  <c r="A5170" i="33"/>
  <c r="B5170" i="33"/>
  <c r="A5171" i="33"/>
  <c r="B5171" i="33"/>
  <c r="A5172" i="33"/>
  <c r="B5172" i="33"/>
  <c r="A5173" i="33"/>
  <c r="B5173" i="33"/>
  <c r="A5174" i="33"/>
  <c r="B5174" i="33"/>
  <c r="A5175" i="33"/>
  <c r="B5175" i="33"/>
  <c r="A5176" i="33"/>
  <c r="B5176" i="33"/>
  <c r="A5177" i="33"/>
  <c r="B5177" i="33"/>
  <c r="A5178" i="33"/>
  <c r="B5178" i="33"/>
  <c r="A5179" i="33"/>
  <c r="B5179" i="33"/>
  <c r="A5180" i="33"/>
  <c r="B5180" i="33"/>
  <c r="A5181" i="33"/>
  <c r="B5181" i="33"/>
  <c r="A5182" i="33"/>
  <c r="B5182" i="33"/>
  <c r="A5183" i="33"/>
  <c r="B5183" i="33"/>
  <c r="A5184" i="33"/>
  <c r="B5184" i="33"/>
  <c r="A5185" i="33"/>
  <c r="B5185" i="33"/>
  <c r="A5186" i="33"/>
  <c r="B5186" i="33"/>
  <c r="A5187" i="33"/>
  <c r="B5187" i="33"/>
  <c r="A5188" i="33"/>
  <c r="B5188" i="33"/>
  <c r="A5189" i="33"/>
  <c r="B5189" i="33"/>
  <c r="A5190" i="33"/>
  <c r="B5190" i="33"/>
  <c r="A5191" i="33"/>
  <c r="B5191" i="33"/>
  <c r="A5192" i="33"/>
  <c r="B5192" i="33"/>
  <c r="A5193" i="33"/>
  <c r="B5193" i="33"/>
  <c r="A5194" i="33"/>
  <c r="B5194" i="33"/>
  <c r="A5195" i="33"/>
  <c r="B5195" i="33"/>
  <c r="A5196" i="33"/>
  <c r="B5196" i="33"/>
  <c r="A5197" i="33"/>
  <c r="B5197" i="33"/>
  <c r="A5198" i="33"/>
  <c r="B5198" i="33"/>
  <c r="A5199" i="33"/>
  <c r="B5199" i="33"/>
  <c r="A5200" i="33"/>
  <c r="B5200" i="33"/>
  <c r="A5201" i="33"/>
  <c r="B5201" i="33"/>
  <c r="A5202" i="33"/>
  <c r="B5202" i="33"/>
  <c r="A5203" i="33"/>
  <c r="B5203" i="33"/>
  <c r="A5204" i="33"/>
  <c r="B5204" i="33"/>
  <c r="A5205" i="33"/>
  <c r="B5205" i="33"/>
  <c r="A5206" i="33"/>
  <c r="B5206" i="33"/>
  <c r="A5207" i="33"/>
  <c r="B5207" i="33"/>
  <c r="A5208" i="33"/>
  <c r="B5208" i="33"/>
  <c r="A5209" i="33"/>
  <c r="B5209" i="33"/>
  <c r="A5210" i="33"/>
  <c r="B5210" i="33"/>
  <c r="A5211" i="33"/>
  <c r="B5211" i="33"/>
  <c r="A5212" i="33"/>
  <c r="B5212" i="33"/>
  <c r="A5213" i="33"/>
  <c r="B5213" i="33"/>
  <c r="A5214" i="33"/>
  <c r="B5214" i="33"/>
  <c r="A5215" i="33"/>
  <c r="B5215" i="33"/>
  <c r="A5216" i="33"/>
  <c r="B5216" i="33"/>
  <c r="A5217" i="33"/>
  <c r="B5217" i="33"/>
  <c r="A5218" i="33"/>
  <c r="B5218" i="33"/>
  <c r="A5219" i="33"/>
  <c r="B5219" i="33"/>
  <c r="A5220" i="33"/>
  <c r="B5220" i="33"/>
  <c r="A5221" i="33"/>
  <c r="B5221" i="33"/>
  <c r="A5222" i="33"/>
  <c r="B5222" i="33"/>
  <c r="A5223" i="33"/>
  <c r="B5223" i="33"/>
  <c r="A5224" i="33"/>
  <c r="B5224" i="33"/>
  <c r="A5225" i="33"/>
  <c r="B5225" i="33"/>
  <c r="A5226" i="33"/>
  <c r="B5226" i="33"/>
  <c r="A5227" i="33"/>
  <c r="B5227" i="33"/>
  <c r="A5228" i="33"/>
  <c r="B5228" i="33"/>
  <c r="A5229" i="33"/>
  <c r="B5229" i="33"/>
  <c r="A5230" i="33"/>
  <c r="B5230" i="33"/>
  <c r="A5231" i="33"/>
  <c r="B5231" i="33"/>
  <c r="A5232" i="33"/>
  <c r="B5232" i="33"/>
  <c r="A5233" i="33"/>
  <c r="B5233" i="33"/>
  <c r="A5234" i="33"/>
  <c r="B5234" i="33"/>
  <c r="A5235" i="33"/>
  <c r="B5235" i="33"/>
  <c r="A5236" i="33"/>
  <c r="B5236" i="33"/>
  <c r="A5237" i="33"/>
  <c r="B5237" i="33"/>
  <c r="A5238" i="33"/>
  <c r="B5238" i="33"/>
  <c r="A5239" i="33"/>
  <c r="B5239" i="33"/>
  <c r="A5240" i="33"/>
  <c r="B5240" i="33"/>
  <c r="A5241" i="33"/>
  <c r="B5241" i="33"/>
  <c r="A5242" i="33"/>
  <c r="B5242" i="33"/>
  <c r="A5243" i="33"/>
  <c r="B5243" i="33"/>
  <c r="A5244" i="33"/>
  <c r="B5244" i="33"/>
  <c r="A5245" i="33"/>
  <c r="B5245" i="33"/>
  <c r="A5246" i="33"/>
  <c r="B5246" i="33"/>
  <c r="A5247" i="33"/>
  <c r="B5247" i="33"/>
  <c r="A5248" i="33"/>
  <c r="B5248" i="33"/>
  <c r="A5249" i="33"/>
  <c r="B5249" i="33"/>
  <c r="A5250" i="33"/>
  <c r="B5250" i="33"/>
  <c r="A5251" i="33"/>
  <c r="B5251" i="33"/>
  <c r="A5252" i="33"/>
  <c r="B5252" i="33"/>
  <c r="A5253" i="33"/>
  <c r="B5253" i="33"/>
  <c r="A5254" i="33"/>
  <c r="B5254" i="33"/>
  <c r="A5255" i="33"/>
  <c r="B5255" i="33"/>
  <c r="A5256" i="33"/>
  <c r="B5256" i="33"/>
  <c r="A5257" i="33"/>
  <c r="B5257" i="33"/>
  <c r="A5258" i="33"/>
  <c r="B5258" i="33"/>
  <c r="A5259" i="33"/>
  <c r="B5259" i="33"/>
  <c r="A5260" i="33"/>
  <c r="B5260" i="33"/>
  <c r="A5261" i="33"/>
  <c r="B5261" i="33"/>
  <c r="A5262" i="33"/>
  <c r="B5262" i="33"/>
  <c r="A5263" i="33"/>
  <c r="B5263" i="33"/>
  <c r="A5264" i="33"/>
  <c r="B5264" i="33"/>
  <c r="A5265" i="33"/>
  <c r="B5265" i="33"/>
  <c r="A5266" i="33"/>
  <c r="B5266" i="33"/>
  <c r="A5267" i="33"/>
  <c r="B5267" i="33"/>
  <c r="A5268" i="33"/>
  <c r="B5268" i="33"/>
  <c r="A5269" i="33"/>
  <c r="B5269" i="33"/>
  <c r="A5270" i="33"/>
  <c r="B5270" i="33"/>
  <c r="A5271" i="33"/>
  <c r="B5271" i="33"/>
  <c r="A5272" i="33"/>
  <c r="B5272" i="33"/>
  <c r="A5273" i="33"/>
  <c r="B5273" i="33"/>
  <c r="A5274" i="33"/>
  <c r="B5274" i="33"/>
  <c r="A5275" i="33"/>
  <c r="B5275" i="33"/>
  <c r="A5276" i="33"/>
  <c r="B5276" i="33"/>
  <c r="A5277" i="33"/>
  <c r="B5277" i="33"/>
  <c r="A5278" i="33"/>
  <c r="B5278" i="33"/>
  <c r="A5279" i="33"/>
  <c r="B5279" i="33"/>
  <c r="A5280" i="33"/>
  <c r="B5280" i="33"/>
  <c r="A5281" i="33"/>
  <c r="B5281" i="33"/>
  <c r="A5282" i="33"/>
  <c r="B5282" i="33"/>
  <c r="A5283" i="33"/>
  <c r="B5283" i="33"/>
  <c r="A5284" i="33"/>
  <c r="B5284" i="33"/>
  <c r="A5285" i="33"/>
  <c r="B5285" i="33"/>
  <c r="A5286" i="33"/>
  <c r="B5286" i="33"/>
  <c r="A5287" i="33"/>
  <c r="B5287" i="33"/>
  <c r="A5288" i="33"/>
  <c r="B5288" i="33"/>
  <c r="A5289" i="33"/>
  <c r="B5289" i="33"/>
  <c r="A5290" i="33"/>
  <c r="B5290" i="33"/>
  <c r="A5291" i="33"/>
  <c r="B5291" i="33"/>
  <c r="A5292" i="33"/>
  <c r="B5292" i="33"/>
  <c r="A5293" i="33"/>
  <c r="B5293" i="33"/>
  <c r="A5294" i="33"/>
  <c r="B5294" i="33"/>
  <c r="A5295" i="33"/>
  <c r="B5295" i="33"/>
  <c r="A5296" i="33"/>
  <c r="B5296" i="33"/>
  <c r="A5297" i="33"/>
  <c r="B5297" i="33"/>
  <c r="A5298" i="33"/>
  <c r="B5298" i="33"/>
  <c r="A5299" i="33"/>
  <c r="B5299" i="33"/>
  <c r="A5300" i="33"/>
  <c r="B5300" i="33"/>
  <c r="A5301" i="33"/>
  <c r="B5301" i="33"/>
  <c r="A5302" i="33"/>
  <c r="B5302" i="33"/>
  <c r="A5303" i="33"/>
  <c r="B5303" i="33"/>
  <c r="A5304" i="33"/>
  <c r="B5304" i="33"/>
  <c r="A5305" i="33"/>
  <c r="B5305" i="33"/>
  <c r="A5306" i="33"/>
  <c r="B5306" i="33"/>
  <c r="A5307" i="33"/>
  <c r="B5307" i="33"/>
  <c r="A5308" i="33"/>
  <c r="B5308" i="33"/>
  <c r="A5309" i="33"/>
  <c r="B5309" i="33"/>
  <c r="A5310" i="33"/>
  <c r="B5310" i="33"/>
  <c r="A5311" i="33"/>
  <c r="B5311" i="33"/>
  <c r="A5312" i="33"/>
  <c r="B5312" i="33"/>
  <c r="A5313" i="33"/>
  <c r="B5313" i="33"/>
  <c r="A5314" i="33"/>
  <c r="B5314" i="33"/>
  <c r="A5315" i="33"/>
  <c r="B5315" i="33"/>
  <c r="A5316" i="33"/>
  <c r="B5316" i="33"/>
  <c r="A5317" i="33"/>
  <c r="B5317" i="33"/>
  <c r="A5318" i="33"/>
  <c r="B5318" i="33"/>
  <c r="A5319" i="33"/>
  <c r="B5319" i="33"/>
  <c r="A5320" i="33"/>
  <c r="B5320" i="33"/>
  <c r="A5321" i="33"/>
  <c r="B5321" i="33"/>
  <c r="A5322" i="33"/>
  <c r="B5322" i="33"/>
  <c r="A5323" i="33"/>
  <c r="B5323" i="33"/>
  <c r="A5324" i="33"/>
  <c r="B5324" i="33"/>
  <c r="A5325" i="33"/>
  <c r="B5325" i="33"/>
  <c r="A5326" i="33"/>
  <c r="B5326" i="33"/>
  <c r="A5327" i="33"/>
  <c r="B5327" i="33"/>
  <c r="A5328" i="33"/>
  <c r="B5328" i="33"/>
  <c r="A5329" i="33"/>
  <c r="B5329" i="33"/>
  <c r="A5330" i="33"/>
  <c r="B5330" i="33"/>
  <c r="A5331" i="33"/>
  <c r="B5331" i="33"/>
  <c r="A5332" i="33"/>
  <c r="B5332" i="33"/>
  <c r="A5333" i="33"/>
  <c r="B5333" i="33"/>
  <c r="A5334" i="33"/>
  <c r="B5334" i="33"/>
  <c r="A5335" i="33"/>
  <c r="B5335" i="33"/>
  <c r="A5336" i="33"/>
  <c r="B5336" i="33"/>
  <c r="A5337" i="33"/>
  <c r="B5337" i="33"/>
  <c r="A5338" i="33"/>
  <c r="B5338" i="33"/>
  <c r="A5339" i="33"/>
  <c r="B5339" i="33"/>
  <c r="A5340" i="33"/>
  <c r="B5340" i="33"/>
  <c r="A5341" i="33"/>
  <c r="B5341" i="33"/>
  <c r="A5342" i="33"/>
  <c r="B5342" i="33"/>
  <c r="A5343" i="33"/>
  <c r="B5343" i="33"/>
  <c r="A5344" i="33"/>
  <c r="B5344" i="33"/>
  <c r="A5345" i="33"/>
  <c r="B5345" i="33"/>
  <c r="A5346" i="33"/>
  <c r="B5346" i="33"/>
  <c r="A5347" i="33"/>
  <c r="B5347" i="33"/>
  <c r="A5348" i="33"/>
  <c r="B5348" i="33"/>
  <c r="A5349" i="33"/>
  <c r="B5349" i="33"/>
  <c r="A5350" i="33"/>
  <c r="B5350" i="33"/>
  <c r="A5351" i="33"/>
  <c r="B5351" i="33"/>
  <c r="A5352" i="33"/>
  <c r="B5352" i="33"/>
  <c r="A5353" i="33"/>
  <c r="B5353" i="33"/>
  <c r="A5354" i="33"/>
  <c r="B5354" i="33"/>
  <c r="A5355" i="33"/>
  <c r="B5355" i="33"/>
  <c r="A5356" i="33"/>
  <c r="B5356" i="33"/>
  <c r="A5357" i="33"/>
  <c r="B5357" i="33"/>
  <c r="A5358" i="33"/>
  <c r="B5358" i="33"/>
  <c r="A5359" i="33"/>
  <c r="B5359" i="33"/>
  <c r="A5360" i="33"/>
  <c r="B5360" i="33"/>
  <c r="A5361" i="33"/>
  <c r="B5361" i="33"/>
  <c r="A5362" i="33"/>
  <c r="B5362" i="33"/>
  <c r="A5363" i="33"/>
  <c r="B5363" i="33"/>
  <c r="A5364" i="33"/>
  <c r="B5364" i="33"/>
  <c r="A5365" i="33"/>
  <c r="B5365" i="33"/>
  <c r="A5366" i="33"/>
  <c r="B5366" i="33"/>
  <c r="A5367" i="33"/>
  <c r="B5367" i="33"/>
  <c r="A5368" i="33"/>
  <c r="B5368" i="33"/>
  <c r="A5369" i="33"/>
  <c r="B5369" i="33"/>
  <c r="A5370" i="33"/>
  <c r="B5370" i="33"/>
  <c r="A5371" i="33"/>
  <c r="B5371" i="33"/>
  <c r="A5372" i="33"/>
  <c r="B5372" i="33"/>
  <c r="A5373" i="33"/>
  <c r="B5373" i="33"/>
  <c r="A5374" i="33"/>
  <c r="B5374" i="33"/>
  <c r="A5375" i="33"/>
  <c r="B5375" i="33"/>
  <c r="A5376" i="33"/>
  <c r="B5376" i="33"/>
  <c r="A5377" i="33"/>
  <c r="B5377" i="33"/>
  <c r="A5378" i="33"/>
  <c r="B5378" i="33"/>
  <c r="A5379" i="33"/>
  <c r="B5379" i="33"/>
  <c r="A5380" i="33"/>
  <c r="B5380" i="33"/>
  <c r="A5381" i="33"/>
  <c r="B5381" i="33"/>
  <c r="A5382" i="33"/>
  <c r="B5382" i="33"/>
  <c r="A5383" i="33"/>
  <c r="B5383" i="33"/>
  <c r="A5384" i="33"/>
  <c r="B5384" i="33"/>
  <c r="A5385" i="33"/>
  <c r="B5385" i="33"/>
  <c r="A5386" i="33"/>
  <c r="B5386" i="33"/>
  <c r="A5387" i="33"/>
  <c r="B5387" i="33"/>
  <c r="A5388" i="33"/>
  <c r="B5388" i="33"/>
  <c r="A5389" i="33"/>
  <c r="B5389" i="33"/>
  <c r="A5390" i="33"/>
  <c r="B5390" i="33"/>
  <c r="A5391" i="33"/>
  <c r="B5391" i="33"/>
  <c r="A5392" i="33"/>
  <c r="B5392" i="33"/>
  <c r="A5393" i="33"/>
  <c r="B5393" i="33"/>
  <c r="A5394" i="33"/>
  <c r="B5394" i="33"/>
  <c r="A5395" i="33"/>
  <c r="B5395" i="33"/>
  <c r="A5396" i="33"/>
  <c r="B5396" i="33"/>
  <c r="A5397" i="33"/>
  <c r="B5397" i="33"/>
  <c r="A5398" i="33"/>
  <c r="B5398" i="33"/>
  <c r="A5399" i="33"/>
  <c r="B5399" i="33"/>
  <c r="A5400" i="33"/>
  <c r="B5400" i="33"/>
  <c r="A5401" i="33"/>
  <c r="B5401" i="33"/>
  <c r="A5402" i="33"/>
  <c r="B5402" i="33"/>
  <c r="A5403" i="33"/>
  <c r="B5403" i="33"/>
  <c r="A5404" i="33"/>
  <c r="B5404" i="33"/>
  <c r="A5405" i="33"/>
  <c r="B5405" i="33"/>
  <c r="B5406" i="33"/>
  <c r="B5407" i="33"/>
  <c r="B5408" i="33"/>
  <c r="B5409" i="33"/>
  <c r="B5410" i="33"/>
  <c r="B5411" i="33"/>
  <c r="B5412" i="33"/>
  <c r="B5413" i="33"/>
  <c r="B5414" i="33"/>
  <c r="B5415" i="33"/>
  <c r="B5416" i="33"/>
  <c r="B5417" i="33"/>
  <c r="B5418" i="33"/>
  <c r="B5419" i="33"/>
  <c r="B5420" i="33"/>
  <c r="B5421" i="33"/>
  <c r="B5422" i="33"/>
  <c r="B5423" i="33"/>
  <c r="B5424" i="33"/>
  <c r="B5425" i="33"/>
  <c r="B5426" i="33"/>
  <c r="B5427" i="33"/>
  <c r="B5428" i="33"/>
  <c r="B5429" i="33"/>
  <c r="B5430" i="33"/>
  <c r="B5431" i="33"/>
  <c r="B5432" i="33"/>
  <c r="B5433" i="33"/>
  <c r="B5435" i="33"/>
  <c r="B5436" i="33"/>
  <c r="B5437" i="33"/>
  <c r="B5438" i="33"/>
  <c r="B5439" i="33"/>
  <c r="B5440" i="33"/>
  <c r="B5441" i="33"/>
  <c r="B5442" i="33"/>
  <c r="B5443" i="33"/>
  <c r="B5444" i="33"/>
  <c r="B5445" i="33"/>
  <c r="B5446" i="33"/>
  <c r="B5447" i="33"/>
  <c r="B5448" i="33"/>
  <c r="B5449" i="33"/>
  <c r="B5450" i="33"/>
  <c r="B5451" i="33"/>
  <c r="B5452" i="33"/>
  <c r="B5453" i="33"/>
  <c r="B5454" i="33"/>
  <c r="B5455" i="33"/>
  <c r="B5456" i="33"/>
  <c r="B5457" i="33"/>
  <c r="B5458" i="33"/>
  <c r="B5459" i="33"/>
  <c r="B5460" i="33"/>
  <c r="B5461" i="33"/>
  <c r="B5462" i="33"/>
  <c r="B5463" i="33"/>
  <c r="B5464" i="33"/>
  <c r="B5465" i="33"/>
  <c r="B5466" i="33"/>
  <c r="B5467" i="33"/>
  <c r="B5468" i="33"/>
  <c r="B5469" i="33"/>
  <c r="B5470" i="33"/>
  <c r="B5471" i="33"/>
  <c r="B5472" i="33"/>
  <c r="B5473" i="33"/>
  <c r="B5474" i="33"/>
  <c r="B5475" i="33"/>
  <c r="B5476" i="33"/>
  <c r="B5477" i="33"/>
  <c r="B5478" i="33"/>
  <c r="B5479" i="33"/>
  <c r="A5480" i="33"/>
  <c r="B5480" i="33"/>
  <c r="A5481" i="33"/>
  <c r="B5481" i="33"/>
  <c r="A5482" i="33"/>
  <c r="B5482" i="33"/>
  <c r="A5483" i="33"/>
  <c r="B5483" i="33"/>
  <c r="A5484" i="33"/>
  <c r="B5484" i="33"/>
  <c r="A5485" i="33"/>
  <c r="B5485" i="33"/>
  <c r="A5486" i="33"/>
  <c r="B5486" i="33"/>
  <c r="A5487" i="33"/>
  <c r="B5487" i="33"/>
  <c r="A5488" i="33"/>
  <c r="B5488" i="33"/>
  <c r="B5489" i="33"/>
  <c r="B5490" i="33"/>
  <c r="B5491" i="33"/>
  <c r="B5492" i="33"/>
  <c r="B5493" i="33"/>
  <c r="B5494" i="33"/>
  <c r="B5495" i="33"/>
  <c r="B5496" i="33"/>
  <c r="A5497" i="33"/>
  <c r="B5497" i="33"/>
  <c r="A5498" i="33"/>
  <c r="B5498" i="33"/>
  <c r="A5499" i="33"/>
  <c r="B5499" i="33"/>
  <c r="A5500" i="33"/>
  <c r="B5500" i="33"/>
  <c r="A5501" i="33"/>
  <c r="B5501" i="33"/>
  <c r="A5502" i="33"/>
  <c r="B5502" i="33"/>
  <c r="A5503" i="33"/>
  <c r="B5503" i="33"/>
  <c r="A5504" i="33"/>
  <c r="B5504" i="33"/>
  <c r="B5505" i="33"/>
  <c r="B5506" i="33"/>
  <c r="B5507" i="33"/>
  <c r="B5508" i="33"/>
  <c r="B5509" i="33"/>
  <c r="B5510" i="33"/>
  <c r="B5511" i="33"/>
  <c r="B5512" i="33"/>
  <c r="A5513" i="33"/>
  <c r="B5513" i="33"/>
  <c r="A5514" i="33"/>
  <c r="B5514" i="33"/>
  <c r="A5515" i="33"/>
  <c r="B5515" i="33"/>
  <c r="A5516" i="33"/>
  <c r="B5516" i="33"/>
  <c r="A5517" i="33"/>
  <c r="B5517" i="33"/>
  <c r="A5518" i="33"/>
  <c r="B5518" i="33"/>
  <c r="A5519" i="33"/>
  <c r="B5519" i="33"/>
  <c r="A5520" i="33"/>
  <c r="B5520" i="33"/>
  <c r="A5521" i="33"/>
  <c r="B5521" i="33"/>
  <c r="A5522" i="33"/>
  <c r="B5522" i="33"/>
  <c r="A5523" i="33"/>
  <c r="B5523" i="33"/>
  <c r="A5524" i="33"/>
  <c r="B5524" i="33"/>
  <c r="A5525" i="33"/>
  <c r="B5525" i="33"/>
  <c r="A5526" i="33"/>
  <c r="B5526" i="33"/>
  <c r="A5527" i="33"/>
  <c r="B5527" i="33"/>
  <c r="A5528" i="33"/>
  <c r="B5528" i="33"/>
  <c r="A5529" i="33"/>
  <c r="B5529" i="33"/>
  <c r="A5530" i="33"/>
  <c r="B5530" i="33"/>
  <c r="A5531" i="33"/>
  <c r="B5531" i="33"/>
  <c r="A5532" i="33"/>
  <c r="B5532" i="33"/>
  <c r="A5533" i="33"/>
  <c r="B5533" i="33"/>
  <c r="A5534" i="33"/>
  <c r="B5534" i="33"/>
  <c r="A5535" i="33"/>
  <c r="B5535" i="33"/>
  <c r="A5536" i="33"/>
  <c r="B5536" i="33"/>
  <c r="A5537" i="33"/>
  <c r="B5537" i="33"/>
  <c r="A5538" i="33"/>
  <c r="B5538" i="33"/>
  <c r="A5539" i="33"/>
  <c r="B5539" i="33"/>
  <c r="A5540" i="33"/>
  <c r="B5540" i="33"/>
  <c r="A5541" i="33"/>
  <c r="B5541" i="33"/>
  <c r="A5542" i="33"/>
  <c r="B5542" i="33"/>
  <c r="A5543" i="33"/>
  <c r="B5543" i="33"/>
  <c r="A5544" i="33"/>
  <c r="B5544" i="33"/>
  <c r="A5545" i="33"/>
  <c r="B5545" i="33"/>
  <c r="A5546" i="33"/>
  <c r="B5546" i="33"/>
  <c r="A5547" i="33"/>
  <c r="B5547" i="33"/>
  <c r="A5548" i="33"/>
  <c r="B5548" i="33"/>
  <c r="A5549" i="33"/>
  <c r="A5550" i="33"/>
  <c r="B5550" i="33"/>
  <c r="A5551" i="33"/>
  <c r="B5551" i="33"/>
  <c r="A5552" i="33"/>
  <c r="B5552" i="33"/>
  <c r="A5553" i="33"/>
  <c r="B5553" i="33"/>
  <c r="A5554" i="33"/>
  <c r="B5554" i="33"/>
  <c r="A5555" i="33"/>
  <c r="B5555" i="33"/>
  <c r="A5556" i="33"/>
  <c r="B5556" i="33"/>
  <c r="A5557" i="33"/>
  <c r="B5557" i="33"/>
  <c r="A5558" i="33"/>
  <c r="B5558" i="33"/>
  <c r="A5559" i="33"/>
  <c r="B5559" i="33"/>
  <c r="A5560" i="33"/>
  <c r="B5560" i="33"/>
  <c r="A5561" i="33"/>
  <c r="B5561" i="33"/>
  <c r="A5562" i="33"/>
  <c r="B5562" i="33"/>
  <c r="A5563" i="33"/>
  <c r="B5563" i="33"/>
  <c r="A5564" i="33"/>
  <c r="B5564" i="33"/>
  <c r="A5565" i="33"/>
  <c r="B5565" i="33"/>
  <c r="A5566" i="33"/>
  <c r="A5567" i="33"/>
  <c r="B5567" i="33"/>
  <c r="A5568" i="33"/>
  <c r="B5568" i="33"/>
  <c r="A5569" i="33"/>
  <c r="B5569" i="33"/>
  <c r="A5570" i="33"/>
  <c r="B5570" i="33"/>
  <c r="A5571" i="33"/>
  <c r="B5571" i="33"/>
  <c r="A5572" i="33"/>
  <c r="B5572" i="33"/>
  <c r="A5573" i="33"/>
  <c r="B5573" i="33"/>
  <c r="A5574" i="33"/>
  <c r="B5574" i="33"/>
  <c r="A5575" i="33"/>
  <c r="B5575" i="33"/>
  <c r="A5576" i="33"/>
  <c r="B5576" i="33"/>
  <c r="A5577" i="33"/>
  <c r="B5577" i="33"/>
  <c r="A5578" i="33"/>
  <c r="B5578" i="33"/>
  <c r="A5579" i="33"/>
  <c r="B5579" i="33"/>
  <c r="A5580" i="33"/>
  <c r="B5580" i="33"/>
  <c r="A5581" i="33"/>
  <c r="B5581" i="33"/>
  <c r="A5582" i="33"/>
  <c r="B5582" i="33"/>
  <c r="A5583" i="33"/>
  <c r="B5583" i="33"/>
  <c r="A5585" i="33"/>
  <c r="A5586" i="33"/>
  <c r="B5586" i="33"/>
  <c r="A5587" i="33"/>
  <c r="B5587" i="33"/>
  <c r="A5588" i="33"/>
  <c r="B5588" i="33"/>
  <c r="A5589" i="33"/>
  <c r="B5589" i="33"/>
  <c r="A5590" i="33"/>
  <c r="B5590" i="33"/>
  <c r="A5591" i="33"/>
  <c r="B5591" i="33"/>
  <c r="A5592" i="33"/>
  <c r="B5592" i="33"/>
  <c r="A5593" i="33"/>
  <c r="B5593" i="33"/>
  <c r="A5594" i="33"/>
  <c r="B5594" i="33"/>
  <c r="A5595" i="33"/>
  <c r="B5595" i="33"/>
  <c r="A5596" i="33"/>
  <c r="B5596" i="33"/>
  <c r="A5597" i="33"/>
  <c r="B5597" i="33"/>
  <c r="A5598" i="33"/>
  <c r="B5598" i="33"/>
  <c r="A5599" i="33"/>
  <c r="B5599" i="33"/>
  <c r="A5600" i="33"/>
  <c r="B5600" i="33"/>
  <c r="A5601" i="33"/>
  <c r="B5601" i="33"/>
  <c r="A5602" i="33"/>
  <c r="B5602" i="33"/>
  <c r="A5603" i="33"/>
  <c r="B5603" i="33"/>
  <c r="A5604" i="33"/>
  <c r="B5604" i="33"/>
  <c r="A5605" i="33"/>
  <c r="B5605" i="33"/>
  <c r="A5606" i="33"/>
  <c r="B5606" i="33"/>
  <c r="A5607" i="33"/>
  <c r="B5607" i="33"/>
  <c r="A5608" i="33"/>
  <c r="B5608" i="33"/>
  <c r="A5609" i="33"/>
  <c r="B5609" i="33"/>
  <c r="A5610" i="33"/>
  <c r="B5610" i="33"/>
  <c r="A5611" i="33"/>
  <c r="B5611" i="33"/>
  <c r="A5612" i="33"/>
  <c r="B5612" i="33"/>
  <c r="A5613" i="33"/>
  <c r="B5613" i="33"/>
  <c r="A5614" i="33"/>
  <c r="B5614" i="33"/>
  <c r="A5615" i="33"/>
  <c r="B5615" i="33"/>
  <c r="A5616" i="33"/>
  <c r="A5617" i="33"/>
  <c r="B5617" i="33"/>
  <c r="A5618" i="33"/>
  <c r="B5618" i="33"/>
  <c r="A5619" i="33"/>
  <c r="B5619" i="33"/>
  <c r="A5620" i="33"/>
  <c r="B5620" i="33"/>
  <c r="A5621" i="33"/>
  <c r="B5621" i="33"/>
  <c r="A5622" i="33"/>
  <c r="B5622" i="33"/>
  <c r="A5623" i="33"/>
  <c r="B5623" i="33"/>
  <c r="A5624" i="33"/>
  <c r="B5624" i="33"/>
  <c r="A5625" i="33"/>
  <c r="B5625" i="33"/>
  <c r="A5626" i="33"/>
  <c r="B5626" i="33"/>
  <c r="A5627" i="33"/>
  <c r="B5627" i="33"/>
  <c r="A5629" i="33"/>
  <c r="B5629" i="33"/>
  <c r="A5630" i="33"/>
  <c r="B5630" i="33"/>
  <c r="A5631" i="33"/>
  <c r="B5631" i="33"/>
  <c r="A5632" i="33"/>
  <c r="B5632" i="33"/>
  <c r="A5633" i="33"/>
  <c r="B5633" i="33"/>
  <c r="A5634" i="33"/>
  <c r="B5634" i="33"/>
  <c r="A5635" i="33"/>
  <c r="B5635" i="33"/>
  <c r="A5636" i="33"/>
  <c r="B5636" i="33"/>
  <c r="A5637" i="33"/>
  <c r="B5637" i="33"/>
  <c r="A5638" i="33"/>
  <c r="B5638" i="33"/>
  <c r="A5639" i="33"/>
  <c r="B5639" i="33"/>
  <c r="A5640" i="33"/>
  <c r="B5640" i="33"/>
  <c r="A5641" i="33"/>
  <c r="B5641" i="33"/>
  <c r="A5642" i="33"/>
  <c r="B5642" i="33"/>
  <c r="A5643" i="33"/>
  <c r="B5643" i="33"/>
  <c r="A5644" i="33"/>
  <c r="B5644" i="33"/>
  <c r="A5645" i="33"/>
  <c r="B5645" i="33"/>
  <c r="A5646" i="33"/>
  <c r="B5646" i="33"/>
  <c r="A5647" i="33"/>
  <c r="B5647" i="33"/>
  <c r="A5648" i="33"/>
  <c r="B5648" i="33"/>
  <c r="A5649" i="33"/>
  <c r="B5649" i="33"/>
  <c r="A5650" i="33"/>
  <c r="B5650" i="33"/>
  <c r="A5651" i="33"/>
  <c r="B5651" i="33"/>
  <c r="A5652" i="33"/>
  <c r="B5652" i="33"/>
  <c r="A5653" i="33"/>
  <c r="B5653" i="33"/>
  <c r="A5654" i="33"/>
  <c r="B5654" i="33"/>
  <c r="A5655" i="33"/>
  <c r="B5655" i="33"/>
  <c r="A5656" i="33"/>
  <c r="B5656" i="33"/>
  <c r="A5657" i="33"/>
  <c r="B5657" i="33"/>
  <c r="A5658" i="33"/>
  <c r="B5658" i="33"/>
  <c r="A5659" i="33"/>
  <c r="B5659" i="33"/>
  <c r="A5660" i="33"/>
  <c r="B5660" i="33"/>
  <c r="B5661" i="33"/>
  <c r="A5662" i="33"/>
  <c r="B5662" i="33"/>
  <c r="B5663" i="33"/>
  <c r="B5664" i="33"/>
  <c r="B5665" i="33"/>
  <c r="B5666" i="33"/>
  <c r="B5667" i="33"/>
  <c r="B5668" i="33"/>
  <c r="B5669" i="33"/>
  <c r="B5670" i="33"/>
  <c r="B5671" i="33"/>
  <c r="B5672" i="33"/>
  <c r="B5673" i="33"/>
  <c r="B5674" i="33"/>
  <c r="B5675" i="33"/>
  <c r="B5676" i="33"/>
  <c r="B5677" i="33"/>
  <c r="B5678" i="33"/>
  <c r="B5679" i="33"/>
  <c r="B5680" i="33"/>
  <c r="B5681" i="33"/>
  <c r="B5682" i="33"/>
  <c r="B5683" i="33"/>
  <c r="B5684" i="33"/>
  <c r="B5685" i="33"/>
  <c r="B5686" i="33"/>
  <c r="B5687" i="33"/>
  <c r="B5688" i="33"/>
  <c r="B5689" i="33"/>
  <c r="B5690" i="33"/>
  <c r="A5691" i="33"/>
  <c r="B5691" i="33"/>
  <c r="A5692" i="33"/>
  <c r="B5692" i="33"/>
  <c r="A5693" i="33"/>
  <c r="B5693" i="33"/>
  <c r="A5694" i="33"/>
  <c r="B5694" i="33"/>
  <c r="A5695" i="33"/>
  <c r="B5695" i="33"/>
  <c r="A5696" i="33"/>
  <c r="B5696" i="33"/>
  <c r="A5697" i="33"/>
  <c r="B5697" i="33"/>
  <c r="A5698" i="33"/>
  <c r="B5698" i="33"/>
  <c r="A5699" i="33"/>
  <c r="B5699" i="33"/>
  <c r="A5700" i="33"/>
  <c r="B5700" i="33"/>
  <c r="A5701" i="33"/>
  <c r="B5701" i="33"/>
  <c r="A5702" i="33"/>
  <c r="B5702" i="33"/>
  <c r="A5703" i="33"/>
  <c r="B5703" i="33"/>
  <c r="A5704" i="33"/>
  <c r="B5704" i="33"/>
  <c r="A5705" i="33"/>
  <c r="B5705" i="33"/>
  <c r="A5706" i="33"/>
  <c r="B5706" i="33"/>
  <c r="A5707" i="33"/>
  <c r="B5707" i="33"/>
  <c r="A5708" i="33"/>
  <c r="B5708" i="33"/>
  <c r="A5709" i="33"/>
  <c r="B5709" i="33"/>
  <c r="A5710" i="33"/>
  <c r="B5710" i="33"/>
  <c r="A5711" i="33"/>
  <c r="B5711" i="33"/>
  <c r="A5712" i="33"/>
  <c r="B5712" i="33"/>
  <c r="A5713" i="33"/>
  <c r="B5713" i="33"/>
  <c r="A5714" i="33"/>
  <c r="B5714" i="33"/>
  <c r="A5715" i="33"/>
  <c r="B5715" i="33"/>
  <c r="A5716" i="33"/>
  <c r="B5716" i="33"/>
  <c r="A5717" i="33"/>
  <c r="B5717" i="33"/>
  <c r="A5718" i="33"/>
  <c r="B5718" i="33"/>
  <c r="A5719" i="33"/>
  <c r="B5719" i="33"/>
  <c r="A5720" i="33"/>
  <c r="B5720" i="33"/>
  <c r="A5721" i="33"/>
  <c r="B5721" i="33"/>
  <c r="A5722" i="33"/>
  <c r="B5722" i="33"/>
  <c r="A5723" i="33"/>
  <c r="B5723" i="33"/>
  <c r="A5724" i="33"/>
  <c r="B5724" i="33"/>
  <c r="A5725" i="33"/>
  <c r="B5725" i="33"/>
  <c r="A5726" i="33"/>
  <c r="B5726" i="33"/>
  <c r="A5727" i="33"/>
  <c r="B5727" i="33"/>
  <c r="A5728" i="33"/>
  <c r="B5728" i="33"/>
  <c r="A5729" i="33"/>
  <c r="B5729" i="33"/>
  <c r="A5730" i="33"/>
  <c r="B5730" i="33"/>
  <c r="A5731" i="33"/>
  <c r="B5731" i="33"/>
  <c r="A5732" i="33"/>
  <c r="B5732" i="33"/>
  <c r="A5733" i="33"/>
  <c r="B5733" i="33"/>
  <c r="A5734" i="33"/>
  <c r="B5734" i="33"/>
  <c r="A5735" i="33"/>
  <c r="B5735" i="33"/>
  <c r="A5736" i="33"/>
  <c r="B5736" i="33"/>
  <c r="A5737" i="33"/>
  <c r="B5737" i="33"/>
  <c r="A5738" i="33"/>
  <c r="B5738" i="33"/>
  <c r="A5739" i="33"/>
  <c r="B5739" i="33"/>
  <c r="A5740" i="33"/>
  <c r="B5740" i="33"/>
  <c r="A5741" i="33"/>
  <c r="B5741" i="33"/>
  <c r="A5742" i="33"/>
  <c r="B5742" i="33"/>
  <c r="A5743" i="33"/>
  <c r="B5743" i="33"/>
  <c r="A5744" i="33"/>
  <c r="B5744" i="33"/>
  <c r="A5745" i="33"/>
  <c r="B5745" i="33"/>
  <c r="A5746" i="33"/>
  <c r="B5746" i="33"/>
  <c r="A5747" i="33"/>
  <c r="B5747" i="33"/>
  <c r="A5748" i="33"/>
  <c r="B5748" i="33"/>
  <c r="A5749" i="33"/>
  <c r="B5749" i="33"/>
  <c r="A5750" i="33"/>
  <c r="B5750" i="33"/>
  <c r="A5751" i="33"/>
  <c r="B5751" i="33"/>
  <c r="A5752" i="33"/>
  <c r="B5752" i="33"/>
  <c r="A5753" i="33"/>
  <c r="B5753" i="33"/>
  <c r="A5754" i="33"/>
  <c r="B5754" i="33"/>
  <c r="A5755" i="33"/>
  <c r="B5755" i="33"/>
  <c r="A5756" i="33"/>
  <c r="B5756" i="33"/>
  <c r="A5757" i="33"/>
  <c r="B5757" i="33"/>
  <c r="A5758" i="33"/>
  <c r="B5758" i="33"/>
  <c r="A5759" i="33"/>
  <c r="B5759" i="33"/>
  <c r="A5760" i="33"/>
  <c r="B5760" i="33"/>
  <c r="A5761" i="33"/>
  <c r="B5761" i="33"/>
  <c r="A5762" i="33"/>
  <c r="B5762" i="33"/>
  <c r="A5763" i="33"/>
  <c r="B5763" i="33"/>
  <c r="A5764" i="33"/>
  <c r="B5764" i="33"/>
  <c r="A5765" i="33"/>
  <c r="B5765" i="33"/>
  <c r="A5766" i="33"/>
  <c r="B5766" i="33"/>
  <c r="A5767" i="33"/>
  <c r="B5767" i="33"/>
  <c r="A5768" i="33"/>
  <c r="B5768" i="33"/>
  <c r="A5769" i="33"/>
  <c r="B5769" i="33"/>
  <c r="A5770" i="33"/>
  <c r="B5770" i="33"/>
  <c r="A5771" i="33"/>
  <c r="B5771" i="33"/>
  <c r="A5772" i="33"/>
  <c r="B5772" i="33"/>
  <c r="A5773" i="33"/>
  <c r="B5773" i="33"/>
  <c r="A5774" i="33"/>
  <c r="B5774" i="33"/>
  <c r="A5775" i="33"/>
  <c r="B5775" i="33"/>
  <c r="A5776" i="33"/>
  <c r="B5776" i="33"/>
  <c r="A5777" i="33"/>
  <c r="B5777" i="33"/>
  <c r="A5778" i="33"/>
  <c r="B5778" i="33"/>
  <c r="A5779" i="33"/>
  <c r="B5779" i="33"/>
  <c r="A5780" i="33"/>
  <c r="B5780" i="33"/>
  <c r="A5781" i="33"/>
  <c r="B5781" i="33"/>
  <c r="A5782" i="33"/>
  <c r="B5782" i="33"/>
  <c r="A5783" i="33"/>
  <c r="B5783" i="33"/>
  <c r="A5784" i="33"/>
  <c r="B5784" i="33"/>
  <c r="A5785" i="33"/>
  <c r="B5785" i="33"/>
  <c r="A5786" i="33"/>
  <c r="B5786" i="33"/>
  <c r="A5787" i="33"/>
  <c r="B5787" i="33"/>
  <c r="A5788" i="33"/>
  <c r="B5788" i="33"/>
  <c r="A5789" i="33"/>
  <c r="B5789" i="33"/>
  <c r="A5790" i="33"/>
  <c r="B5790" i="33"/>
  <c r="A5791" i="33"/>
  <c r="B5791" i="33"/>
  <c r="A5792" i="33"/>
  <c r="B5792" i="33"/>
  <c r="A5793" i="33"/>
  <c r="B5793" i="33"/>
  <c r="A5794" i="33"/>
  <c r="B5794" i="33"/>
  <c r="A5795" i="33"/>
  <c r="B5795" i="33"/>
  <c r="A5796" i="33"/>
  <c r="B5796" i="33"/>
  <c r="A5797" i="33"/>
  <c r="B5797" i="33"/>
  <c r="A5798" i="33"/>
  <c r="B5798" i="33"/>
  <c r="A5799" i="33"/>
  <c r="B5799" i="33"/>
  <c r="A5800" i="33"/>
  <c r="B5800" i="33"/>
  <c r="A5801" i="33"/>
  <c r="B5801" i="33"/>
  <c r="A5802" i="33"/>
  <c r="B5802" i="33"/>
  <c r="A5803" i="33"/>
  <c r="B5803" i="33"/>
  <c r="A5804" i="33"/>
  <c r="B5804" i="33"/>
  <c r="A5805" i="33"/>
  <c r="B5805" i="33"/>
  <c r="A5806" i="33"/>
  <c r="B5806" i="33"/>
  <c r="A5807" i="33"/>
  <c r="B5807" i="33"/>
  <c r="A5808" i="33"/>
  <c r="B5808" i="33"/>
  <c r="A5809" i="33"/>
  <c r="B5809" i="33"/>
  <c r="A5810" i="33"/>
  <c r="B5810" i="33"/>
  <c r="A5811" i="33"/>
  <c r="B5811" i="33"/>
  <c r="A5812" i="33"/>
  <c r="B5812" i="33"/>
  <c r="A5813" i="33"/>
  <c r="B5813" i="33"/>
  <c r="A5814" i="33"/>
  <c r="B5814" i="33"/>
  <c r="A5815" i="33"/>
  <c r="B5815" i="33"/>
  <c r="A5816" i="33"/>
  <c r="B5816" i="33"/>
  <c r="A5817" i="33"/>
  <c r="B5817" i="33"/>
  <c r="A5818" i="33"/>
  <c r="B5818" i="33"/>
  <c r="A5819" i="33"/>
  <c r="B5819" i="33"/>
  <c r="A5820" i="33"/>
  <c r="B5820" i="33"/>
  <c r="A5821" i="33"/>
  <c r="B5821" i="33"/>
  <c r="A5822" i="33"/>
  <c r="B5822" i="33"/>
  <c r="A5823" i="33"/>
  <c r="B5823" i="33"/>
  <c r="A5824" i="33"/>
  <c r="B5824" i="33"/>
  <c r="A5825" i="33"/>
  <c r="B5825" i="33"/>
  <c r="A5826" i="33"/>
  <c r="B5826" i="33"/>
  <c r="A5827" i="33"/>
  <c r="B5827" i="33"/>
  <c r="A5828" i="33"/>
  <c r="B5828" i="33"/>
  <c r="A5829" i="33"/>
  <c r="B5829" i="33"/>
  <c r="A5830" i="33"/>
  <c r="B5830" i="33"/>
  <c r="A5831" i="33"/>
  <c r="B5831" i="33"/>
  <c r="A5832" i="33"/>
  <c r="B5832" i="33"/>
  <c r="A5833" i="33"/>
  <c r="B5833" i="33"/>
  <c r="A5834" i="33"/>
  <c r="B5834" i="33"/>
  <c r="A5835" i="33"/>
  <c r="B5835" i="33"/>
  <c r="A5836" i="33"/>
  <c r="B5836" i="33"/>
  <c r="A5837" i="33"/>
  <c r="B5837" i="33"/>
  <c r="A5838" i="33"/>
  <c r="B5838" i="33"/>
  <c r="A5839" i="33"/>
  <c r="B5839" i="33"/>
  <c r="A5840" i="33"/>
  <c r="B5840" i="33"/>
  <c r="A5841" i="33"/>
  <c r="B5841" i="33"/>
  <c r="A5842" i="33"/>
  <c r="B5842" i="33"/>
  <c r="A5843" i="33"/>
  <c r="B5843" i="33"/>
  <c r="A5844" i="33"/>
  <c r="B5844" i="33"/>
  <c r="A5845" i="33"/>
  <c r="B5845" i="33"/>
  <c r="A5846" i="33"/>
  <c r="B5846" i="33"/>
  <c r="A5847" i="33"/>
  <c r="B5847" i="33"/>
  <c r="A5848" i="33"/>
  <c r="B5848" i="33"/>
  <c r="A5849" i="33"/>
  <c r="B5849" i="33"/>
  <c r="A5850" i="33"/>
  <c r="B5850" i="33"/>
  <c r="A5851" i="33"/>
  <c r="B5851" i="33"/>
  <c r="A5852" i="33"/>
  <c r="B5852" i="33"/>
  <c r="A5853" i="33"/>
  <c r="B5853" i="33"/>
  <c r="A5854" i="33"/>
  <c r="B5854" i="33"/>
  <c r="A5855" i="33"/>
  <c r="B5855" i="33"/>
  <c r="A5856" i="33"/>
  <c r="B5856" i="33"/>
  <c r="A5857" i="33"/>
  <c r="B5857" i="33"/>
  <c r="A5858" i="33"/>
  <c r="B5858" i="33"/>
  <c r="A5859" i="33"/>
  <c r="B5859" i="33"/>
  <c r="A5860" i="33"/>
  <c r="B5860" i="33"/>
  <c r="A5861" i="33"/>
  <c r="B5861" i="33"/>
  <c r="A5862" i="33"/>
  <c r="B5862" i="33"/>
  <c r="A5863" i="33"/>
  <c r="B5863" i="33"/>
  <c r="A5864" i="33"/>
  <c r="B5864" i="33"/>
  <c r="A5865" i="33"/>
  <c r="B5865" i="33"/>
  <c r="A5866" i="33"/>
  <c r="B5866" i="33"/>
  <c r="A5867" i="33"/>
  <c r="B5867" i="33"/>
  <c r="A5868" i="33"/>
  <c r="B5868" i="33"/>
  <c r="A5869" i="33"/>
  <c r="B5869" i="33"/>
  <c r="A5870" i="33"/>
  <c r="B5870" i="33"/>
  <c r="A5871" i="33"/>
  <c r="B5871" i="33"/>
  <c r="A5872" i="33"/>
  <c r="B5872" i="33"/>
  <c r="A5873" i="33"/>
  <c r="B5873" i="33"/>
  <c r="A5874" i="33"/>
  <c r="B5874" i="33"/>
  <c r="A5875" i="33"/>
  <c r="B5875" i="33"/>
  <c r="A5876" i="33"/>
  <c r="B5876" i="33"/>
  <c r="A5877" i="33"/>
  <c r="B5877" i="33"/>
  <c r="A5878" i="33"/>
  <c r="B5878" i="33"/>
  <c r="A5879" i="33"/>
  <c r="B5879" i="33"/>
  <c r="A5880" i="33"/>
  <c r="B5880" i="33"/>
  <c r="A5881" i="33"/>
  <c r="B5881" i="33"/>
  <c r="A5882" i="33"/>
  <c r="B5882" i="33"/>
  <c r="A5883" i="33"/>
  <c r="B5883" i="33"/>
  <c r="A5884" i="33"/>
  <c r="B5884" i="33"/>
  <c r="A5885" i="33"/>
  <c r="B5885" i="33"/>
  <c r="A5886" i="33"/>
  <c r="B5886" i="33"/>
  <c r="A5887" i="33"/>
  <c r="B5887" i="33"/>
  <c r="A5888" i="33"/>
  <c r="B5888" i="33"/>
  <c r="A5889" i="33"/>
  <c r="B5889" i="33"/>
  <c r="A5890" i="33"/>
  <c r="B5890" i="33"/>
  <c r="A5891" i="33"/>
  <c r="B5891" i="33"/>
  <c r="A5892" i="33"/>
  <c r="B5892" i="33"/>
  <c r="A5893" i="33"/>
  <c r="B5893" i="33"/>
  <c r="A5894" i="33"/>
  <c r="B5894" i="33"/>
  <c r="A5895" i="33"/>
  <c r="B5895" i="33"/>
  <c r="A5896" i="33"/>
  <c r="B5896" i="33"/>
  <c r="A5897" i="33"/>
  <c r="B5897" i="33"/>
  <c r="A5898" i="33"/>
  <c r="B5898" i="33"/>
  <c r="A5899" i="33"/>
  <c r="B5899" i="33"/>
  <c r="A5900" i="33"/>
  <c r="B5900" i="33"/>
  <c r="A5901" i="33"/>
  <c r="B5901" i="33"/>
  <c r="A5902" i="33"/>
  <c r="B5902" i="33"/>
  <c r="A5903" i="33"/>
  <c r="B5903" i="33"/>
  <c r="A5904" i="33"/>
  <c r="B5904" i="33"/>
  <c r="A5905" i="33"/>
  <c r="B5905" i="33"/>
  <c r="A5906" i="33"/>
  <c r="B5906" i="33"/>
  <c r="A5907" i="33"/>
  <c r="B5907" i="33"/>
  <c r="A5908" i="33"/>
  <c r="B5908" i="33"/>
  <c r="A5909" i="33"/>
  <c r="B5909" i="33"/>
  <c r="A5910" i="33"/>
  <c r="B5910" i="33"/>
  <c r="A5911" i="33"/>
  <c r="B5911" i="33"/>
  <c r="A5912" i="33"/>
  <c r="B5912" i="33"/>
  <c r="A5913" i="33"/>
  <c r="B5913" i="33"/>
  <c r="A5914" i="33"/>
  <c r="B5914" i="33"/>
  <c r="A5915" i="33"/>
  <c r="B5915" i="33"/>
  <c r="A5916" i="33"/>
  <c r="B5916" i="33"/>
  <c r="A5917" i="33"/>
  <c r="B5917" i="33"/>
  <c r="A5918" i="33"/>
  <c r="B5918" i="33"/>
  <c r="A5919" i="33"/>
  <c r="B5919" i="33"/>
  <c r="A5920" i="33"/>
  <c r="B5920" i="33"/>
  <c r="A5921" i="33"/>
  <c r="B5921" i="33"/>
  <c r="A5922" i="33"/>
  <c r="B5922" i="33"/>
  <c r="A5923" i="33"/>
  <c r="B5923" i="33"/>
  <c r="A5924" i="33"/>
  <c r="B5924" i="33"/>
  <c r="A5925" i="33"/>
  <c r="B5925" i="33"/>
  <c r="A5926" i="33"/>
  <c r="B5926" i="33"/>
  <c r="A5927" i="33"/>
  <c r="B5927" i="33"/>
  <c r="A5928" i="33"/>
  <c r="B5928" i="33"/>
  <c r="A5929" i="33"/>
  <c r="B5929" i="33"/>
  <c r="A5930" i="33"/>
  <c r="B5930" i="33"/>
  <c r="A5931" i="33"/>
  <c r="B5931" i="33"/>
  <c r="A5932" i="33"/>
  <c r="B5932" i="33"/>
  <c r="A5933" i="33"/>
  <c r="B5933" i="33"/>
  <c r="A5934" i="33"/>
  <c r="B5934" i="33"/>
  <c r="A5935" i="33"/>
  <c r="B5935" i="33"/>
  <c r="A5936" i="33"/>
  <c r="B5936" i="33"/>
  <c r="A5937" i="33"/>
  <c r="B5937" i="33"/>
  <c r="A5938" i="33"/>
  <c r="B5938" i="33"/>
  <c r="A5939" i="33"/>
  <c r="B5939" i="33"/>
  <c r="A5940" i="33"/>
  <c r="B5940" i="33"/>
  <c r="A5941" i="33"/>
  <c r="B5941" i="33"/>
  <c r="A5942" i="33"/>
  <c r="B5942" i="33"/>
  <c r="A5943" i="33"/>
  <c r="B5943" i="33"/>
  <c r="A5944" i="33"/>
  <c r="B5944" i="33"/>
  <c r="A5945" i="33"/>
  <c r="B5945" i="33"/>
  <c r="A5946" i="33"/>
  <c r="B5946" i="33"/>
  <c r="A5947" i="33"/>
  <c r="B5947" i="33"/>
  <c r="A5948" i="33"/>
  <c r="B5948" i="33"/>
  <c r="A5949" i="33"/>
  <c r="B5949" i="33"/>
  <c r="A5950" i="33"/>
  <c r="B5950" i="33"/>
  <c r="A5951" i="33"/>
  <c r="B5951" i="33"/>
  <c r="A5952" i="33"/>
  <c r="B5952" i="33"/>
  <c r="A5953" i="33"/>
  <c r="B5953" i="33"/>
  <c r="A5954" i="33"/>
  <c r="B5954" i="33"/>
  <c r="A5955" i="33"/>
  <c r="B5955" i="33"/>
  <c r="A5956" i="33"/>
  <c r="B5956" i="33"/>
  <c r="A5957" i="33"/>
  <c r="B5957" i="33"/>
  <c r="A5958" i="33"/>
  <c r="B5958" i="33"/>
  <c r="A5959" i="33"/>
  <c r="B5959" i="33"/>
  <c r="A5960" i="33"/>
  <c r="B5960" i="33"/>
  <c r="A5961" i="33"/>
  <c r="B5961" i="33"/>
  <c r="A5962" i="33"/>
  <c r="B5962" i="33"/>
  <c r="A5963" i="33"/>
  <c r="B5963" i="33"/>
  <c r="A5964" i="33"/>
  <c r="B5964" i="33"/>
  <c r="A5965" i="33"/>
  <c r="B5965" i="33"/>
  <c r="A5966" i="33"/>
  <c r="B5966" i="33"/>
  <c r="A5967" i="33"/>
  <c r="B5967" i="33"/>
  <c r="A5968" i="33"/>
  <c r="B5968" i="33"/>
  <c r="A5969" i="33"/>
  <c r="B5969" i="33"/>
  <c r="A5970" i="33"/>
  <c r="B5970" i="33"/>
  <c r="A5971" i="33"/>
  <c r="B5971" i="33"/>
  <c r="A5972" i="33"/>
  <c r="B5972" i="33"/>
  <c r="A5973" i="33"/>
  <c r="B5973" i="33"/>
  <c r="A5974" i="33"/>
  <c r="B5974" i="33"/>
  <c r="A5975" i="33"/>
  <c r="B5975" i="33"/>
  <c r="A5976" i="33"/>
  <c r="B5976" i="33"/>
  <c r="A5977" i="33"/>
  <c r="B5977" i="33"/>
  <c r="A5978" i="33"/>
  <c r="B5978" i="33"/>
  <c r="A5979" i="33"/>
  <c r="B5979" i="33"/>
  <c r="A5980" i="33"/>
  <c r="B5980" i="33"/>
  <c r="A5981" i="33"/>
  <c r="B5981" i="33"/>
  <c r="A5982" i="33"/>
  <c r="B5982" i="33"/>
  <c r="A5983" i="33"/>
  <c r="B5983" i="33"/>
  <c r="A5984" i="33"/>
  <c r="B5984" i="33"/>
  <c r="A5985" i="33"/>
  <c r="B5985" i="33"/>
  <c r="A5986" i="33"/>
  <c r="B5986" i="33"/>
  <c r="A5987" i="33"/>
  <c r="B5987" i="33"/>
  <c r="A5988" i="33"/>
  <c r="B5988" i="33"/>
  <c r="A5989" i="33"/>
  <c r="B5989" i="33"/>
  <c r="A5990" i="33"/>
  <c r="B5990" i="33"/>
  <c r="A5991" i="33"/>
  <c r="B5991" i="33"/>
  <c r="A5992" i="33"/>
  <c r="B5992" i="33"/>
  <c r="A5993" i="33"/>
  <c r="B5993" i="33"/>
  <c r="A5994" i="33"/>
  <c r="B5994" i="33"/>
  <c r="A5995" i="33"/>
  <c r="B5995" i="33"/>
  <c r="A5996" i="33"/>
  <c r="B5996" i="33"/>
  <c r="A5997" i="33"/>
  <c r="B5997" i="33"/>
  <c r="A5998" i="33"/>
  <c r="B5998" i="33"/>
  <c r="A5999" i="33"/>
  <c r="B5999" i="33"/>
  <c r="A6000" i="33"/>
  <c r="B6000" i="33"/>
  <c r="A6001" i="33"/>
  <c r="B6001" i="33"/>
  <c r="A6002" i="33"/>
  <c r="B6002" i="33"/>
  <c r="A6003" i="33"/>
  <c r="B6003" i="33"/>
  <c r="A6004" i="33"/>
  <c r="B6004" i="33"/>
  <c r="A6005" i="33"/>
  <c r="B6005" i="33"/>
  <c r="A6006" i="33"/>
  <c r="B6006" i="33"/>
  <c r="A6007" i="33"/>
  <c r="B6007" i="33"/>
  <c r="A6008" i="33"/>
  <c r="B6008" i="33"/>
  <c r="A6009" i="33"/>
  <c r="B6009" i="33"/>
  <c r="A6010" i="33"/>
  <c r="B6010" i="33"/>
  <c r="A6011" i="33"/>
  <c r="B6011" i="33"/>
  <c r="A6012" i="33"/>
  <c r="B6012" i="33"/>
  <c r="A6013" i="33"/>
  <c r="B6013" i="33"/>
  <c r="A6014" i="33"/>
  <c r="B6014" i="33"/>
  <c r="A6015" i="33"/>
  <c r="B6015" i="33"/>
  <c r="A6016" i="33"/>
  <c r="B6016" i="33"/>
  <c r="A6017" i="33"/>
  <c r="B6017" i="33"/>
  <c r="A6018" i="33"/>
  <c r="B6018" i="33"/>
  <c r="A6019" i="33"/>
  <c r="B6019" i="33"/>
  <c r="A6020" i="33"/>
  <c r="B6020" i="33"/>
  <c r="A6021" i="33"/>
  <c r="B6021" i="33"/>
  <c r="A6022" i="33"/>
  <c r="B6022" i="33"/>
  <c r="A6023" i="33"/>
  <c r="B6023" i="33"/>
  <c r="A6024" i="33"/>
  <c r="B6024" i="33"/>
  <c r="A6025" i="33"/>
  <c r="B6025" i="33"/>
  <c r="A6026" i="33"/>
  <c r="B6026" i="33"/>
  <c r="A6027" i="33"/>
  <c r="B6027" i="33"/>
  <c r="A6028" i="33"/>
  <c r="B6028" i="33"/>
  <c r="A6029" i="33"/>
  <c r="B6029" i="33"/>
  <c r="A6030" i="33"/>
  <c r="B6030" i="33"/>
  <c r="A6031" i="33"/>
  <c r="B6031" i="33"/>
  <c r="A6032" i="33"/>
  <c r="B6032" i="33"/>
  <c r="A6033" i="33"/>
  <c r="B6033" i="33"/>
  <c r="A6034" i="33"/>
  <c r="B6034" i="33"/>
  <c r="A6035" i="33"/>
  <c r="B6035" i="33"/>
  <c r="A6036" i="33"/>
  <c r="B6036" i="33"/>
  <c r="A6037" i="33"/>
  <c r="B6037" i="33"/>
  <c r="A6038" i="33"/>
  <c r="B6038" i="33"/>
  <c r="A6039" i="33"/>
  <c r="B6039" i="33"/>
  <c r="A6040" i="33"/>
  <c r="B6040" i="33"/>
  <c r="A6041" i="33"/>
  <c r="B6041" i="33"/>
  <c r="A6042" i="33"/>
  <c r="B6042" i="33"/>
  <c r="A6043" i="33"/>
  <c r="B6043" i="33"/>
  <c r="A6044" i="33"/>
  <c r="B6044" i="33"/>
  <c r="A6045" i="33"/>
  <c r="B6045" i="33"/>
  <c r="A6046" i="33"/>
  <c r="B6046" i="33"/>
  <c r="A6047" i="33"/>
  <c r="B6047" i="33"/>
  <c r="A6048" i="33"/>
  <c r="B6048" i="33"/>
  <c r="A6049" i="33"/>
  <c r="B6049" i="33"/>
  <c r="A6050" i="33"/>
  <c r="B6050" i="33"/>
  <c r="A6051" i="33"/>
  <c r="B6051" i="33"/>
  <c r="A6052" i="33"/>
  <c r="B6052" i="33"/>
  <c r="A6053" i="33"/>
  <c r="B6053" i="33"/>
  <c r="A6054" i="33"/>
  <c r="B6054" i="33"/>
  <c r="A6055" i="33"/>
  <c r="B6055" i="33"/>
  <c r="A6056" i="33"/>
  <c r="B6056" i="33"/>
  <c r="A6057" i="33"/>
  <c r="B6057" i="33"/>
  <c r="A6058" i="33"/>
  <c r="B6058" i="33"/>
  <c r="A6059" i="33"/>
  <c r="B6059" i="33"/>
  <c r="A6060" i="33"/>
  <c r="B6060" i="33"/>
  <c r="A6061" i="33"/>
  <c r="B6061" i="33"/>
  <c r="A6062" i="33"/>
  <c r="B6062" i="33"/>
  <c r="A6063" i="33"/>
  <c r="B6063" i="33"/>
  <c r="A6064" i="33"/>
  <c r="B6064" i="33"/>
  <c r="A6065" i="33"/>
  <c r="B6065" i="33"/>
  <c r="A6066" i="33"/>
  <c r="B6066" i="33"/>
  <c r="A6067" i="33"/>
  <c r="B6067" i="33"/>
  <c r="A6068" i="33"/>
  <c r="B6068" i="33"/>
  <c r="A6069" i="33"/>
  <c r="B6069" i="33"/>
  <c r="A6070" i="33"/>
  <c r="B6070" i="33"/>
  <c r="A6071" i="33"/>
  <c r="B6071" i="33"/>
  <c r="A6072" i="33"/>
  <c r="B6072" i="33"/>
  <c r="A6073" i="33"/>
  <c r="B6073" i="33"/>
  <c r="A6074" i="33"/>
  <c r="B6074" i="33"/>
  <c r="A6075" i="33"/>
  <c r="A6076" i="33"/>
  <c r="B6076" i="33"/>
  <c r="A6077" i="33"/>
  <c r="B6077" i="33"/>
  <c r="A6078" i="33"/>
  <c r="B6078" i="33"/>
  <c r="A6079" i="33"/>
  <c r="B6079" i="33"/>
  <c r="A6080" i="33"/>
  <c r="B6080" i="33"/>
  <c r="A6081" i="33"/>
  <c r="B6081" i="33"/>
  <c r="A6082" i="33"/>
  <c r="B6082" i="33"/>
  <c r="A6083" i="33"/>
  <c r="B6083" i="33"/>
  <c r="A6084" i="33"/>
  <c r="B6084" i="33"/>
  <c r="A6085" i="33"/>
  <c r="B6085" i="33"/>
  <c r="A6086" i="33"/>
  <c r="B6086" i="33"/>
  <c r="A6087" i="33"/>
  <c r="B6087" i="33"/>
  <c r="A6088" i="33"/>
  <c r="B6088" i="33"/>
  <c r="A6089" i="33"/>
  <c r="B6089" i="33"/>
  <c r="A6090" i="33"/>
  <c r="B6090" i="33"/>
  <c r="A6091" i="33"/>
  <c r="B6091" i="33"/>
  <c r="A6092" i="33"/>
  <c r="B6092" i="33"/>
  <c r="A6093" i="33"/>
  <c r="B6093" i="33"/>
  <c r="A6094" i="33"/>
  <c r="B6094" i="33"/>
  <c r="A6095" i="33"/>
  <c r="B6095" i="33"/>
  <c r="A6096" i="33"/>
  <c r="B6096" i="33"/>
  <c r="A6097" i="33"/>
  <c r="B6097" i="33"/>
  <c r="A6098" i="33"/>
  <c r="B6098" i="33"/>
  <c r="A6099" i="33"/>
  <c r="B6099" i="33"/>
  <c r="A6100" i="33"/>
  <c r="A6101" i="33"/>
  <c r="B6101" i="33"/>
  <c r="A6102" i="33"/>
  <c r="B6102" i="33"/>
  <c r="A6103" i="33"/>
  <c r="A6104" i="33"/>
  <c r="B6104" i="33"/>
  <c r="A6105" i="33"/>
  <c r="B6105" i="33"/>
  <c r="A6106" i="33"/>
  <c r="B6106" i="33"/>
  <c r="A6107" i="33"/>
  <c r="B6107" i="33"/>
  <c r="A6108" i="33"/>
  <c r="B6108" i="33"/>
  <c r="A6109" i="33"/>
  <c r="B6109" i="33"/>
  <c r="A6110" i="33"/>
  <c r="B6110" i="33"/>
  <c r="A6111" i="33"/>
  <c r="B6111" i="33"/>
  <c r="A6112" i="33"/>
  <c r="B6112" i="33"/>
  <c r="A6113" i="33"/>
  <c r="B6113" i="33"/>
  <c r="A6114" i="33"/>
  <c r="B6114" i="33"/>
  <c r="A6115" i="33"/>
  <c r="B6115" i="33"/>
  <c r="A6116" i="33"/>
  <c r="B6116" i="33"/>
  <c r="A6117" i="33"/>
  <c r="B6117" i="33"/>
  <c r="A6118" i="33"/>
  <c r="B6118" i="33"/>
  <c r="A6119" i="33"/>
  <c r="B6119" i="33"/>
  <c r="A6120" i="33"/>
  <c r="B6120" i="33"/>
  <c r="A6121" i="33"/>
  <c r="B6121" i="33"/>
  <c r="A6122" i="33"/>
  <c r="B6122" i="33"/>
  <c r="A6123" i="33"/>
  <c r="B6123" i="33"/>
  <c r="A6124" i="33"/>
  <c r="B6124" i="33"/>
  <c r="A6125" i="33"/>
  <c r="B6125" i="33"/>
  <c r="A6126" i="33"/>
  <c r="B6126" i="33"/>
  <c r="A6127" i="33"/>
  <c r="B6127" i="33"/>
  <c r="A6128" i="33"/>
  <c r="B6128" i="33"/>
  <c r="A6129" i="33"/>
  <c r="B6129" i="33"/>
  <c r="A6130" i="33"/>
  <c r="B6130" i="33"/>
  <c r="A6131" i="33"/>
  <c r="B6131" i="33"/>
  <c r="A6132" i="33"/>
  <c r="B6132" i="33"/>
  <c r="A6133" i="33"/>
  <c r="B6133" i="33"/>
  <c r="A6134" i="33"/>
  <c r="B6134" i="33"/>
  <c r="A6135" i="33"/>
  <c r="B6135" i="33"/>
  <c r="A6136" i="33"/>
  <c r="B6136" i="33"/>
  <c r="A6137" i="33"/>
  <c r="B6137" i="33"/>
  <c r="A6138" i="33"/>
  <c r="B6138" i="33"/>
  <c r="A6139" i="33"/>
  <c r="B6139" i="33"/>
  <c r="A6140" i="33"/>
  <c r="B6140" i="33"/>
  <c r="A6141" i="33"/>
  <c r="B6141" i="33"/>
  <c r="A6142" i="33"/>
  <c r="B6142" i="33"/>
  <c r="A6143" i="33"/>
  <c r="B6143" i="33"/>
  <c r="A6144" i="33"/>
  <c r="B6144" i="33"/>
  <c r="A6145" i="33"/>
  <c r="B6145" i="33"/>
  <c r="A6146" i="33"/>
  <c r="B6146" i="33"/>
  <c r="A6147" i="33"/>
  <c r="B6147" i="33"/>
  <c r="A6148" i="33"/>
  <c r="B6148" i="33"/>
  <c r="A6149" i="33"/>
  <c r="B6149" i="33"/>
  <c r="A6150" i="33"/>
  <c r="B6150" i="33"/>
  <c r="A6151" i="33"/>
  <c r="B6151" i="33"/>
  <c r="A6152" i="33"/>
  <c r="B6152" i="33"/>
  <c r="A6153" i="33"/>
  <c r="B6153" i="33"/>
  <c r="A6154" i="33"/>
  <c r="B6154" i="33"/>
  <c r="A6155" i="33"/>
  <c r="B6155" i="33"/>
  <c r="A6156" i="33"/>
  <c r="B6156" i="33"/>
  <c r="A6157" i="33"/>
  <c r="B6157" i="33"/>
  <c r="A6158" i="33"/>
  <c r="B6158" i="33"/>
  <c r="A6159" i="33"/>
  <c r="B6159" i="33"/>
  <c r="A6160" i="33"/>
  <c r="B6160" i="33"/>
  <c r="A6161" i="33"/>
  <c r="B6161" i="33"/>
  <c r="A6162" i="33"/>
  <c r="B6162" i="33"/>
  <c r="A6163" i="33"/>
  <c r="B6163" i="33"/>
  <c r="A6164" i="33"/>
  <c r="B6164" i="33"/>
  <c r="A6165" i="33"/>
  <c r="B6165" i="33"/>
  <c r="A6166" i="33"/>
  <c r="B6166" i="33"/>
  <c r="A6167" i="33"/>
  <c r="B6167" i="33"/>
  <c r="A6168" i="33"/>
  <c r="A6169" i="33"/>
  <c r="B6169" i="33"/>
  <c r="A6170" i="33"/>
  <c r="B6170" i="33"/>
  <c r="A6171" i="33"/>
  <c r="B6171" i="33"/>
  <c r="A6172" i="33"/>
  <c r="B6172" i="33"/>
  <c r="A6173" i="33"/>
  <c r="B6173" i="33"/>
  <c r="A6174" i="33"/>
  <c r="B6174" i="33"/>
  <c r="A6175" i="33"/>
  <c r="B6175" i="33"/>
  <c r="A6176" i="33"/>
  <c r="B6176" i="33"/>
  <c r="A6177" i="33"/>
  <c r="B6177" i="33"/>
  <c r="A6178" i="33"/>
  <c r="B6178" i="33"/>
  <c r="A6179" i="33"/>
  <c r="B6179" i="33"/>
  <c r="A6180" i="33"/>
  <c r="B6180" i="33"/>
  <c r="A6181" i="33"/>
  <c r="B6181" i="33"/>
  <c r="A6182" i="33"/>
  <c r="B6182" i="33"/>
  <c r="A6183" i="33"/>
  <c r="B6183" i="33"/>
  <c r="A6184" i="33"/>
  <c r="B6184" i="33"/>
  <c r="A6185" i="33"/>
  <c r="B6185" i="33"/>
  <c r="A6186" i="33"/>
  <c r="B6186" i="33"/>
  <c r="A6187" i="33"/>
  <c r="B6187" i="33"/>
  <c r="A6188" i="33"/>
  <c r="B6188" i="33"/>
  <c r="A6189" i="33"/>
  <c r="B6189" i="33"/>
  <c r="A6190" i="33"/>
  <c r="B6190" i="33"/>
  <c r="A6191" i="33"/>
  <c r="B6191" i="33"/>
  <c r="A6192" i="33"/>
  <c r="B6192" i="33"/>
  <c r="A6193" i="33"/>
  <c r="B6193" i="33"/>
  <c r="A6194" i="33"/>
  <c r="B6194" i="33"/>
  <c r="A6195" i="33"/>
  <c r="B6195" i="33"/>
  <c r="A6196" i="33"/>
  <c r="B6196" i="33"/>
  <c r="A6197" i="33"/>
  <c r="B6197" i="33"/>
  <c r="A6198" i="33"/>
  <c r="B6198" i="33"/>
  <c r="A6199" i="33"/>
  <c r="B6199" i="33"/>
  <c r="A6200" i="33"/>
  <c r="B6200" i="33"/>
  <c r="A6201" i="33"/>
  <c r="B6201" i="33"/>
  <c r="A6202" i="33"/>
  <c r="B6202" i="33"/>
  <c r="A6203" i="33"/>
  <c r="B6203" i="33"/>
  <c r="A6204" i="33"/>
  <c r="B6204" i="33"/>
  <c r="A6205" i="33"/>
  <c r="B6205" i="33"/>
  <c r="A6206" i="33"/>
  <c r="B6206" i="33"/>
  <c r="A6207" i="33"/>
  <c r="B6207" i="33"/>
  <c r="A6208" i="33"/>
  <c r="B6208" i="33"/>
  <c r="A6209" i="33"/>
  <c r="B6209" i="33"/>
  <c r="A6210" i="33"/>
  <c r="B6210" i="33"/>
  <c r="A6211" i="33"/>
  <c r="B6211" i="33"/>
  <c r="A6212" i="33"/>
  <c r="B6212" i="33"/>
  <c r="A6213" i="33"/>
  <c r="B6213" i="33"/>
  <c r="A6214" i="33"/>
  <c r="B6214" i="33"/>
  <c r="A6215" i="33"/>
  <c r="B6215" i="33"/>
  <c r="A6216" i="33"/>
  <c r="B6216" i="33"/>
  <c r="A6217" i="33"/>
  <c r="B6217" i="33"/>
  <c r="A6218" i="33"/>
  <c r="B6218" i="33"/>
  <c r="A6219" i="33"/>
  <c r="B6219" i="33"/>
  <c r="A6220" i="33"/>
  <c r="B6220" i="33"/>
  <c r="A6221" i="33"/>
  <c r="B6221" i="33"/>
  <c r="A6222" i="33"/>
  <c r="B6222" i="33"/>
  <c r="A6223" i="33"/>
  <c r="B6223" i="33"/>
  <c r="A6224" i="33"/>
  <c r="B6224" i="33"/>
  <c r="A6225" i="33"/>
  <c r="B6225" i="33"/>
  <c r="A6226" i="33"/>
  <c r="B6226" i="33"/>
  <c r="A6227" i="33"/>
  <c r="B6227" i="33"/>
  <c r="A6228" i="33"/>
  <c r="B6228" i="33"/>
  <c r="A6229" i="33"/>
  <c r="B6229" i="33"/>
  <c r="A6230" i="33"/>
  <c r="B6230" i="33"/>
  <c r="A6231" i="33"/>
  <c r="B6231" i="33"/>
  <c r="A6232" i="33"/>
  <c r="B6232" i="33"/>
  <c r="A6233" i="33"/>
  <c r="B6233" i="33"/>
  <c r="A6234" i="33"/>
  <c r="B6234" i="33"/>
  <c r="A6235" i="33"/>
  <c r="B6235" i="33"/>
  <c r="A6236" i="33"/>
  <c r="B6236" i="33"/>
  <c r="A6237" i="33"/>
  <c r="B6237" i="33"/>
  <c r="A6238" i="33"/>
  <c r="B6238" i="33"/>
  <c r="A6239" i="33"/>
  <c r="B6239" i="33"/>
  <c r="A6240" i="33"/>
  <c r="B6240" i="33"/>
  <c r="A6241" i="33"/>
  <c r="B6241" i="33"/>
  <c r="A6242" i="33"/>
  <c r="B6242" i="33"/>
  <c r="A6243" i="33"/>
  <c r="B6243" i="33"/>
  <c r="A6244" i="33"/>
  <c r="B6244" i="33"/>
  <c r="A6245" i="33"/>
  <c r="B6245" i="33"/>
  <c r="A6246" i="33"/>
  <c r="B6246" i="33"/>
  <c r="A6247" i="33"/>
  <c r="B6247" i="33"/>
  <c r="A6248" i="33"/>
  <c r="B6248" i="33"/>
  <c r="A6249" i="33"/>
  <c r="B6249" i="33"/>
  <c r="A6250" i="33"/>
  <c r="B6250" i="33"/>
  <c r="A6251" i="33"/>
  <c r="B6251" i="33"/>
  <c r="A6252" i="33"/>
  <c r="B6252" i="33"/>
  <c r="A6253" i="33"/>
  <c r="B6253" i="33"/>
  <c r="A6254" i="33"/>
  <c r="B6254" i="33"/>
  <c r="A6255" i="33"/>
  <c r="B6255" i="33"/>
  <c r="A6256" i="33"/>
  <c r="B6256" i="33"/>
  <c r="A6257" i="33"/>
  <c r="B6257" i="33"/>
  <c r="A6258" i="33"/>
  <c r="B6258" i="33"/>
  <c r="A6259" i="33"/>
  <c r="B6259" i="33"/>
  <c r="A6260" i="33"/>
  <c r="B6260" i="33"/>
  <c r="A6261" i="33"/>
  <c r="B6261" i="33"/>
  <c r="A6262" i="33"/>
  <c r="B6262" i="33"/>
  <c r="A6263" i="33"/>
  <c r="B6263" i="33"/>
  <c r="A6264" i="33"/>
  <c r="B6264" i="33"/>
  <c r="A6265" i="33"/>
  <c r="B6265" i="33"/>
  <c r="A6266" i="33"/>
  <c r="B6266" i="33"/>
  <c r="A6267" i="33"/>
  <c r="B6267" i="33"/>
  <c r="A6268" i="33"/>
  <c r="B6268" i="33"/>
  <c r="A6269" i="33"/>
  <c r="B6269" i="33"/>
  <c r="A6270" i="33"/>
  <c r="B6270" i="33"/>
  <c r="A6271" i="33"/>
  <c r="B6271" i="33"/>
  <c r="A6272" i="33"/>
  <c r="B6272" i="33"/>
  <c r="A6273" i="33"/>
  <c r="B6273" i="33"/>
  <c r="A6274" i="33"/>
  <c r="B6274" i="33"/>
  <c r="A6275" i="33"/>
  <c r="B6275" i="33"/>
  <c r="A6276" i="33"/>
  <c r="B6276" i="33"/>
  <c r="A6277" i="33"/>
  <c r="B6277" i="33"/>
  <c r="A6278" i="33"/>
  <c r="B6278" i="33"/>
  <c r="A6279" i="33"/>
  <c r="B6279" i="33"/>
  <c r="A6280" i="33"/>
  <c r="B6280" i="33"/>
  <c r="A6281" i="33"/>
  <c r="B6281" i="33"/>
  <c r="A6282" i="33"/>
  <c r="B6282" i="33"/>
  <c r="A6283" i="33"/>
  <c r="B6283" i="33"/>
  <c r="A6284" i="33"/>
  <c r="B6284" i="33"/>
  <c r="A6285" i="33"/>
  <c r="B6285" i="33"/>
  <c r="A6286" i="33"/>
  <c r="B6286" i="33"/>
  <c r="A6287" i="33"/>
  <c r="B6287" i="33"/>
  <c r="A6288" i="33"/>
  <c r="B6288" i="33"/>
  <c r="A6289" i="33"/>
  <c r="B6289" i="33"/>
  <c r="A6290" i="33"/>
  <c r="B6290" i="33"/>
  <c r="A6291" i="33"/>
  <c r="B6291" i="33"/>
  <c r="A6292" i="33"/>
  <c r="B6292" i="33"/>
  <c r="A6293" i="33"/>
  <c r="B6293" i="33"/>
  <c r="A6294" i="33"/>
  <c r="B6294" i="33"/>
  <c r="A6295" i="33"/>
  <c r="B6295" i="33"/>
  <c r="A6296" i="33"/>
  <c r="B6296" i="33"/>
  <c r="A6297" i="33"/>
  <c r="B6297" i="33"/>
  <c r="A6298" i="33"/>
  <c r="B6298" i="33"/>
  <c r="A6299" i="33"/>
  <c r="B6299" i="33"/>
  <c r="A6300" i="33"/>
  <c r="B6300" i="33"/>
  <c r="A6301" i="33"/>
  <c r="B6301" i="33"/>
  <c r="A6302" i="33"/>
  <c r="B6302" i="33"/>
  <c r="A6303" i="33"/>
  <c r="B6303" i="33"/>
  <c r="A6304" i="33"/>
  <c r="B6304" i="33"/>
  <c r="A6305" i="33"/>
  <c r="B6305" i="33"/>
  <c r="A6306" i="33"/>
  <c r="B6306" i="33"/>
  <c r="A6307" i="33"/>
  <c r="B6307" i="33"/>
  <c r="A6308" i="33"/>
  <c r="B6308" i="33"/>
  <c r="A6309" i="33"/>
  <c r="B6309" i="33"/>
  <c r="A6310" i="33"/>
  <c r="B6310" i="33"/>
  <c r="A6311" i="33"/>
  <c r="B6311" i="33"/>
  <c r="A6312" i="33"/>
  <c r="B6312" i="33"/>
  <c r="A6313" i="33"/>
  <c r="B6313" i="33"/>
  <c r="A6314" i="33"/>
  <c r="B6314" i="33"/>
  <c r="A6315" i="33"/>
  <c r="B6315" i="33"/>
  <c r="A6316" i="33"/>
  <c r="B6316" i="33"/>
  <c r="A6317" i="33"/>
  <c r="B6317" i="33"/>
  <c r="A6318" i="33"/>
  <c r="B6318" i="33"/>
  <c r="A6319" i="33"/>
  <c r="B6319" i="33"/>
  <c r="A6320" i="33"/>
  <c r="B6320" i="33"/>
  <c r="A6321" i="33"/>
  <c r="B6321" i="33"/>
  <c r="A6322" i="33"/>
  <c r="B6322" i="33"/>
  <c r="A6323" i="33"/>
  <c r="B6323" i="33"/>
  <c r="A6324" i="33"/>
  <c r="B6324" i="33"/>
  <c r="A6325" i="33"/>
  <c r="B6325" i="33"/>
  <c r="A6326" i="33"/>
  <c r="B6326" i="33"/>
  <c r="A6327" i="33"/>
  <c r="B6327" i="33"/>
  <c r="A6328" i="33"/>
  <c r="B6328" i="33"/>
  <c r="A6329" i="33"/>
  <c r="B6329" i="33"/>
  <c r="A6330" i="33"/>
  <c r="B6330" i="33"/>
  <c r="A6331" i="33"/>
  <c r="B6331" i="33"/>
  <c r="A6332" i="33"/>
  <c r="B6332" i="33"/>
  <c r="A6333" i="33"/>
  <c r="B6333" i="33"/>
  <c r="A6334" i="33"/>
  <c r="B6334" i="33"/>
  <c r="A6335" i="33"/>
  <c r="B6335" i="33"/>
  <c r="A6336" i="33"/>
  <c r="A6337" i="33"/>
  <c r="B6337" i="33"/>
  <c r="A6338" i="33"/>
  <c r="B6338" i="33"/>
  <c r="A6339" i="33"/>
  <c r="B6339" i="33"/>
  <c r="A6340" i="33"/>
  <c r="B6340" i="33"/>
  <c r="A6341" i="33"/>
  <c r="B6341" i="33"/>
  <c r="A6342" i="33"/>
  <c r="B6342" i="33"/>
  <c r="A6343" i="33"/>
  <c r="B6343" i="33"/>
  <c r="A6344" i="33"/>
  <c r="B6344" i="33"/>
  <c r="A6345" i="33"/>
  <c r="B6345" i="33"/>
  <c r="A6346" i="33"/>
  <c r="B6346" i="33"/>
  <c r="A6347" i="33"/>
  <c r="B6347" i="33"/>
  <c r="A6348" i="33"/>
  <c r="B6348" i="33"/>
  <c r="A6349" i="33"/>
  <c r="B6349" i="33"/>
  <c r="A6350" i="33"/>
  <c r="B6350" i="33"/>
  <c r="A6351" i="33"/>
  <c r="B6351" i="33"/>
  <c r="A6352" i="33"/>
  <c r="B6352" i="33"/>
  <c r="A6353" i="33"/>
  <c r="B6353" i="33"/>
  <c r="A6354" i="33"/>
  <c r="B6354" i="33"/>
  <c r="A6355" i="33"/>
  <c r="B6355" i="33"/>
  <c r="A6356" i="33"/>
  <c r="B6356" i="33"/>
  <c r="A6357" i="33"/>
  <c r="B6357" i="33"/>
  <c r="A6358" i="33"/>
  <c r="B6358" i="33"/>
  <c r="A6359" i="33"/>
  <c r="B6359" i="33"/>
  <c r="A6360" i="33"/>
  <c r="B6360" i="33"/>
  <c r="A6361" i="33"/>
  <c r="B6361" i="33"/>
  <c r="A6362" i="33"/>
  <c r="B6362" i="33"/>
  <c r="A6363" i="33"/>
  <c r="B6363" i="33"/>
  <c r="A6364" i="33"/>
  <c r="B6364" i="33"/>
  <c r="A6365" i="33"/>
  <c r="B6365" i="33"/>
  <c r="A6366" i="33"/>
  <c r="B6366" i="33"/>
  <c r="A6367" i="33"/>
  <c r="B6367" i="33"/>
  <c r="A6368" i="33"/>
  <c r="B6368" i="33"/>
  <c r="A6369" i="33"/>
  <c r="B6369" i="33"/>
  <c r="A6370" i="33"/>
  <c r="B6370" i="33"/>
  <c r="A6371" i="33"/>
  <c r="B6371" i="33"/>
  <c r="A6372" i="33"/>
  <c r="B6372" i="33"/>
  <c r="A6373" i="33"/>
  <c r="A6374" i="33"/>
  <c r="B6374" i="33"/>
  <c r="A6375" i="33"/>
  <c r="B6375" i="33"/>
  <c r="A6376" i="33"/>
  <c r="B6376" i="33"/>
  <c r="A6377" i="33"/>
  <c r="B6377" i="33"/>
  <c r="A6378" i="33"/>
  <c r="B6378" i="33"/>
  <c r="A6379" i="33"/>
  <c r="B6379" i="33"/>
  <c r="A6380" i="33"/>
  <c r="B6380" i="33"/>
  <c r="A6381" i="33"/>
  <c r="B6381" i="33"/>
  <c r="A6382" i="33"/>
  <c r="B6382" i="33"/>
  <c r="A6383" i="33"/>
  <c r="B6383" i="33"/>
  <c r="A6384" i="33"/>
  <c r="B6384" i="33"/>
  <c r="A6385" i="33"/>
  <c r="B6385" i="33"/>
  <c r="A6386" i="33"/>
  <c r="B6386" i="33"/>
  <c r="A6387" i="33"/>
  <c r="B6387" i="33"/>
  <c r="A6388" i="33"/>
  <c r="B6388" i="33"/>
  <c r="A6389" i="33"/>
  <c r="B6389" i="33"/>
  <c r="A6390" i="33"/>
  <c r="B6390" i="33"/>
  <c r="A6391" i="33"/>
  <c r="B6391" i="33"/>
  <c r="A6392" i="33"/>
  <c r="B6392" i="33"/>
  <c r="A6393" i="33"/>
  <c r="B6393" i="33"/>
  <c r="A6394" i="33"/>
  <c r="B6394" i="33"/>
  <c r="A6395" i="33"/>
  <c r="B6395" i="33"/>
  <c r="A6396" i="33"/>
  <c r="B6396" i="33"/>
  <c r="A6397" i="33"/>
  <c r="B6397" i="33"/>
  <c r="A6398" i="33"/>
  <c r="B6398" i="33"/>
  <c r="A6399" i="33"/>
  <c r="B6399" i="33"/>
  <c r="A6400" i="33"/>
  <c r="B6400" i="33"/>
  <c r="A6401" i="33"/>
  <c r="B6401" i="33"/>
  <c r="A6402" i="33"/>
  <c r="B6402" i="33"/>
  <c r="A6403" i="33"/>
  <c r="B6403" i="33"/>
  <c r="A6404" i="33"/>
  <c r="B6404" i="33"/>
  <c r="A6405" i="33"/>
  <c r="B6405" i="33"/>
  <c r="A6406" i="33"/>
  <c r="B6406" i="33"/>
  <c r="A6407" i="33"/>
  <c r="B6407" i="33"/>
  <c r="A6408" i="33"/>
  <c r="B6408" i="33"/>
  <c r="A6409" i="33"/>
  <c r="A6410" i="33"/>
  <c r="B6410" i="33"/>
  <c r="A6411" i="33"/>
  <c r="B6411" i="33"/>
  <c r="A6412" i="33"/>
  <c r="B6412" i="33"/>
  <c r="A6413" i="33"/>
  <c r="B6413" i="33"/>
  <c r="A6414" i="33"/>
  <c r="B6414" i="33"/>
  <c r="A6415" i="33"/>
  <c r="B6415" i="33"/>
  <c r="A6416" i="33"/>
  <c r="B6416" i="33"/>
  <c r="A6417" i="33"/>
  <c r="B6417" i="33"/>
  <c r="A6418" i="33"/>
  <c r="B6418" i="33"/>
  <c r="A6419" i="33"/>
  <c r="B6419" i="33"/>
  <c r="A6420" i="33"/>
  <c r="B6420" i="33"/>
  <c r="A6421" i="33"/>
  <c r="B6421" i="33"/>
  <c r="A6422" i="33"/>
  <c r="B6422" i="33"/>
  <c r="A6423" i="33"/>
  <c r="B6423" i="33"/>
  <c r="A6424" i="33"/>
  <c r="B6424" i="33"/>
  <c r="A6425" i="33"/>
  <c r="B6425" i="33"/>
  <c r="A6426" i="33"/>
  <c r="B6426" i="33"/>
  <c r="A6427" i="33"/>
  <c r="B6427" i="33"/>
  <c r="A6428" i="33"/>
  <c r="B6428" i="33"/>
  <c r="A6429" i="33"/>
  <c r="B6429" i="33"/>
  <c r="A6430" i="33"/>
  <c r="B6430" i="33"/>
  <c r="A6431" i="33"/>
  <c r="B6431" i="33"/>
  <c r="A6432" i="33"/>
  <c r="B6432" i="33"/>
  <c r="A6433" i="33"/>
  <c r="B6433" i="33"/>
  <c r="A6434" i="33"/>
  <c r="B6434" i="33"/>
  <c r="A6435" i="33"/>
  <c r="B6435" i="33"/>
  <c r="A6436" i="33"/>
  <c r="B6436" i="33"/>
  <c r="A6437" i="33"/>
  <c r="B6437" i="33"/>
  <c r="A6438" i="33"/>
  <c r="B6438" i="33"/>
  <c r="A6439" i="33"/>
  <c r="B6439" i="33"/>
  <c r="A6440" i="33"/>
  <c r="B6440" i="33"/>
  <c r="A6441" i="33"/>
  <c r="B6441" i="33"/>
  <c r="A6442" i="33"/>
  <c r="B6442" i="33"/>
  <c r="A6443" i="33"/>
  <c r="B6443" i="33"/>
  <c r="A6444" i="33"/>
  <c r="B6444" i="33"/>
  <c r="A6445" i="33"/>
  <c r="B6445" i="33"/>
  <c r="A6446" i="33"/>
  <c r="B6446" i="33"/>
  <c r="A6447" i="33"/>
  <c r="B6447" i="33"/>
  <c r="A6448" i="33"/>
  <c r="B6448" i="33"/>
  <c r="A6449" i="33"/>
  <c r="B6449" i="33"/>
  <c r="A6450" i="33"/>
  <c r="B6450" i="33"/>
  <c r="A6451" i="33"/>
  <c r="B6451" i="33"/>
  <c r="A6452" i="33"/>
  <c r="B6452" i="33"/>
  <c r="A6453" i="33"/>
  <c r="B6453" i="33"/>
  <c r="A6454" i="33"/>
  <c r="B6454" i="33"/>
  <c r="A6455" i="33"/>
  <c r="B6455" i="33"/>
  <c r="A6456" i="33"/>
  <c r="B6456" i="33"/>
  <c r="A6457" i="33"/>
  <c r="B6457" i="33"/>
  <c r="A6458" i="33"/>
  <c r="B6458" i="33"/>
  <c r="A6459" i="33"/>
  <c r="B6459" i="33"/>
  <c r="A6460" i="33"/>
  <c r="B6460" i="33"/>
  <c r="A6461" i="33"/>
  <c r="B6461" i="33"/>
  <c r="A6462" i="33"/>
  <c r="B6462" i="33"/>
  <c r="A6463" i="33"/>
  <c r="B6463" i="33"/>
  <c r="A6464" i="33"/>
  <c r="B6464" i="33"/>
  <c r="A6465" i="33"/>
  <c r="B6465" i="33"/>
  <c r="A6466" i="33"/>
  <c r="B6466" i="33"/>
  <c r="A6467" i="33"/>
  <c r="B6467" i="33"/>
  <c r="A6468" i="33"/>
  <c r="B6468" i="33"/>
  <c r="A6469" i="33"/>
  <c r="B6469" i="33"/>
  <c r="A6470" i="33"/>
  <c r="B6470" i="33"/>
  <c r="A6471" i="33"/>
  <c r="B6471" i="33"/>
  <c r="A6472" i="33"/>
  <c r="B6472" i="33"/>
  <c r="A6473" i="33"/>
  <c r="B6473" i="33"/>
  <c r="A6474" i="33"/>
  <c r="B6474" i="33"/>
  <c r="A6475" i="33"/>
  <c r="B6475" i="33"/>
  <c r="A6476" i="33"/>
  <c r="B6476" i="33"/>
  <c r="A6477" i="33"/>
  <c r="B6477" i="33"/>
  <c r="A6478" i="33"/>
  <c r="B6478" i="33"/>
  <c r="A6479" i="33"/>
  <c r="B6479" i="33"/>
  <c r="A6480" i="33"/>
  <c r="B6480" i="33"/>
  <c r="A6481" i="33"/>
  <c r="B6481" i="33"/>
  <c r="A6482" i="33"/>
  <c r="B6482" i="33"/>
  <c r="A6483" i="33"/>
  <c r="B6483" i="33"/>
  <c r="A6484" i="33"/>
  <c r="B6484" i="33"/>
  <c r="A6485" i="33"/>
  <c r="B6485" i="33"/>
  <c r="A6486" i="33"/>
  <c r="B6486" i="33"/>
  <c r="A6487" i="33"/>
  <c r="B6487" i="33"/>
  <c r="A6488" i="33"/>
  <c r="B6488" i="33"/>
  <c r="A6489" i="33"/>
  <c r="B6489" i="33"/>
  <c r="A6490" i="33"/>
  <c r="B6490" i="33"/>
  <c r="A6491" i="33"/>
  <c r="A6492" i="33"/>
  <c r="A6493" i="33"/>
  <c r="B6493" i="33"/>
  <c r="A6494" i="33"/>
  <c r="B6494" i="33"/>
  <c r="A6495" i="33"/>
  <c r="B6495" i="33"/>
  <c r="A6496" i="33"/>
  <c r="B6496" i="33"/>
  <c r="A6497" i="33"/>
  <c r="B6497" i="33"/>
  <c r="A6498" i="33"/>
  <c r="B6498" i="33"/>
  <c r="A6499" i="33"/>
  <c r="B6499" i="33"/>
  <c r="A6500" i="33"/>
  <c r="B6500" i="33"/>
  <c r="A6501" i="33"/>
  <c r="B6501" i="33"/>
  <c r="A6502" i="33"/>
  <c r="B6502" i="33"/>
  <c r="A6503" i="33"/>
  <c r="B6503" i="33"/>
  <c r="A6504" i="33"/>
  <c r="B6504" i="33"/>
  <c r="A6505" i="33"/>
  <c r="B6505" i="33"/>
  <c r="A6506" i="33"/>
  <c r="B6506" i="33"/>
  <c r="A6507" i="33"/>
  <c r="B6507" i="33"/>
  <c r="A6508" i="33"/>
  <c r="B6508" i="33"/>
  <c r="A6509" i="33"/>
  <c r="B6509" i="33"/>
  <c r="A6510" i="33"/>
  <c r="B6510" i="33"/>
  <c r="A6511" i="33"/>
  <c r="B6511" i="33"/>
  <c r="A6512" i="33"/>
  <c r="B6512" i="33"/>
  <c r="A6513" i="33"/>
  <c r="A6514" i="33"/>
  <c r="B6514" i="33"/>
  <c r="A6515" i="33"/>
  <c r="B6515" i="33"/>
  <c r="A6516" i="33"/>
  <c r="B6516" i="33"/>
  <c r="A6517" i="33"/>
  <c r="B6517" i="33"/>
  <c r="A6518" i="33"/>
  <c r="B6518" i="33"/>
  <c r="A6519" i="33"/>
  <c r="B6519" i="33"/>
  <c r="A6520" i="33"/>
  <c r="B6520" i="33"/>
  <c r="A6521" i="33"/>
  <c r="B6521" i="33"/>
  <c r="A6522" i="33"/>
  <c r="B6522" i="33"/>
  <c r="A6523" i="33"/>
  <c r="B6523" i="33"/>
  <c r="A6524" i="33"/>
  <c r="B6524" i="33"/>
  <c r="A6525" i="33"/>
  <c r="B6525" i="33"/>
  <c r="A6526" i="33"/>
  <c r="B6526" i="33"/>
  <c r="A6527" i="33"/>
  <c r="B6527" i="33"/>
  <c r="A6528" i="33"/>
  <c r="B6528" i="33"/>
  <c r="A6529" i="33"/>
  <c r="B6529" i="33"/>
  <c r="A6530" i="33"/>
  <c r="B6530" i="33"/>
  <c r="A6531" i="33"/>
  <c r="B6531" i="33"/>
  <c r="A6532" i="33"/>
  <c r="B6532" i="33"/>
  <c r="A6533" i="33"/>
  <c r="B6533" i="33"/>
  <c r="A6534" i="33"/>
  <c r="B6534" i="33"/>
  <c r="A6535" i="33"/>
  <c r="B6535" i="33"/>
  <c r="A6536" i="33"/>
  <c r="B6536" i="33"/>
  <c r="A6537" i="33"/>
  <c r="B6537" i="33"/>
  <c r="A6538" i="33"/>
  <c r="B6538" i="33"/>
  <c r="A6539" i="33"/>
  <c r="B6539" i="33"/>
  <c r="A6540" i="33"/>
  <c r="B6540" i="33"/>
  <c r="A6541" i="33"/>
  <c r="B6541" i="33"/>
  <c r="A6542" i="33"/>
  <c r="B6542" i="33"/>
  <c r="A6543" i="33"/>
  <c r="B6543" i="33"/>
  <c r="A6544" i="33"/>
  <c r="B6544" i="33"/>
  <c r="A6545" i="33"/>
  <c r="B6545" i="33"/>
  <c r="A6546" i="33"/>
  <c r="B6546" i="33"/>
  <c r="A6547" i="33"/>
  <c r="B6547" i="33"/>
  <c r="A6548" i="33"/>
  <c r="B6548" i="33"/>
  <c r="A6549" i="33"/>
  <c r="B6549" i="33"/>
  <c r="A6550" i="33"/>
  <c r="B6550" i="33"/>
  <c r="A6551" i="33"/>
  <c r="B6551" i="33"/>
  <c r="A6552" i="33"/>
  <c r="B6552" i="33"/>
  <c r="A6553" i="33"/>
  <c r="B6553" i="33"/>
  <c r="A6554" i="33"/>
  <c r="B6554" i="33"/>
  <c r="A6555" i="33"/>
  <c r="B6555" i="33"/>
  <c r="A6556" i="33"/>
  <c r="B6556" i="33"/>
  <c r="A6557" i="33"/>
  <c r="B6557" i="33"/>
  <c r="A6558" i="33"/>
  <c r="B6558" i="33"/>
  <c r="A6559" i="33"/>
  <c r="B6559" i="33"/>
  <c r="A6560" i="33"/>
  <c r="B6560" i="33"/>
  <c r="A6561" i="33"/>
  <c r="B6561" i="33"/>
  <c r="A6562" i="33"/>
  <c r="B6562" i="33"/>
  <c r="A6563" i="33"/>
  <c r="B6563" i="33"/>
  <c r="A6564" i="33"/>
  <c r="B6564" i="33"/>
  <c r="A6565" i="33"/>
  <c r="B6565" i="33"/>
  <c r="A6566" i="33"/>
  <c r="B6566" i="33"/>
  <c r="A6567" i="33"/>
  <c r="B6567" i="33"/>
  <c r="A6568" i="33"/>
  <c r="B6568" i="33"/>
  <c r="A6569" i="33"/>
  <c r="B6569" i="33"/>
  <c r="A6570" i="33"/>
  <c r="B6570" i="33"/>
  <c r="A6571" i="33"/>
  <c r="B6571" i="33"/>
  <c r="A6572" i="33"/>
  <c r="B6572" i="33"/>
  <c r="A6573" i="33"/>
  <c r="B6573" i="33"/>
  <c r="A6574" i="33"/>
  <c r="B6574" i="33"/>
  <c r="A6575" i="33"/>
  <c r="B6575" i="33"/>
  <c r="A6576" i="33"/>
  <c r="B6576" i="33"/>
  <c r="A6577" i="33"/>
  <c r="B6577" i="33"/>
  <c r="A6578" i="33"/>
  <c r="A6579" i="33"/>
  <c r="B6579" i="33"/>
  <c r="A6580" i="33"/>
  <c r="B6580" i="33"/>
  <c r="A6581" i="33"/>
  <c r="B6581" i="33"/>
  <c r="A6582" i="33"/>
  <c r="B6582" i="33"/>
  <c r="A6583" i="33"/>
  <c r="B6583" i="33"/>
  <c r="A6584" i="33"/>
  <c r="B6584" i="33"/>
  <c r="A6585" i="33"/>
  <c r="B6585" i="33"/>
  <c r="A6586" i="33"/>
  <c r="B6586" i="33"/>
  <c r="A6587" i="33"/>
  <c r="B6587" i="33"/>
  <c r="A6588" i="33"/>
  <c r="B6588" i="33"/>
  <c r="A6589" i="33"/>
  <c r="B6589" i="33"/>
  <c r="A6590" i="33"/>
  <c r="B6590" i="33"/>
  <c r="A6591" i="33"/>
  <c r="B6591" i="33"/>
  <c r="A6592" i="33"/>
  <c r="B6592" i="33"/>
  <c r="A6593" i="33"/>
  <c r="B6593" i="33"/>
  <c r="A6594" i="33"/>
  <c r="B6594" i="33"/>
  <c r="A6595" i="33"/>
  <c r="B6595" i="33"/>
  <c r="A6596" i="33"/>
  <c r="B6596" i="33"/>
  <c r="A6597" i="33"/>
  <c r="B6597" i="33"/>
  <c r="A6598" i="33"/>
  <c r="B6598" i="33"/>
  <c r="A6599" i="33"/>
  <c r="B6599" i="33"/>
  <c r="A6600" i="33"/>
  <c r="B6600" i="33"/>
  <c r="A6601" i="33"/>
  <c r="B6601" i="33"/>
  <c r="A6602" i="33"/>
  <c r="B6602" i="33"/>
  <c r="A6603" i="33"/>
  <c r="B6603" i="33"/>
  <c r="A6604" i="33"/>
  <c r="B6604" i="33"/>
  <c r="A6605" i="33"/>
  <c r="B6605" i="33"/>
  <c r="A6606" i="33"/>
  <c r="B6606" i="33"/>
  <c r="A6607" i="33"/>
  <c r="B6607" i="33"/>
  <c r="A6608" i="33"/>
  <c r="B6608" i="33"/>
  <c r="A6609" i="33"/>
  <c r="B6609" i="33"/>
  <c r="A6610" i="33"/>
  <c r="B6610" i="33"/>
  <c r="A6611" i="33"/>
  <c r="B6611" i="33"/>
  <c r="A6612" i="33"/>
  <c r="B6612" i="33"/>
  <c r="A6613" i="33"/>
  <c r="B6613" i="33"/>
  <c r="A6614" i="33"/>
  <c r="B6614" i="33"/>
  <c r="A6615" i="33"/>
  <c r="B6615" i="33"/>
  <c r="A6616" i="33"/>
  <c r="B6616" i="33"/>
  <c r="A6617" i="33"/>
  <c r="B6617" i="33"/>
  <c r="A6618" i="33"/>
  <c r="B6618" i="33"/>
  <c r="A6619" i="33"/>
  <c r="B6619" i="33"/>
  <c r="A6620" i="33"/>
  <c r="B6620" i="33"/>
  <c r="A6621" i="33"/>
  <c r="B6621" i="33"/>
  <c r="A6622" i="33"/>
  <c r="B6622" i="33"/>
  <c r="A6623" i="33"/>
  <c r="B6623" i="33"/>
  <c r="A6624" i="33"/>
  <c r="B6624" i="33"/>
  <c r="A6625" i="33"/>
  <c r="B6625" i="33"/>
  <c r="A6626" i="33"/>
  <c r="B6626" i="33"/>
  <c r="A6627" i="33"/>
  <c r="B6627" i="33"/>
  <c r="A6628" i="33"/>
  <c r="B6628" i="33"/>
  <c r="A6629" i="33"/>
  <c r="B6629" i="33"/>
  <c r="A6630" i="33"/>
  <c r="B6630" i="33"/>
  <c r="A6631" i="33"/>
  <c r="B6631" i="33"/>
  <c r="A6632" i="33"/>
  <c r="B6632" i="33"/>
  <c r="A6633" i="33"/>
  <c r="B6633" i="33"/>
  <c r="A6634" i="33"/>
  <c r="B6634" i="33"/>
  <c r="A6635" i="33"/>
  <c r="B6635" i="33"/>
  <c r="A6636" i="33"/>
  <c r="B6636" i="33"/>
  <c r="A6637" i="33"/>
  <c r="B6637" i="33"/>
  <c r="A6638" i="33"/>
  <c r="B6638" i="33"/>
  <c r="A6639" i="33"/>
  <c r="B6639" i="33"/>
  <c r="A6640" i="33"/>
  <c r="B6640" i="33"/>
  <c r="A6641" i="33"/>
  <c r="B6641" i="33"/>
  <c r="A6642" i="33"/>
  <c r="B6642" i="33"/>
  <c r="A6643" i="33"/>
  <c r="B6643" i="33"/>
  <c r="A6644" i="33"/>
  <c r="B6644" i="33"/>
  <c r="A6645" i="33"/>
  <c r="B6645" i="33"/>
  <c r="A6646" i="33"/>
  <c r="B6646" i="33"/>
  <c r="A6647" i="33"/>
  <c r="B6647" i="33"/>
  <c r="A6648" i="33"/>
  <c r="B6648" i="33"/>
  <c r="A6649" i="33"/>
  <c r="B6649" i="33"/>
  <c r="A6650" i="33"/>
  <c r="B6650" i="33"/>
  <c r="A6651" i="33"/>
  <c r="B6651" i="33"/>
  <c r="A6652" i="33"/>
  <c r="B6652" i="33"/>
  <c r="A6653" i="33"/>
  <c r="B6653" i="33"/>
  <c r="A6654" i="33"/>
  <c r="B6654" i="33"/>
  <c r="A6655" i="33"/>
  <c r="B6655" i="33"/>
  <c r="A6656" i="33"/>
  <c r="B6656" i="33"/>
  <c r="A6657" i="33"/>
  <c r="B6657" i="33"/>
  <c r="A6658" i="33"/>
  <c r="B6658" i="33"/>
  <c r="A6659" i="33"/>
  <c r="B6659" i="33"/>
  <c r="A6660" i="33"/>
  <c r="B6660" i="33"/>
  <c r="A6661" i="33"/>
  <c r="B6661" i="33"/>
  <c r="A6662" i="33"/>
  <c r="B6662" i="33"/>
  <c r="A6663" i="33"/>
  <c r="B6663" i="33"/>
  <c r="A6664" i="33"/>
  <c r="B6664" i="33"/>
  <c r="A6665" i="33"/>
  <c r="B6665" i="33"/>
  <c r="A6666" i="33"/>
  <c r="B6666" i="33"/>
  <c r="A6667" i="33"/>
  <c r="B6667" i="33"/>
  <c r="A6668" i="33"/>
  <c r="B6668" i="33"/>
  <c r="A6669" i="33"/>
  <c r="B6669" i="33"/>
  <c r="A6670" i="33"/>
  <c r="B6670" i="33"/>
  <c r="A6671" i="33"/>
  <c r="B6671" i="33"/>
  <c r="A6672" i="33"/>
  <c r="B6672" i="33"/>
  <c r="A6673" i="33"/>
  <c r="B6673" i="33"/>
  <c r="A6674" i="33"/>
  <c r="B6674" i="33"/>
  <c r="A6675" i="33"/>
  <c r="B6675" i="33"/>
  <c r="A6676" i="33"/>
  <c r="B6676" i="33"/>
  <c r="A6677" i="33"/>
  <c r="B6677" i="33"/>
  <c r="A6678" i="33"/>
  <c r="B6678" i="33"/>
  <c r="A6679" i="33"/>
  <c r="B6679" i="33"/>
  <c r="A6680" i="33"/>
  <c r="B6680" i="33"/>
  <c r="A6681" i="33"/>
  <c r="B6681" i="33"/>
  <c r="A6682" i="33"/>
  <c r="B6682" i="33"/>
  <c r="A6683" i="33"/>
  <c r="B6683" i="33"/>
  <c r="A6684" i="33"/>
  <c r="B6684"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tc={B3596119-CCFC-4C21-9B0E-53301D6CBF9D}</author>
  </authors>
  <commentList>
    <comment ref="I418" authorId="0" shapeId="0" xr:uid="{B3596119-CCFC-4C21-9B0E-53301D6CBF9D}">
      <text>
        <t>[Threaded comment]
Your version of Excel allows you to read this threaded comment; however, any edits to it will get removed if the file is opened in a newer version of Excel. Learn more: https://go.microsoft.com/fwlink/?linkid=870924
Comment:
    5c, da cambiare qui e su etichetta</t>
      </text>
    </comment>
  </commentList>
</comments>
</file>

<file path=xl/sharedStrings.xml><?xml version="1.0" encoding="utf-8"?>
<sst xmlns="http://schemas.openxmlformats.org/spreadsheetml/2006/main" count="26246" uniqueCount="4475">
  <si>
    <t>Area</t>
  </si>
  <si>
    <t>ID_Seamount</t>
  </si>
  <si>
    <t>Data</t>
  </si>
  <si>
    <t>ID_Transect</t>
  </si>
  <si>
    <t>Latitude start transetto</t>
  </si>
  <si>
    <t>Longitude start transetto</t>
  </si>
  <si>
    <t>Latitude end transetto</t>
  </si>
  <si>
    <t>Longitude end transetto</t>
  </si>
  <si>
    <t>Ora inizio transetto (UTC)</t>
  </si>
  <si>
    <t>Ora fine transetto UTC</t>
  </si>
  <si>
    <t>Durata</t>
  </si>
  <si>
    <t>Lunghezza (m)</t>
  </si>
  <si>
    <t>Depth range (m)</t>
  </si>
  <si>
    <t>Habitat</t>
  </si>
  <si>
    <t>Note</t>
  </si>
  <si>
    <t>Operatori</t>
  </si>
  <si>
    <t>Canale di Sicilia</t>
  </si>
  <si>
    <t>008_ANGELINA_SEAMOUNT</t>
  </si>
  <si>
    <t>calibrazione</t>
  </si>
  <si>
    <t>calibrazione sotto costa vicino pantelleria</t>
  </si>
  <si>
    <t>08_T05</t>
  </si>
  <si>
    <t>530-750</t>
  </si>
  <si>
    <t>fango con roccia lavica sparsa e infangata; callogorgia e coral rubble</t>
  </si>
  <si>
    <t>trasferimento subacqueo</t>
  </si>
  <si>
    <t>Michela A, Michela M, Andrea R</t>
  </si>
  <si>
    <t>08_T14</t>
  </si>
  <si>
    <t>420-550</t>
  </si>
  <si>
    <t>Coral mound con reef a coralli bianchi per tutto il transetto, presenza sporadica P.larix</t>
  </si>
  <si>
    <t>trasferimento on board</t>
  </si>
  <si>
    <t>Rita, Martina, Davide</t>
  </si>
  <si>
    <t>08_T04</t>
  </si>
  <si>
    <t>Fermi a circa 20 m dal fondo per 60 min, poi ROV fermo sul  fondo/ stnaby tecnico?</t>
  </si>
  <si>
    <t>452-560</t>
  </si>
  <si>
    <t xml:space="preserve">Coral mound con reef a coralli bianchi per tutto il transetto, presenza sporadica P.larix, tratti fangosi con Isidella </t>
  </si>
  <si>
    <t>08_T15</t>
  </si>
  <si>
    <t>316-464</t>
  </si>
  <si>
    <t xml:space="preserve">Coral mound con reef a coralli bianchi meno denso ed esteso dei precedenti, presenza di corallo rosso a 500 metri e piccola foresta di Leiopathes Glaberrima </t>
  </si>
  <si>
    <t>08_T01</t>
  </si>
  <si>
    <t>Spostamento subacqueo e ROV fermo dalle 04.10 circa</t>
  </si>
  <si>
    <t>ROV fermo per 24h per problema elettrico</t>
  </si>
  <si>
    <t>08_T13</t>
  </si>
  <si>
    <t>420-490</t>
  </si>
  <si>
    <t>fango con rari affioramenti di roccia lava, molti C. agassizi</t>
  </si>
  <si>
    <t>ROV fermo sul fondo per circa 25 min prima dell'inizio del transetto - Video camera principale registrato su ManipCam</t>
  </si>
  <si>
    <t>08_T06</t>
  </si>
  <si>
    <t>586-711</t>
  </si>
  <si>
    <t xml:space="preserve">Fango con affioramenti di roccia lavica, qualche isidella </t>
  </si>
  <si>
    <t>Trasferimento subacqueo verso 08_T1  - Video camera principale registrato su ManipCam</t>
  </si>
  <si>
    <t>533-622</t>
  </si>
  <si>
    <t xml:space="preserve">Fango con qualche affioramento, isidella sul top, preso un campione </t>
  </si>
  <si>
    <t>Trasferimento subacqueo verso 08_T7</t>
  </si>
  <si>
    <t>08_T07</t>
  </si>
  <si>
    <t>636-766</t>
  </si>
  <si>
    <t xml:space="preserve">Fango con roccia lavica sparsa e infangata; callogorgia e coral rubble; piccole e poche Lophelia; Muriceides su parete </t>
  </si>
  <si>
    <t>Trasferimento subacqueo verso 08_T3</t>
  </si>
  <si>
    <t>08_T03</t>
  </si>
  <si>
    <t>666-745</t>
  </si>
  <si>
    <t>Parete con callogorgia, mound corallo morto e coralli bianchi, lenze sparse</t>
  </si>
  <si>
    <t>Trasferimento subacqueo verso 08_T2</t>
  </si>
  <si>
    <t>08_T02</t>
  </si>
  <si>
    <t>445-605</t>
  </si>
  <si>
    <t>parete di roccia lavica con Callogorgia sparsa e rocce infangata con Bebrice campionata, lenze sparse</t>
  </si>
  <si>
    <t>Trasferimento on board verso 8_T12</t>
  </si>
  <si>
    <t>08_T12</t>
  </si>
  <si>
    <t>913-1056</t>
  </si>
  <si>
    <t>Trasferimento subacqueo verso T11</t>
  </si>
  <si>
    <t>008_T11</t>
  </si>
  <si>
    <t>Presenza di numerosi attrezzi da pesca, abortiamo il T11 (00:40), durante il recupero del ROV, alcune lenze si sono incagliate sul tether (02:10). Trasferimento on board verso il T10</t>
  </si>
  <si>
    <t>08_T10</t>
  </si>
  <si>
    <t>981-1079</t>
  </si>
  <si>
    <t>fango con roccia lavica spoglia, I. elongata su fango nella seconda metà di transetto</t>
  </si>
  <si>
    <t>Trasferimento subacqueo verso T8</t>
  </si>
  <si>
    <t>08_T08</t>
  </si>
  <si>
    <t>779-1002</t>
  </si>
  <si>
    <t>Fango con qualche Kopfhblennon, parete verticale e di nuovo fango</t>
  </si>
  <si>
    <t>T9 abortito, trasferimento per lasescanner al T14</t>
  </si>
  <si>
    <t>test laser scan e multibeam; trasferimento verso Pantelleria SW</t>
  </si>
  <si>
    <t>054_PANTELLERIA_SW_SEAMOUNT</t>
  </si>
  <si>
    <t>54_T13</t>
  </si>
  <si>
    <t>267-333</t>
  </si>
  <si>
    <t xml:space="preserve">pareti con praterie di acantogorgia dense, banchi di coralli bianchi isolati e presenza di coralli neri sporadici </t>
  </si>
  <si>
    <t>54_T09</t>
  </si>
  <si>
    <t>67-134</t>
  </si>
  <si>
    <t>sponge ground su detritico e su roccia, molti attrezzi da pesca</t>
  </si>
  <si>
    <t>54_T08</t>
  </si>
  <si>
    <t>204-284</t>
  </si>
  <si>
    <t xml:space="preserve">Fango con depressioni con accumulo di rifiuti e cambio granulometria del sedimento, presenza di flares (campionamento acqua ), presenza di funiculina sporadica </t>
  </si>
  <si>
    <t>Campionamento acqua Niskin (bottiglia vuota)</t>
  </si>
  <si>
    <t>54_T04</t>
  </si>
  <si>
    <t>98-118</t>
  </si>
  <si>
    <t>Roccia con coralligeno e praterie di Eunicella e Paramuricea, elevata presenza di litter (DFGs)</t>
  </si>
  <si>
    <t>54_T05</t>
  </si>
  <si>
    <t>135-323</t>
  </si>
  <si>
    <t>Inizio sabbia fine/fango con ceriantidi sparsi, poi poche B. mollis sparse e a salire foreste di gorgonie e coralli molli su roccia (C. verticillata, Villogorgia/Muriceides, Eunicella, B. mollis, V. flagellum, Chironephthya)</t>
  </si>
  <si>
    <t>Trasferimento in LARS verso il 54_T06</t>
  </si>
  <si>
    <t>54_T06</t>
  </si>
  <si>
    <t>287-297</t>
  </si>
  <si>
    <t xml:space="preserve">Inizio Acanthogorgiidae e coralli bianchi su roccia, fango sparso, molte cime/lenze; a salire foreste vaste e dense di L. glaberrima con coralli bianchi; fine transetto con Acanthogorgiidae e coralli neri e bianchi su roccia sparsa </t>
  </si>
  <si>
    <t>Trasferimento in LARS verso il 54_T01</t>
  </si>
  <si>
    <t>54_T02</t>
  </si>
  <si>
    <t>306-359</t>
  </si>
  <si>
    <t>Provincia a CWC, presenza di P. larix e L. glaberrima</t>
  </si>
  <si>
    <t>ROV incaglaito in lenze, problema risolto in 30 min. Trasferimento on board verso 54_T01</t>
  </si>
  <si>
    <t>54_T01</t>
  </si>
  <si>
    <t>330-340</t>
  </si>
  <si>
    <t>Gorgonie su coral mound</t>
  </si>
  <si>
    <t>Trasferimento in LARS verso il 54_T14</t>
  </si>
  <si>
    <t>54_T14</t>
  </si>
  <si>
    <t>337-422</t>
  </si>
  <si>
    <t>Mound con gorgonie gialle, coralli bianchi e coralli neri</t>
  </si>
  <si>
    <t>54_T11</t>
  </si>
  <si>
    <t>419-438</t>
  </si>
  <si>
    <t xml:space="preserve">Fango alternato a mounds con pochi coralli bianchi sparsi </t>
  </si>
  <si>
    <t>Per un minuto circa non sono stati registrati I dati nel file coordinate. Trasferimento in LARS verso il 54_T12</t>
  </si>
  <si>
    <t>54_T12</t>
  </si>
  <si>
    <t>342-362</t>
  </si>
  <si>
    <t>Fango alternato a mounds con piccola foresta di Acanthogorgiidae</t>
  </si>
  <si>
    <t>Trasferimento in LARS verso il 54_T10</t>
  </si>
  <si>
    <t>54_T10</t>
  </si>
  <si>
    <t>196-245</t>
  </si>
  <si>
    <t>Inizio fango, poi cresca rocciosa con alta biodiversità, foresta di L. glaberrima e presenza di L. glaberrima, P. larix, C. verticillata, C. mediterranea, Acanthogorgiidae. Numerose lenze</t>
  </si>
  <si>
    <t xml:space="preserve">Trasferimento in LARS verso il T08 per </t>
  </si>
  <si>
    <t>54_T08_bis</t>
  </si>
  <si>
    <t>Campionamento acqua Niskin</t>
  </si>
  <si>
    <t>039_LINOSA_I_SEAMOUNT</t>
  </si>
  <si>
    <t>39_T04</t>
  </si>
  <si>
    <t>620-655</t>
  </si>
  <si>
    <t>Fango con Isidella e segni molto visibili di strascico (preso campione di sedimento)</t>
  </si>
  <si>
    <t>Trasferimento subacqueo verso 39_T05</t>
  </si>
  <si>
    <t>39_T05</t>
  </si>
  <si>
    <t>590-618</t>
  </si>
  <si>
    <t xml:space="preserve">Fango con segni di strascio molto evidenti lungo tutto il transetto, presenza sporadica di Isidella </t>
  </si>
  <si>
    <t>39_T02</t>
  </si>
  <si>
    <t>661-818</t>
  </si>
  <si>
    <t>Fango con Isidella e qualche segno visibile di strascico</t>
  </si>
  <si>
    <t>Risalita per lenze impigliate nel TMS: dalle ore 6:56 alle h 09:26 problemi con lenze; ridiscesa più avanti alle h 09:26</t>
  </si>
  <si>
    <t>39_T03</t>
  </si>
  <si>
    <t>632-662</t>
  </si>
  <si>
    <t>Transetto contiguo al 39_T02. Trasferimento in LARS verso il 39_T06</t>
  </si>
  <si>
    <t>39_T06</t>
  </si>
  <si>
    <t>713-841</t>
  </si>
  <si>
    <t>Fango con Isidella (campionata). Campionato sedimento vicino ad Isidella</t>
  </si>
  <si>
    <t>Trasferimento in LARS verso il 39_T01</t>
  </si>
  <si>
    <t>39_T01</t>
  </si>
  <si>
    <t>779-881</t>
  </si>
  <si>
    <t>Fango con colonie sparse di Isidella. MDAC. Zone rocciose con C. rubrum (campionato)</t>
  </si>
  <si>
    <t>Trasferimento on board verso il 40_T01</t>
  </si>
  <si>
    <t>040_LINOSA_II_VOLCANO</t>
  </si>
  <si>
    <t>40_T01</t>
  </si>
  <si>
    <t>471-566</t>
  </si>
  <si>
    <t>Fango con Isidella elongata e roccia con pochi coralli bianchi e neri</t>
  </si>
  <si>
    <t>Trasferimento subacqueo verso 40_T02</t>
  </si>
  <si>
    <t>40_T02</t>
  </si>
  <si>
    <t>388-520</t>
  </si>
  <si>
    <t xml:space="preserve">Fango e aree con rocce infangate e presenza di Callogorgia </t>
  </si>
  <si>
    <t>Trasferimento subacqueo verso 40_T03</t>
  </si>
  <si>
    <t>40_T03</t>
  </si>
  <si>
    <t>361-457</t>
  </si>
  <si>
    <t xml:space="preserve">Fango; rocce con D. bonsai e S. pallida; pareti rocciose a gradoni con L. glaberrima sparse, C. verticillata molto impattate e numerose lenze. Campioni biologici. </t>
  </si>
  <si>
    <t>Trasferimento subacqueo verso 40_T04</t>
  </si>
  <si>
    <t>40_T04</t>
  </si>
  <si>
    <t>574-440</t>
  </si>
  <si>
    <t>Fango; pareti verticali con qualche corallo sparso (C. verticillata e C. rubrum)</t>
  </si>
  <si>
    <t>Registrato anche il trasferimento prima di arrivare al transetto, più alti dal fondo. Trasferimento subacqueo verso il 40_T05</t>
  </si>
  <si>
    <t>40_T05</t>
  </si>
  <si>
    <t>373-458</t>
  </si>
  <si>
    <t xml:space="preserve">Roccia infangata con densa prateria di Callogorgia sul margine </t>
  </si>
  <si>
    <t>Trasferimento in LARS verso 40_T15</t>
  </si>
  <si>
    <t>40_T15</t>
  </si>
  <si>
    <t>410-480</t>
  </si>
  <si>
    <t>Fango con presenza di rocce sparse con presenza di spugne e di D. bonsai</t>
  </si>
  <si>
    <t>Trasferimento subacqueo verso 40_T07</t>
  </si>
  <si>
    <t>40_T07</t>
  </si>
  <si>
    <t>344-465</t>
  </si>
  <si>
    <t xml:space="preserve">Fango per la prevalenza del transetto, a fine transetto presenza di scarpata con Callorgogia </t>
  </si>
  <si>
    <t>Trasferimento subacqueo verso 40_T06</t>
  </si>
  <si>
    <t>40_T06</t>
  </si>
  <si>
    <t>Si è rotto il cesto del push-corer, risalgono sul deck per non perderlo</t>
  </si>
  <si>
    <t>314-448</t>
  </si>
  <si>
    <t>Fango; rocce con D. bonsai e S. pallida; C. verticillata sparse e molto impattate e lenze.</t>
  </si>
  <si>
    <t>Dalle h 06:48 alle h 07:27:47 problemi con lenze: ROV risalito al TMS e ridisceso 100 m più avanti. Trasferimento in LARS verso il T14.</t>
  </si>
  <si>
    <t>40_T14</t>
  </si>
  <si>
    <t>Pareti rocciose</t>
  </si>
  <si>
    <t xml:space="preserve">Numerose boe da pesca, probabile presenza di numerose reti e lenze. Transetto abortito. </t>
  </si>
  <si>
    <t>40_T16</t>
  </si>
  <si>
    <t>391-455</t>
  </si>
  <si>
    <t>Fango con esemplari di I. elongata e tracce di strascico; rocce con numerose C. verticillata danneggiate ed epibiontate. Numerose lenze.</t>
  </si>
  <si>
    <t>Trasferimento  in LARS verso il 40_T13</t>
  </si>
  <si>
    <t>40_T13</t>
  </si>
  <si>
    <t>389-530</t>
  </si>
  <si>
    <t xml:space="preserve">Fango con alcuni Galeus melastomus, rocce con D. bonsai e S. pallida; roccia infangata con I. elongata e alcune C. verticillata sparse </t>
  </si>
  <si>
    <t>Trasferimento on deck verso il 40_T08</t>
  </si>
  <si>
    <t>40_T08</t>
  </si>
  <si>
    <t>585-625</t>
  </si>
  <si>
    <t>Fango con evidenti segni di strascico</t>
  </si>
  <si>
    <t>Trasferimento on deck verso il 40_T12</t>
  </si>
  <si>
    <t>40_T12</t>
  </si>
  <si>
    <t>580-735</t>
  </si>
  <si>
    <t xml:space="preserve">Fango con qualche Isidella e parete di roccia molto sedimentata senza alcun organismo </t>
  </si>
  <si>
    <t>Trasferimento subacqueo verso 40_T18</t>
  </si>
  <si>
    <t>40_T18</t>
  </si>
  <si>
    <t>613-740</t>
  </si>
  <si>
    <t>Fango con qualche Isidella e parete di roccia molto sedimentata con qualche colonia di C. rubrum</t>
  </si>
  <si>
    <t>Trasferimento on deck verso il 40_T20</t>
  </si>
  <si>
    <t>40_T20</t>
  </si>
  <si>
    <t>Problema con braccio manipolatore. Risalita e trasferimento  in LARS verso il 40_T19</t>
  </si>
  <si>
    <t>40_T19</t>
  </si>
  <si>
    <t>672-721</t>
  </si>
  <si>
    <t>Fango con I. elongata sparsa lungo il transetto, lollipop sponges</t>
  </si>
  <si>
    <t>Trasferimento on deck verso il 40_T09</t>
  </si>
  <si>
    <t>006_ALFIL_BANK_LINOSA_III</t>
  </si>
  <si>
    <t>40_MBES_scout_01</t>
  </si>
  <si>
    <t>Prova multibeam su Linosa III (codice 06 ma su video appare 40), sito a corallo rosso (06_T24)</t>
  </si>
  <si>
    <t>Tirreno meridionale</t>
  </si>
  <si>
    <t>022_DREPANO_SEAMOUNT</t>
  </si>
  <si>
    <t>22_T05</t>
  </si>
  <si>
    <t>773-942</t>
  </si>
  <si>
    <t>Fango con I. elongata sparsa lungo il transetto, rocce infangate affioranti e sparse. Parantipathes sp. Verso fine transetto elevata pendenza.</t>
  </si>
  <si>
    <t>trasferimento on deck verso il 22_T06</t>
  </si>
  <si>
    <t>Tommaso D. Nicola P., Livia T.</t>
  </si>
  <si>
    <t>22_T06</t>
  </si>
  <si>
    <t>786-965</t>
  </si>
  <si>
    <t>Fango con I. elongata sparsa lungo il transetto</t>
  </si>
  <si>
    <t>Risalita per lenze impigliate nel TMS: dalle ore 09:40 alle h 10:08 problemi con lenze; ROV sul DECK alle 10:15 local time</t>
  </si>
  <si>
    <t>Andrea M., Carlotta D. Mauro V.</t>
  </si>
  <si>
    <t>22_T20</t>
  </si>
  <si>
    <t>606-805</t>
  </si>
  <si>
    <t>Fango con I. elongata sparsa per meta transetto, resto del transetto con abbondanti segni di strascico.</t>
  </si>
  <si>
    <t>Allungato il transetto nella parte finale, per incrociare zona ad alto backscatter, ma esito negativo</t>
  </si>
  <si>
    <t>22_T17</t>
  </si>
  <si>
    <t>499-710</t>
  </si>
  <si>
    <t>Fango con I.elongata, a met' affioramenti rocciosi con dendrophillia cornigera, e tanatocenosi d.c.</t>
  </si>
  <si>
    <t>Campionata roccia con alcionaceo.</t>
  </si>
  <si>
    <t>22_T15</t>
  </si>
  <si>
    <t>568-637</t>
  </si>
  <si>
    <t>Fango con rocce esposte, campi a V. flagellum, tanatocenosi  Dendrophyllia cornigera con colonie vive, colonie sparse di coralli neri</t>
  </si>
  <si>
    <t>Campionati coralli neri</t>
  </si>
  <si>
    <t>22_T03</t>
  </si>
  <si>
    <t>746-764</t>
  </si>
  <si>
    <t>Bamboo corals su fango</t>
  </si>
  <si>
    <t>Trasferimento on deck verso 22_T03</t>
  </si>
  <si>
    <t>22_T02</t>
  </si>
  <si>
    <t>704-920</t>
  </si>
  <si>
    <t>Fango con pochi bamboo corals e segni di strascico</t>
  </si>
  <si>
    <t>Trasferimento on deck verso 22_T02</t>
  </si>
  <si>
    <t>22_T13</t>
  </si>
  <si>
    <t>625-651</t>
  </si>
  <si>
    <t>Fondo fangoso completamente strascicato, nessun segno di flare</t>
  </si>
  <si>
    <t>Campionata acqua Niskin. Trasferimento subacqueo verso 22_T13</t>
  </si>
  <si>
    <t>22_T14</t>
  </si>
  <si>
    <t>645-805</t>
  </si>
  <si>
    <r>
      <rPr>
        <b/>
        <sz val="11"/>
        <color rgb="FF000000"/>
        <rFont val="Calibri"/>
      </rPr>
      <t xml:space="preserve">abortito </t>
    </r>
    <r>
      <rPr>
        <sz val="11"/>
        <color rgb="FF000000"/>
        <rFont val="Calibri"/>
      </rPr>
      <t>- Interrotto a 80 mp per trasferimento operatori video a Trapani</t>
    </r>
  </si>
  <si>
    <t>029_FOERSTNER_VOLCANO</t>
  </si>
  <si>
    <t>29_T03</t>
  </si>
  <si>
    <t>468-533</t>
  </si>
  <si>
    <t>Habitat a tanatocenosi di M. oculata e D. pertusum con foresta di C. verticillata</t>
  </si>
  <si>
    <t>29_T10</t>
  </si>
  <si>
    <t>312-403</t>
  </si>
  <si>
    <t>Roccia esposta e un po` infangata con Acanthogorgiidae sparse</t>
  </si>
  <si>
    <t>29_T09</t>
  </si>
  <si>
    <t>210-330</t>
  </si>
  <si>
    <t>Prima parte roccia infangata poco ricca, seconda parte foresta di Acanthogorgiidae</t>
  </si>
  <si>
    <t>29_T11</t>
  </si>
  <si>
    <t>162-324</t>
  </si>
  <si>
    <t>Roccia infangata ed esposta con foreste di L. glaberrima e foresta densissima di  Acanthogorgiidae, Foresta di A. subpinnata su due pinnacoli {sulla quale [ stata fatta fotogrammetria}</t>
  </si>
  <si>
    <t>29_T12</t>
  </si>
  <si>
    <t>105-270</t>
  </si>
  <si>
    <t>Litter hotspot all'inizio, roccia con CCA e rodoliti e alghe brune</t>
  </si>
  <si>
    <t>29_T08</t>
  </si>
  <si>
    <t>261-310</t>
  </si>
  <si>
    <t>Roccia lavica, fondo a litistidi, reef a balani giganti e M. oculata</t>
  </si>
  <si>
    <t>29_T04</t>
  </si>
  <si>
    <t>160-357</t>
  </si>
  <si>
    <t>Fondo a litistidi, parete con foresta di Acanthogorgiidae</t>
  </si>
  <si>
    <t>29_T05</t>
  </si>
  <si>
    <t>250-293</t>
  </si>
  <si>
    <t>Foresta di L. glaberrima, fatta fotogrammetria su colonia grande</t>
  </si>
  <si>
    <t>29_T06</t>
  </si>
  <si>
    <t>450-575</t>
  </si>
  <si>
    <t>Fango alternato ad affioramenti rocciosi e, alla fine roccia con abbondante tanatocenosi a corallo. 1 parantipathes e 1 virgularia, poche madrepore vive</t>
  </si>
  <si>
    <t>29_T07</t>
  </si>
  <si>
    <t>186-356</t>
  </si>
  <si>
    <t>Fondo detritico con rocce, e sedimento vulcanico</t>
  </si>
  <si>
    <t>29_T13</t>
  </si>
  <si>
    <t>150-430</t>
  </si>
  <si>
    <t>Fondale princpialmente roccioso. Interessante nella seconda parte con Leiopathes e verso la fine con fondale roccioso dominato da alcionacei e acantogorgidae</t>
  </si>
  <si>
    <t>29_T14</t>
  </si>
  <si>
    <t>309-345</t>
  </si>
  <si>
    <t>Roccia esposta con tanatocenosi, reef a coralli bianchi a patch</t>
  </si>
  <si>
    <t>29_T01</t>
  </si>
  <si>
    <t>649-703</t>
  </si>
  <si>
    <t>Parete di roccia esposta con Callogorgia e coralli bianchi sparsi</t>
  </si>
  <si>
    <t>29_T02</t>
  </si>
  <si>
    <t>670-701</t>
  </si>
  <si>
    <t>Fondale fangoso con roccia infangata. Qualche isidella e callogorgia</t>
  </si>
  <si>
    <t>053_PANTELLERIA_E_SEAMOUNT</t>
  </si>
  <si>
    <t>53_T01</t>
  </si>
  <si>
    <t>899-1012</t>
  </si>
  <si>
    <t>Fango con rari bamboo corals</t>
  </si>
  <si>
    <t>53_T05</t>
  </si>
  <si>
    <t>730-783</t>
  </si>
  <si>
    <t>interrotto transetto a 350 m. fondale fangoso senza elementi di interesse</t>
  </si>
  <si>
    <t>53_T03</t>
  </si>
  <si>
    <t>787-871</t>
  </si>
  <si>
    <t>53_T02</t>
  </si>
  <si>
    <t>858-1270</t>
  </si>
  <si>
    <t>Fango batiale con segni di strascico, poche rocce iniziali e rari Isididi</t>
  </si>
  <si>
    <t>068_SKERKI_SILVIA_BANK</t>
  </si>
  <si>
    <t>68_T01</t>
  </si>
  <si>
    <t>282-305</t>
  </si>
  <si>
    <t>Sponge gound su roccia con gorgonie alternato a fango</t>
  </si>
  <si>
    <t>68_T02</t>
  </si>
  <si>
    <t>434-446</t>
  </si>
  <si>
    <t xml:space="preserve">Fango con pennatulacei e echinodermi </t>
  </si>
  <si>
    <t>campionata F. quadrangularis</t>
  </si>
  <si>
    <t>68_T03</t>
  </si>
  <si>
    <t>261-303</t>
  </si>
  <si>
    <t xml:space="preserve">fango e roccia esposta e infangata con gorgonie </t>
  </si>
  <si>
    <t>campionato Acanthogorgidae</t>
  </si>
  <si>
    <t>68_T04</t>
  </si>
  <si>
    <t>387-412</t>
  </si>
  <si>
    <t xml:space="preserve">fango con pennatulacei e echinodermi </t>
  </si>
  <si>
    <t>68_T05</t>
  </si>
  <si>
    <t>416-430</t>
  </si>
  <si>
    <t>fango con affioramenti rocciosi a metà transetto con Acanthogorgiidaee spugne</t>
  </si>
  <si>
    <t>68_T06</t>
  </si>
  <si>
    <t>428-430</t>
  </si>
  <si>
    <t>fango, fatto push corer</t>
  </si>
  <si>
    <t>68_T07</t>
  </si>
  <si>
    <t>-</t>
  </si>
  <si>
    <t>trasferimento in acqua a 2 metri dal fondale</t>
  </si>
  <si>
    <t>68_T07 new</t>
  </si>
  <si>
    <t>140-235</t>
  </si>
  <si>
    <t>prima parte su fango, a seguire affioramenti rocciosi piatti con callogorgia, acanthogorgiidae e spugne (P.compressa, P. monolifera)</t>
  </si>
  <si>
    <t>Bamboo corals su fango e rocce sparse</t>
  </si>
  <si>
    <t>metri percorsi effettivi 982</t>
  </si>
  <si>
    <t>22_T16</t>
  </si>
  <si>
    <t>604-739</t>
  </si>
  <si>
    <t xml:space="preserve">  </t>
  </si>
  <si>
    <t>22_T11</t>
  </si>
  <si>
    <t>726-872</t>
  </si>
  <si>
    <t>Bamboo corals su fango, fatto push corer alla fine del transetto</t>
  </si>
  <si>
    <t>028_FINALE_STRUCTURE_HIGH</t>
  </si>
  <si>
    <t>28_T05</t>
  </si>
  <si>
    <t>1135-1259</t>
  </si>
  <si>
    <t>Fango molto irregolare, a tratti con elevata pendenza, bamboo corals sparsi</t>
  </si>
  <si>
    <t>molte lenze - TMS rimane impigliato viene liberato</t>
  </si>
  <si>
    <t>28_T06</t>
  </si>
  <si>
    <t>1078-1170</t>
  </si>
  <si>
    <t>Fango batiale con montagnette desertico</t>
  </si>
  <si>
    <t>28_T04</t>
  </si>
  <si>
    <t>941-1355</t>
  </si>
  <si>
    <t xml:space="preserve">Fango batiale, seguito da parete infangata con affioramenti di roccia verticale con sponge ground a Farrea </t>
  </si>
  <si>
    <t>molte lenze - TMS impigliato due volte viene liberato</t>
  </si>
  <si>
    <t>28_T03</t>
  </si>
  <si>
    <t>1095-1382</t>
  </si>
  <si>
    <t xml:space="preserve">fango batiale con  rocce affioranti </t>
  </si>
  <si>
    <t xml:space="preserve">molte lenze - TMS rimane impigliato 3 volte in lenze sospese - transetto terminato in anticipo a 800 mp </t>
  </si>
  <si>
    <t>28_T12</t>
  </si>
  <si>
    <t>1071-1083</t>
  </si>
  <si>
    <t>Fango batiale desertico</t>
  </si>
  <si>
    <t>28_T10</t>
  </si>
  <si>
    <t>1114-1191</t>
  </si>
  <si>
    <t>inizio transetto slittato di 200 m per via della presenza di numerose lenze in corrispondenza del punto di discesa</t>
  </si>
  <si>
    <t>069_SOLUNTO_STRUCTURAL_HIGH</t>
  </si>
  <si>
    <t>69_T06</t>
  </si>
  <si>
    <t>1185-1324</t>
  </si>
  <si>
    <t xml:space="preserve">fango batiale con pennatulacei e isididi </t>
  </si>
  <si>
    <t>pH non funzionante</t>
  </si>
  <si>
    <t>69_T03</t>
  </si>
  <si>
    <t>1088-1284</t>
  </si>
  <si>
    <t>fango batiale con affioramenti rocciosi con stichopathes sp. spugne litificate bianche e swiftia (4 campioni in tutto)</t>
  </si>
  <si>
    <t>69_T04</t>
  </si>
  <si>
    <t>844-968</t>
  </si>
  <si>
    <t>fango batiale alternato a roccia lavica esposta con M: lepida, Antipathes sp. e Isididi</t>
  </si>
  <si>
    <t>69_T05</t>
  </si>
  <si>
    <t>725-831</t>
  </si>
  <si>
    <t>fango batiale alternato a roccia lavica esposta con: M. lepida, Antipathes sp. e D. koreni, trovata anche una singola colonia di C. rubrum a 770 m (campionamento fallito)</t>
  </si>
  <si>
    <t>69_T14</t>
  </si>
  <si>
    <t>1268-1117</t>
  </si>
  <si>
    <t>Fango batiale desertico. Interrotto a 705 m a 1117 m di profondità</t>
  </si>
  <si>
    <t>69_T11</t>
  </si>
  <si>
    <t>1177-1081</t>
  </si>
  <si>
    <t>69_T02</t>
  </si>
  <si>
    <t>1005-1357</t>
  </si>
  <si>
    <t>Fango batiale con radi isididi alternato a pareti di roccia esposta con alta densita' di coralli neri, gorgonie e spugne</t>
  </si>
  <si>
    <t>69_T15</t>
  </si>
  <si>
    <t>1055-1326</t>
  </si>
  <si>
    <t>058_PROMETEO_SEAMOUNT</t>
  </si>
  <si>
    <t>58_T01</t>
  </si>
  <si>
    <t>1990-2378</t>
  </si>
  <si>
    <t xml:space="preserve">Fango batiale con sporadiche rocce laviche nude </t>
  </si>
  <si>
    <t>58_T02</t>
  </si>
  <si>
    <t>1808-2282</t>
  </si>
  <si>
    <t xml:space="preserve">allunghiamo il transetto di 300 m sulla cresta del monte rispetto a tracciato originale </t>
  </si>
  <si>
    <t>58_T04</t>
  </si>
  <si>
    <t>1968-2093</t>
  </si>
  <si>
    <t>69_T01</t>
  </si>
  <si>
    <t>1107-1214</t>
  </si>
  <si>
    <t xml:space="preserve">fango con rocce sparse con coralli neri profondi (Parantipathes n. sp., Antipathes sp.), Chelidonisis aurantiaca, Placogorgidi e spugne biance massive in grande densità </t>
  </si>
  <si>
    <t>69_T08</t>
  </si>
  <si>
    <t>1323-1339</t>
  </si>
  <si>
    <t>69_T09</t>
  </si>
  <si>
    <t>1264-1360</t>
  </si>
  <si>
    <t>007_ANCHISE_SEAMOUNT</t>
  </si>
  <si>
    <t>07_T12</t>
  </si>
  <si>
    <t>1924-2217</t>
  </si>
  <si>
    <t>fango, qualche Bathypterois, campionata spugna a coppetta, tante lenze</t>
  </si>
  <si>
    <t>interrotto a 801mp per troppe lenze, trasferimento on deck verso T14</t>
  </si>
  <si>
    <t>Margherita, Livia, Simone</t>
  </si>
  <si>
    <t>07_T14</t>
  </si>
  <si>
    <t>1137-1359</t>
  </si>
  <si>
    <t>fango, rocce laviche con Antipathes e Parantipathes sp., piccola foresta Leiopathes alla fine</t>
  </si>
  <si>
    <t>fatti circa 800m in tms per accelerare</t>
  </si>
  <si>
    <t>07_T15</t>
  </si>
  <si>
    <t>1663.7</t>
  </si>
  <si>
    <t>630-795</t>
  </si>
  <si>
    <t>fango con qualche Isidella sparsa, qualche Facciolella, poco dislivello di roccia lavica poi di nuovo fango. Transetto interrotto.</t>
  </si>
  <si>
    <t>Doriana, Michela M., Noemi</t>
  </si>
  <si>
    <t>07_T09</t>
  </si>
  <si>
    <t>569-642</t>
  </si>
  <si>
    <t>fango batiale con Isididi sparsi. Tornati indietro a metà trabsetto per cercare flares, non trovato. Tanatocenosi dendrophilia e spugne (7 campioni).</t>
  </si>
  <si>
    <t>07_T10</t>
  </si>
  <si>
    <t>526-625</t>
  </si>
  <si>
    <t>fango con Isididi, rocce nere con Parantipathes, tanatocenosi D. cornigera, tante spugne</t>
  </si>
  <si>
    <t>07_T03</t>
  </si>
  <si>
    <t>865-1658</t>
  </si>
  <si>
    <t>parete rocciosa aggettante nuda, fango, presi pezzi D.dianthus e brachiopodi sbattendo con ROV sopra</t>
  </si>
  <si>
    <t>07_T04</t>
  </si>
  <si>
    <t>1089-1644</t>
  </si>
  <si>
    <t>fango batiale, roccia ripida, roccia infangata, poco Parantipathes sp., gorgonie gialle, Isidella</t>
  </si>
  <si>
    <t>07_T07</t>
  </si>
  <si>
    <t>620-1045</t>
  </si>
  <si>
    <t>rocce nere molto pendenti con D. bonsai e spugne palletta bianca, fatto un pezzo di 500m più alti e più veloci perchè fango, parete rocciosa infangata spoglia</t>
  </si>
  <si>
    <t>070_STROMBOLINO_I_SEAMOUNT</t>
  </si>
  <si>
    <t>70_T01</t>
  </si>
  <si>
    <t>1883-2376</t>
  </si>
  <si>
    <t>fango e rocce laviche alternate a blocchi di calcare, parete verticale, 0 forme di vita :(</t>
  </si>
  <si>
    <t>transito in TMS verso T02</t>
  </si>
  <si>
    <t>70_T02</t>
  </si>
  <si>
    <t>1836-2203</t>
  </si>
  <si>
    <t>fango batiale, piccoli affioramenti di origine vulcanica (non rocciosi)</t>
  </si>
  <si>
    <t>70_T03</t>
  </si>
  <si>
    <t>2030-2317</t>
  </si>
  <si>
    <t>fango batiale, nessuna forma di vita,  tanti problemi tecnici e poi stop per maltempo</t>
  </si>
  <si>
    <t>1975-2102</t>
  </si>
  <si>
    <t>rocce laviche verticali con molte zone coperte da serpulidi e sclerattinie morti, 4 spugne a coppetta peduncolate</t>
  </si>
  <si>
    <t>ripreso T03 dopo 24 ore per maltempo, circa 100m più avanti per avvicinarci subito alle rocce, interrotto dopo problemi tecnici, lenza e scarso interesse biologico</t>
  </si>
  <si>
    <t>07_T13</t>
  </si>
  <si>
    <t>1605-1781</t>
  </si>
  <si>
    <t>fango batiale desertico, tanta bioturbazione, qualche Bathypterois</t>
  </si>
  <si>
    <t>interrotto a 1050 m per scarso interesse biologico</t>
  </si>
  <si>
    <t>07_T11</t>
  </si>
  <si>
    <t>681-743</t>
  </si>
  <si>
    <t>fango batiale con keratoisididi, H. italicus e tanti segni di strascico</t>
  </si>
  <si>
    <t>interrotto a 1205 m per scarso interesse biologico, flares non trovati</t>
  </si>
  <si>
    <t>07_T02</t>
  </si>
  <si>
    <t>interrotto a 209 m per problemi alla videocamera, ripreso nello stesso punto alle 21:50 circa</t>
  </si>
  <si>
    <t>1240-1663</t>
  </si>
  <si>
    <t>Clasti di grandi dimensioni di matrice fangosa, roccia sedimentata verticale, roccia esposta a circa 580 mp con foresta di coralli neri e gorgonie</t>
  </si>
  <si>
    <t>ripreso transetto T02</t>
  </si>
  <si>
    <t>07_T06</t>
  </si>
  <si>
    <t>1533-1726</t>
  </si>
  <si>
    <t>fango batiale senza alcuna forma di vita</t>
  </si>
  <si>
    <t>interrotto per scarso interesse biologico</t>
  </si>
  <si>
    <t>07_T02_laser</t>
  </si>
  <si>
    <t>roccia con Placogorgia sp.</t>
  </si>
  <si>
    <t>prova laser e fotogrammetria su roccia con Placogorgia sp.</t>
  </si>
  <si>
    <t>019_CREUSA_SEAMOUNT</t>
  </si>
  <si>
    <t>19_T06</t>
  </si>
  <si>
    <t>1948-2101</t>
  </si>
  <si>
    <t>Fango senza niente, qualche Bathypterois dubius</t>
  </si>
  <si>
    <t>Appena arrivati sul fondo stop veloce per controllo al TMS. Siamo su scarpata fangosa: forme di vita assenti. Ci stacchiamo dal fondo a 450mp per aumentare velocità e avanzare di 500m</t>
  </si>
  <si>
    <t>19_T02</t>
  </si>
  <si>
    <t>1655-1777</t>
  </si>
  <si>
    <t>19_T03</t>
  </si>
  <si>
    <t>1761-1802</t>
  </si>
  <si>
    <t>Fango desertico senza alcuna forma vitale</t>
  </si>
  <si>
    <t>Fatti circa 750 m vicino al TMS per velocizzare su fango</t>
  </si>
  <si>
    <t>19_T04</t>
  </si>
  <si>
    <t>1834-2211</t>
  </si>
  <si>
    <t>super reef sclerattinie morte, molto esteso, parete di roccia esposta nuda</t>
  </si>
  <si>
    <t>Non seguiamo il transetto delineato.</t>
  </si>
  <si>
    <t>Margherita, Livia, Simone / Doriana, Michela M., Noemi</t>
  </si>
  <si>
    <t>19_T05</t>
  </si>
  <si>
    <t>1931-1963</t>
  </si>
  <si>
    <t>fango desertico senza vita</t>
  </si>
  <si>
    <t>interrotto a 510 m per scarso interesse biologico</t>
  </si>
  <si>
    <t>079_VESPASIANO_SEAMOUNT</t>
  </si>
  <si>
    <t>79_T05</t>
  </si>
  <si>
    <t>2250-2330</t>
  </si>
  <si>
    <t>interrotto a 700 m per prendere pH e CTD da una barca accostata a noi</t>
  </si>
  <si>
    <t>2024-2235</t>
  </si>
  <si>
    <t>tutto fango</t>
  </si>
  <si>
    <t>ripreso dal punto in cui avevamo interrotto</t>
  </si>
  <si>
    <t>79_T04</t>
  </si>
  <si>
    <t>1774-2117</t>
  </si>
  <si>
    <t>Fango con presenza di Bathypterois e Hymenodiscus</t>
  </si>
  <si>
    <t>Ci alziamo dal fondo a 682 mp ore 02:00 (UTC) per preseguire spedite per 900m circa lungo il transetto. Transetto interrotto a 1657mp.</t>
  </si>
  <si>
    <t>79_T01</t>
  </si>
  <si>
    <t>1686-1963</t>
  </si>
  <si>
    <t>Formazioni di matte batterica allungate a cilindro, fango</t>
  </si>
  <si>
    <t>Fatti 600 m vicino TMS e riscesi</t>
  </si>
  <si>
    <t>79_T02</t>
  </si>
  <si>
    <t>1745-2004</t>
  </si>
  <si>
    <t>Fango con presenza di Bathypterois dubius</t>
  </si>
  <si>
    <t>ci alziamo dal fondo a 424mp ore 20:53 (UTC) per proseguire veloci per circa 900m. Transetto interrotto.</t>
  </si>
  <si>
    <t>79_T06</t>
  </si>
  <si>
    <t>1810-2068</t>
  </si>
  <si>
    <t>ci alziamo dal fondo per proseguire veloci per circa 800m.</t>
  </si>
  <si>
    <t>79_T03</t>
  </si>
  <si>
    <t>Fango batiale</t>
  </si>
  <si>
    <t>transetto interrotto a 1350mp, tutto fango e scarso interesse biologico.</t>
  </si>
  <si>
    <t>79_T01_fotogrammetria_niskin</t>
  </si>
  <si>
    <t>Formazioni di matte batterica allungate a cilindro</t>
  </si>
  <si>
    <t>Tornati nel punto fix per prelievo n.2 niskin e fotogrammetria.</t>
  </si>
  <si>
    <t>076_USTICA_SEAMOUNT</t>
  </si>
  <si>
    <t>76_T04</t>
  </si>
  <si>
    <t>1522-1704</t>
  </si>
  <si>
    <t>Parete di fango con rocce sparse, tutto super verticale, nessuna forma di vita</t>
  </si>
  <si>
    <t>Interrotto 600mp per scarso interesse biologico</t>
  </si>
  <si>
    <t>76_T05</t>
  </si>
  <si>
    <t>Parete di fango con rocce sparse, tutto super verticale e qualche Antipathes monopodiale</t>
  </si>
  <si>
    <t>usciamo dal transetto, seguiamo le rocce</t>
  </si>
  <si>
    <t>76_T06</t>
  </si>
  <si>
    <t>1439-1582</t>
  </si>
  <si>
    <t>Michela A., Tommaso D., Andrea A.</t>
  </si>
  <si>
    <t>76_T03</t>
  </si>
  <si>
    <t>1544-1739</t>
  </si>
  <si>
    <t>Michela A., Mauro V., Ilaria M./Tommaso D., Andrea A.</t>
  </si>
  <si>
    <t>76_T02</t>
  </si>
  <si>
    <t>1682-1885</t>
  </si>
  <si>
    <t>Fango con presenza di Bathypterois dubius e rocce spoglie sparse</t>
  </si>
  <si>
    <t xml:space="preserve">raggruppato T02 con T01 e transito intermedio in un unico transetto </t>
  </si>
  <si>
    <t>Michela A., Mauro V., Ilaria M.</t>
  </si>
  <si>
    <t>76_T01</t>
  </si>
  <si>
    <t>1772-1914</t>
  </si>
  <si>
    <t>Fango batiale con pillow lava e matte batterica, serpulidi e tanatocenosi ricoperta da lava</t>
  </si>
  <si>
    <t>aggiunto perche zona ad alto backscatter</t>
  </si>
  <si>
    <t xml:space="preserve">Tommaso D., Andrea A. </t>
  </si>
  <si>
    <t>009_AUGUSTO_SEAMOUNT</t>
  </si>
  <si>
    <t>09_T01</t>
  </si>
  <si>
    <t>1933-2228</t>
  </si>
  <si>
    <t>Fango batiale con sporadica presenza di rocce, B. dubius e altri pesci</t>
  </si>
  <si>
    <t xml:space="preserve">calibrazione  RayFin per fotogrammetria prima di inizio transetto su cubo di legno </t>
  </si>
  <si>
    <t xml:space="preserve">Tommaso D., Andrea A./Michela A., Mauro V., Ilaria M. </t>
  </si>
  <si>
    <t>09_T02</t>
  </si>
  <si>
    <t>2040-2214</t>
  </si>
  <si>
    <t xml:space="preserve">Fango batiale spoglio </t>
  </si>
  <si>
    <t xml:space="preserve">presenti due ordigni bellici </t>
  </si>
  <si>
    <t>074_TRAIANO_SEAMOUNT</t>
  </si>
  <si>
    <t>74_T02</t>
  </si>
  <si>
    <t>1937-2325</t>
  </si>
  <si>
    <t xml:space="preserve">Fango batiale con sporadica presenza di rocce, B. dubius e 2 anfore </t>
  </si>
  <si>
    <t>fotogrammetria su due anfore</t>
  </si>
  <si>
    <t>74_T01</t>
  </si>
  <si>
    <t>1906-2134</t>
  </si>
  <si>
    <t xml:space="preserve">fango batiale con scarpate di roccia spoglia, B. dubius e due anfore </t>
  </si>
  <si>
    <t>041_LIVIA_SEAMOUNT</t>
  </si>
  <si>
    <t>41_T01</t>
  </si>
  <si>
    <t>1918-2029</t>
  </si>
  <si>
    <t xml:space="preserve">Fango batiale con B. dubius, "donut-worms" e 2 anfore </t>
  </si>
  <si>
    <t>41_T02</t>
  </si>
  <si>
    <t>1946-2097</t>
  </si>
  <si>
    <t>Fango batiale con B. dubius e "donut-worms"</t>
  </si>
  <si>
    <t>22_T08</t>
  </si>
  <si>
    <t>786-842</t>
  </si>
  <si>
    <t>Fango con numerose isididi, presenza di macrouridi e altri pesci</t>
  </si>
  <si>
    <t>Tommaso D., Andrea A./Michela A., Mauro V., Ilaria M.</t>
  </si>
  <si>
    <t>22_T10</t>
  </si>
  <si>
    <t>884-981</t>
  </si>
  <si>
    <t>Fango con pesci (H. italicus, Hoplostetus e macrouridae), sporadica presenza di isidelle nel tratto finale</t>
  </si>
  <si>
    <t>22_T18</t>
  </si>
  <si>
    <t>564-613</t>
  </si>
  <si>
    <t>tanatocenosi di D. cornigera con campi a V. flagellum e frequente A.dichotoma, Mollecorallium sp.</t>
  </si>
  <si>
    <t>22_T04</t>
  </si>
  <si>
    <t>779-954</t>
  </si>
  <si>
    <t xml:space="preserve">fango con isididi e pennatulacei sparsi </t>
  </si>
  <si>
    <t>22_T01</t>
  </si>
  <si>
    <t>631-728</t>
  </si>
  <si>
    <t>Fango con grandissima presenza di Isidelle, si osserva un grande impatto da strascico nella seconda metà di transetto</t>
  </si>
  <si>
    <t xml:space="preserve">prelievo acqua con niskin </t>
  </si>
  <si>
    <t>056_POMPEO_SEAMOUNT</t>
  </si>
  <si>
    <t>56_T06</t>
  </si>
  <si>
    <t>1200-1563</t>
  </si>
  <si>
    <t xml:space="preserve">fango batiale con parete di roccia lavica e gorgonie e coralli neri </t>
  </si>
  <si>
    <t>56_T07</t>
  </si>
  <si>
    <t>1307-1528</t>
  </si>
  <si>
    <t xml:space="preserve">fango batiale alternato a ripide scarpate di roccia lavica con foresta di PLacogorgia, Muriceides e Antipathes sp. - presenti MDAC </t>
  </si>
  <si>
    <t>56_T12</t>
  </si>
  <si>
    <t>1082-1220</t>
  </si>
  <si>
    <t>fango batiale con parete verticale di roccia lavica con tanatocenosi di sclerattinie e srpulidi ricoperta di Fe-Mn e abbondante antipathes sp.</t>
  </si>
  <si>
    <t xml:space="preserve">a circa metà transetto ROV si alza per scavallare pendenza inversa e ripercorrela a ritroso da batimetrica maggiore verso minore - transetto interrotto e ripreso - calcolati metri percorsi a ritroso </t>
  </si>
  <si>
    <t>56_T05</t>
  </si>
  <si>
    <t>1143-1246</t>
  </si>
  <si>
    <t>fango batiale con parete di roccia lavica ricca di antiphates e qualche spugna bianca</t>
  </si>
  <si>
    <t>56_T04</t>
  </si>
  <si>
    <t>1281-1547</t>
  </si>
  <si>
    <t>Fango batiale con parete con serpulidi e sclerattinie ricoperti da Fe-Mn, ricca di Antiphates</t>
  </si>
  <si>
    <t>56_T03</t>
  </si>
  <si>
    <t>1194-1430</t>
  </si>
  <si>
    <t>56_T02</t>
  </si>
  <si>
    <t>944-1309</t>
  </si>
  <si>
    <t xml:space="preserve">Fango batiale con parete con serpulidi e sclerattinie ricoperti da Fe-Mn, ricca di Antiphates. Rocce sparse con coralli molli e lollipop sponges </t>
  </si>
  <si>
    <t>56_T09</t>
  </si>
  <si>
    <t>1175-1350</t>
  </si>
  <si>
    <t xml:space="preserve">Fango batiale con parete con serpulidi e sclerattinie ricoperti da Fe-Mn. </t>
  </si>
  <si>
    <t>56_T01</t>
  </si>
  <si>
    <t>1254-1400</t>
  </si>
  <si>
    <t xml:space="preserve">fango batiale </t>
  </si>
  <si>
    <t>RayFin non funzionante</t>
  </si>
  <si>
    <t>001_ACESTE _ TIBERIO_SEAMOUNT</t>
  </si>
  <si>
    <t>01_T12</t>
  </si>
  <si>
    <t>984-1245</t>
  </si>
  <si>
    <t xml:space="preserve">foresta di gorgonie profonde su roccia e coralli neri </t>
  </si>
  <si>
    <t>01_T15</t>
  </si>
  <si>
    <t>634-969</t>
  </si>
  <si>
    <t>parete di roccia con P. coronata, Muriceides sp. e coralli neri - foresta di Placogorgia e coralli neri su coral rubble con coralli bianchi e coralli molli sparsi - reef a ostriche giganti (N. zibrowii)</t>
  </si>
  <si>
    <t>acquisizione fotogrammetria su Placogorgia su roccia</t>
  </si>
  <si>
    <t>01_T13</t>
  </si>
  <si>
    <t>465-587</t>
  </si>
  <si>
    <t>01_T17</t>
  </si>
  <si>
    <t>958-1857</t>
  </si>
  <si>
    <t xml:space="preserve">fango batiale con scarpate di roccia con coralli neri e Placogorgia sp. </t>
  </si>
  <si>
    <t xml:space="preserve">transetto interrrotto per sostituzione sonda pH e poi ripreso </t>
  </si>
  <si>
    <t>01_T19</t>
  </si>
  <si>
    <t>490-679</t>
  </si>
  <si>
    <t xml:space="preserve">fango batiale strascicato e tanatocenosi di coralli bianchi e D. cornigera a patches con rocce e coralli neri </t>
  </si>
  <si>
    <t>01_T14</t>
  </si>
  <si>
    <t>396-559</t>
  </si>
  <si>
    <t xml:space="preserve">fango batiale con tanatocenosi di coralli bianchi e coralli neri sparsi </t>
  </si>
  <si>
    <t>01_T11</t>
  </si>
  <si>
    <t>698-1138</t>
  </si>
  <si>
    <t xml:space="preserve">fango batiale con pennatulacei e scarpata con reef a ostriche </t>
  </si>
  <si>
    <t>01_T02</t>
  </si>
  <si>
    <t>141-203</t>
  </si>
  <si>
    <t xml:space="preserve">foresta di gorgonie e coralli molli su banchi coralligeni e sponge ground, con presenza di coralli neri </t>
  </si>
  <si>
    <t>LASER 36 cm</t>
  </si>
  <si>
    <t>01_T07</t>
  </si>
  <si>
    <t>1156-1172</t>
  </si>
  <si>
    <t xml:space="preserve">Fango batiale con sporadiche colonie di I. elongata e sporadici Pachycerianthus spp. </t>
  </si>
  <si>
    <t>Misurazione laser 36 cm. Trasferimento on deck verso il 01_T06</t>
  </si>
  <si>
    <t>Michela Maiorca, Michela Marrocco, Andrea R.</t>
  </si>
  <si>
    <t>01_T06</t>
  </si>
  <si>
    <t>670-998</t>
  </si>
  <si>
    <t>Fango batiale bioperturbato, popolamento bentonico scarso, Tenea muricata sporadica, Cherianthus sporadico, a met' blocchi di roccia affiornati e tanatocenosi di M. oculata, Parantipathes nd., Muriceides lepida, campionata Isidella elongata</t>
  </si>
  <si>
    <t>Eva S., Nicola P., Simone B., Ornella N.</t>
  </si>
  <si>
    <t>01_T05</t>
  </si>
  <si>
    <t>1012-1142</t>
  </si>
  <si>
    <t>Inizio transetto alla base di una dorsale con lati mediamente ripidi, fango poco bioperturbato con ondulazioni, nella seconda parte sulla sommit' della dorsale numerose colonie di Cheratoisididi di grandi dimensioni, fauna ittica particolare, tra cui Dipturus cf. nidarosiensis e Chimaera monstrosa</t>
  </si>
  <si>
    <t>Trasferimento on deck verso il 01_T18</t>
  </si>
  <si>
    <t>01_T18</t>
  </si>
  <si>
    <t>604-786</t>
  </si>
  <si>
    <t>Roccia vulcanica infangata, prima parte del transetto su scarpata con spugne globose bianche e gialle e H. falcula; a seguire coral rubbles, N. zibrowii, colonie sparse di L. glaberrima e poche piccole gorgonie sparse. Seconda parte del transetto sulla cresta della scarpata con numerosi Parantipathes n. sp.</t>
  </si>
  <si>
    <t>Campionata Placogorgia con T4. Trasferimento on deck verso il 01_T01</t>
  </si>
  <si>
    <t>01_T01</t>
  </si>
  <si>
    <t>241-390.5</t>
  </si>
  <si>
    <t xml:space="preserve">Roccia lavica esposta alternato a patch di detrito, con rubble di madrepora, d. pertusum e dendrophylia. Sporadica presenza di scheletri di Leiopathes epibiontati da epizoanthus e acanthogorgia. Piccole colonie di Madrepora e D. pertusum sparse. Dopo lo spostamento on lars, fondale fangoso con ripples e rari spots di coral rubble, presenza di numerosi Lepidorhombus, presenza di S. blainville e assenza di specie strutturanti. </t>
  </si>
  <si>
    <t xml:space="preserve">Trasferimento on tms verso punto di campionamento acqua. Trasferimento on deck verso il 01_T10. Preso due Niskin, campionata una. </t>
  </si>
  <si>
    <t>Michela Maiorca, Michela Marrocco, Andrea R.; cambio turno durante il trasferimento al punto di campionamento acqua a Eva S., Nicola P., Simone B., Ornella N.</t>
  </si>
  <si>
    <t>01_T10</t>
  </si>
  <si>
    <t>383-430</t>
  </si>
  <si>
    <t>Fondale roccioso lungo tutto il transetto: habitat omogeneo con numerose colonie di D. bonsai, S. pallida, individui sparsi di A. dichotoma e Acanthogorgiidae. Numerose B. viridis, vari banchi di Epigonus sp. Rari tratti di fondale fangoso con colonie di I. elongata sparse.</t>
  </si>
  <si>
    <t>Trasferimento on deck verso il 01_T03</t>
  </si>
  <si>
    <t>01_T03</t>
  </si>
  <si>
    <t>415-540</t>
  </si>
  <si>
    <t xml:space="preserve">Roccia infangata, tanatocenosi su roccia infangata, fango. Coral rubbles. Spugne globose bianche e spugne gialle sparse. Poche Acanthogorgiidae sparse. </t>
  </si>
  <si>
    <t>Tentativo fallito di campionamento di spugna bianca globosa. Trasferimento on deck verso il 01_T20</t>
  </si>
  <si>
    <t>01-02/01/2026</t>
  </si>
  <si>
    <t>01_T20</t>
  </si>
  <si>
    <t>648-682</t>
  </si>
  <si>
    <t>Fango con pockmarks. Frequenti segni di strascico lungo tutto il transetto. Pochi pesci (H. italicus, C. sloani, L. caudatus), nessuna specie strutturante.</t>
  </si>
  <si>
    <t>Campionato sedimento al centro di un pockmark (2 carote, delle quali una incompleta). Trasferimento on deck al 01_T16</t>
  </si>
  <si>
    <t>01_T16</t>
  </si>
  <si>
    <t>664-859</t>
  </si>
  <si>
    <t>Inizio fango con presenza di colonie isolate di Antipathes sp. e Swiftia pallida. Roccia infangata alternata a fango. Spugne bianche globose. Presenza di coral rubbles su roccia e a seguire tanatocenosi di coralli. Presenza di Parantipathes cf. larix e Acanthogorgidi (P massiliensis). Occasionali M. lepida.</t>
  </si>
  <si>
    <t>Campionata Antipathes sp. con T4. Campionata spugna bianca globosa con scoopnet. Campionata Parantipathes cf. larix con T4. Trasferimento on deck al 01_T04</t>
  </si>
  <si>
    <t>Michela Maiorca, Michela Marrocco, Andrea R. Cambio turno con Eva S., Nicola P., Simone B., Ornella N.</t>
  </si>
  <si>
    <t>01_T04</t>
  </si>
  <si>
    <t>974-1279</t>
  </si>
  <si>
    <t>Fango batiale non molto bioperturbato, blocchi di roccia vulcanica poco affiorante e limitata nella parte centrale del transetto, colonizzata da poche spugne. 3 colonie di I. elongata in cattivo stato di conservazione. Oloturie , sia M. intestinalis che sp. non identificata scura. Vari pesci tra i quali: N. melanurum, L. lepidion, N. bonapartei e F. oxyrhyncha. Osservato totano durante la risalita a 970 mt. (triturato dai motori)</t>
  </si>
  <si>
    <t>Trasferimento on deck al 01_T09</t>
  </si>
  <si>
    <t>01_T09</t>
  </si>
  <si>
    <t>1502-1601</t>
  </si>
  <si>
    <t>Intero transetto su fango. Alcuni Bathypterois sparsi e Facciolella oxyrhincha.</t>
  </si>
  <si>
    <t>Campionato sedimento (fango) con push-corer. Campionata lollipop sponge Rhizaxinella sp. con scoopnet. Standby tecnico per batterie scariche CTD prima della fine del transetto e della risalita del ROV. Successiva ridiscesa del ROV e piccola tratta percorsa per registrazione parametri CTD (00:03:17-02:59:50). Trasferimento on deck verso il 30_T06.</t>
  </si>
  <si>
    <t>030_GIULIO_CESARE_CAESAR_SEAMOUNT</t>
  </si>
  <si>
    <t>30_T06</t>
  </si>
  <si>
    <t>1305-1576</t>
  </si>
  <si>
    <t>Transetto interamente su fango batiale, bioperturbato prevalentemente nella parte finale. Osservati una B. viridis un Trachyrincus sp.. Effettuato push corer.</t>
  </si>
  <si>
    <t>Campionamento sedimento (fango) con push-corer. Trasferimento on deck al 30_T05</t>
  </si>
  <si>
    <t>30_T05</t>
  </si>
  <si>
    <t>1289-1505</t>
  </si>
  <si>
    <t>Transetto interamente su fango batiale, con inclinazione variabile. Osservata esclusivamente fauna vagile,  N. aequalis, Facciolella o Nettastoma, Etmopterus spinax, Geryon longipes , Ceramaster sp., Geryon longipes .</t>
  </si>
  <si>
    <t>Trasferimento on deck al 30_T04</t>
  </si>
  <si>
    <t>30_T04</t>
  </si>
  <si>
    <t>1150-1420</t>
  </si>
  <si>
    <t xml:space="preserve">Transetto su fango batiale con qualche roccia lavica con spugne bianche sparse lungo la scarpata; 2 individui di Opisthoteuthis calypso </t>
  </si>
  <si>
    <t>Trasferimento on deck al 30_T11</t>
  </si>
  <si>
    <t>30_T11</t>
  </si>
  <si>
    <t>1286-1550</t>
  </si>
  <si>
    <t xml:space="preserve">Transetto su fango batiale con pochi pesci sparsi (Bathypterois, Coelorhincus, Nezumia). Vari rifiuti sparsi. </t>
  </si>
  <si>
    <t>Campionate con scoopnet due spugne piccole bianche globose su substrato indefinito. Trasferimento on deck al 30_T02</t>
  </si>
  <si>
    <t>30_T02</t>
  </si>
  <si>
    <t>1256-1705</t>
  </si>
  <si>
    <t>Transetto per buona parte su fango batiale con rari Bathypterois e Facciolella; nel finale parete rocciosa ricca di Antipathes dichotoma di piccole dimensioni, un esemplare di Parantipathes n. sp., rari esemplari di D. bonsai, Geodia sp. e P. monilifera.</t>
  </si>
  <si>
    <t>Campionati con manipolatore Antipathes dichotoma, Parantipathes n. sp., Geodia sp. Trasferimento on deck al 30_T08</t>
  </si>
  <si>
    <t>30_T08</t>
  </si>
  <si>
    <t>1336-1551</t>
  </si>
  <si>
    <t xml:space="preserve">Transetto su fango batiale. Alcune rocce infagate a metà transetto con presenza di piccole colonie di Antipathes. Vari rifiuti sparsi. </t>
  </si>
  <si>
    <t>Fotogrammetria su insieme di tane in fango. Trasferimento on deck al 30_T01</t>
  </si>
  <si>
    <t>30_T01</t>
  </si>
  <si>
    <t>1506-1665</t>
  </si>
  <si>
    <t>Transetto su fango batiale con presenza di numerosi Bathypterois e nicchi di Argonauta. Nella porzione finale piccole rocce sparse con presenze isolate di anemoni rosa nd, Muriceides lepida, Antipathes dichotoma; a seguire ancòra fango fino alla fine del transetto.</t>
  </si>
  <si>
    <t>Campionata Antipathes dichotoma. Trasferimento on TMS al 30_T13</t>
  </si>
  <si>
    <t>30_T13</t>
  </si>
  <si>
    <t>1371-1563</t>
  </si>
  <si>
    <t xml:space="preserve">Transetto su fango batiale. Alcune rocce infagate a metà transetto. Vari rifiuti sparsi. </t>
  </si>
  <si>
    <t>Campionata roccia infangata con sopra Spugne e Sclerattinie. Trasferimento on deck al 59_T06.</t>
  </si>
  <si>
    <t>059_QUIRINUS_SEAMOUNT</t>
  </si>
  <si>
    <t>59_T06</t>
  </si>
  <si>
    <t>1570-1813</t>
  </si>
  <si>
    <t xml:space="preserve">Transetto su fango abbondantemente bioturbato. Numerosi nicchi di Argonauta argo. Numerosi Bathypterois dubius. Presenza di Hymenodiscus coronata. Poche rocce sparse a circa metà transetto. Trovata anfora. Ultimo tratto del transetto (dall'ultimo snodo) con alcune rocce sparse. Ultimo tratto con patches di roccia infangata con Geodia sp., D. dianthus. Presenza di Parantipathes n. sp. </t>
  </si>
  <si>
    <t>Campionata roccia con probabile ascidia da identificare (T4). Campionato Parantipathes n. sp. con epibionti (T4). Campionati zoantidei (T4). Trasferimento on deck al 59_T05</t>
  </si>
  <si>
    <t>59_T05</t>
  </si>
  <si>
    <t>1748-1416</t>
  </si>
  <si>
    <t xml:space="preserve">Transetto su fango batiale. Parete rocciosa verso la fine del transetto con presenza di A. dichotoma e Sclerattinie. </t>
  </si>
  <si>
    <t>Campionata Antipathes sp (T4). Trasferimento on lars al 59_T04</t>
  </si>
  <si>
    <t>59_T04</t>
  </si>
  <si>
    <t>1393-1830</t>
  </si>
  <si>
    <t xml:space="preserve">Inizio transetto su fango, a seguire creste di roccia infangata con abbondante presenza di Parantipathes n. sp., presenza di Antipathes dichotoma a minore densità, sclerattinie, balani, Geodia sp., Hymenodiscus coronata. Ad un terzo del transetto riprende distesa di fango con Bathypterois sparsi. Da metà transetto circa ritornano rocce infangate sparse con presenza di Parantipathes n. sp. Ultimo tratto sulla cima più elevata di roccia infangata con presenza di Parantipathes n. sp. </t>
  </si>
  <si>
    <t>Campionati due Parantipathes n. sp., Antipathes dichotoma ramificata, Placogorgia sp. necrotica, Muriceides lepida, Desmophyllum dianthus (tutti T4). Trasferimento on deck al 59_T03</t>
  </si>
  <si>
    <t>59_T03</t>
  </si>
  <si>
    <t>1366-1733</t>
  </si>
  <si>
    <t xml:space="preserve">Fango batiale con parete di roccia spoglia verso metà transetto, due esemplari di Antipathes sp. e rarissimi Poriferi ND, fauna ittica presente ma rara: Bathypterois, Lepidion e Polyacanthonotus </t>
  </si>
  <si>
    <t>Campionato un pezzo di litter con all'interno una struttura simile ad un uovo. Trasferimento on deck al 62_T08.</t>
  </si>
  <si>
    <t>062_SARDINIA_SEAMOUNT</t>
  </si>
  <si>
    <t>62_T08</t>
  </si>
  <si>
    <t>1438-1579</t>
  </si>
  <si>
    <t>Fango batiale bioturbato con presenza di Bathypterois e numerose lollipop sponges e A. foliacea.</t>
  </si>
  <si>
    <t>Campionate due lollipop sponge (cfr Sympagella delauzei) con scoopnet (1 campione perso con il resto del sedimento dello scoopnet durante il trasferimento) e sedimento con push corer. Trasferimento on TMS al 62_T06</t>
  </si>
  <si>
    <t>Eva S., Nicola P., Simone B., Ornella N. cambio turno con Michela Maiorca, Michela Marrocco, Andrea R.</t>
  </si>
  <si>
    <t>62_T06</t>
  </si>
  <si>
    <t>1406-1518</t>
  </si>
  <si>
    <t xml:space="preserve">Fango batiale bioturbato con numerose Rhizaxinelle sp. Presenza di Periphylla periphylla. </t>
  </si>
  <si>
    <t>Campionata lollipop sponge con T4 e spicole di lollipop sponge con brachiopodi/spugne (da verificare) persi in risalita. Trasferimento on TMS al 62_T04</t>
  </si>
  <si>
    <t>62_T04</t>
  </si>
  <si>
    <t>1207-1423</t>
  </si>
  <si>
    <t xml:space="preserve">Fango batiale bioturbato con lollipop sponges. </t>
  </si>
  <si>
    <t>Trasferimento on deck al 62_T09.</t>
  </si>
  <si>
    <t>62_T09</t>
  </si>
  <si>
    <t>1415-1488</t>
  </si>
  <si>
    <t xml:space="preserve">Fango batiale, nella prima parte del transetto, ad inclinazione irregolare, è presente  una piccola zona con roccia esposta . Sul fango sono stati osservati numerosi esemplari di lollipop sponge alcuni privi della parte distale, resta solo lo stelo filiforme. </t>
  </si>
  <si>
    <t>Campionata Antipathes dichotoma con T4. Trasferimento on deck al 62_T07.</t>
  </si>
  <si>
    <t>62_T07</t>
  </si>
  <si>
    <t>1197-1324</t>
  </si>
  <si>
    <t>Fango batiale bioturbato con pochi ceriantidi sparsi.</t>
  </si>
  <si>
    <t>Tentativo fallito di campionamento di ceriantide con scoopnet. Trasferimento on deck al 62_T03</t>
  </si>
  <si>
    <t>62_T03</t>
  </si>
  <si>
    <t>1268-1525</t>
  </si>
  <si>
    <t>Fango batiale bioturbato. Due anfore.</t>
  </si>
  <si>
    <t>Trasferimento On deck verso 62_T05.</t>
  </si>
  <si>
    <t>62_T05</t>
  </si>
  <si>
    <t>1288-1641</t>
  </si>
  <si>
    <t>Fango batiale all'inizio del transetto lollipop sparse non particolarmente abbondanti. In corrispondenza della batimetrica dei 1630 metri inizia cuna scarpata ad elevata pendenza con rocce affiorantii con poriferi bianchi, D. dianthus e A. dichotoma (abbondante), J. cailleti, stoloniferi, Sono state osservate numerose colonie di una piccola gorgonia bianca simile a nicella granifera lungo tutta la parte terminale della parete rocciosa.</t>
  </si>
  <si>
    <t>Campionati 3 Biologogici. Biologico 1, con T4: Antipathes dichotoma monopodiale; Biologico 2, con Scoop-net: Sclerattinie solitarie; Biologico 3, con Scoop-net: cfr Nicella granifera</t>
  </si>
  <si>
    <t>62_T02</t>
  </si>
  <si>
    <t>1241-1375</t>
  </si>
  <si>
    <t>Campionato uno stelo di Rhizaxinelle sp. con Scoopnet / campione abortito</t>
  </si>
  <si>
    <t>62_T01</t>
  </si>
  <si>
    <t>1618-1621</t>
  </si>
  <si>
    <t>Campionata Rhizaxinella sp. con scoopnet</t>
  </si>
  <si>
    <t>62_T01_new</t>
  </si>
  <si>
    <t>1355-1619</t>
  </si>
  <si>
    <t>fango batiale poco bioperturbato fino alle 10:11 tutto fango con qualche lollipop, un anfora tipo coppa con cerianthus e pacyiceriantus. su un piccolo blocco di roccia spugna bianca strana  (campionata) sulla parte pendente fango con steli di lollipop. Tutto fango anche sulla sommità del crinale.</t>
  </si>
  <si>
    <t>Campionata Spugna bianca ND (cfr. Geodia) con Scoopnet</t>
  </si>
  <si>
    <t>035_ICHNUSA SEAMOUNT</t>
  </si>
  <si>
    <t>35_T08</t>
  </si>
  <si>
    <t>356-738</t>
  </si>
  <si>
    <t xml:space="preserve">Porzione iniziale con fango bioturbato e numerosi segni di strascico con rade colonie di I. elongata (molte piccole/spezzate). Segue roccia infangata con Parantipathes n. sp., V. flagellum. Numerosi cidaridi sia su fango sia su roccia. Segue fondale incoerente detritico con rocce infangate sparse con presenza sporadica di Antipathes dichotoma. Presenza di numerosi Gryphys vitreus. A seguire fango. </t>
  </si>
  <si>
    <t>Campionata I. elongata con T4. Trasferimento on deck al 35_T08</t>
  </si>
  <si>
    <t>35_T05</t>
  </si>
  <si>
    <t>243-436</t>
  </si>
  <si>
    <t xml:space="preserve">fondo suborizzontale con detrito infangato </t>
  </si>
  <si>
    <t>Trasferimento on deck al 35_T12</t>
  </si>
  <si>
    <t>35_T12</t>
  </si>
  <si>
    <t>501-828</t>
  </si>
  <si>
    <t xml:space="preserve">Transetto interamente su fango batiale con numerosi segni di strascico. Presenza di colonie sparse di I. elongata lungo gran parte del transetto. </t>
  </si>
  <si>
    <t>Campionato sedimento con push-corer e ramo di Isidella elongata con T4. Trasferimento on deck al 35_T04</t>
  </si>
  <si>
    <t>35_T04</t>
  </si>
  <si>
    <t>357-500</t>
  </si>
  <si>
    <t xml:space="preserve">Inizio transetto su fango, a seguire detrico e patches di roccia infangata e roccia esposta, circondata da biocostruzioni morte. Occasionale presenza di Antipathes dichotoma. Abbondante presenza di cidaridi. Presenza di lenze. </t>
  </si>
  <si>
    <t>Trasferimento on deck al 35_T03</t>
  </si>
  <si>
    <t>35_T03</t>
  </si>
  <si>
    <t>220-473</t>
  </si>
  <si>
    <t>Inizio transetto in parete rocciosa con Reef a ostriche. Presenza di P. americanus e C. conger. A seguire fango detritico con abbondanza di C. agassizi. Prosegue con parete a terrazzamenti con roccia, biocostruzioni, sedimento misto (fango e detrito), coral rubbles diffusi; presenza di H. griseus. Numerosi P. bogaraveo e Trachurus sp. Una singola colonia L. glaberrima con epibiosi. Ultimo tratto su fango bioturbato. Cidaridi abbondanti in tutto il transetto.</t>
  </si>
  <si>
    <t>Effettuata deviazione per cercare i Flares segnalati, non trovati. Trasferimento on deck al 35_T20</t>
  </si>
  <si>
    <t>35_T20</t>
  </si>
  <si>
    <t>345-595</t>
  </si>
  <si>
    <t>Inizio transetto in parete rocciosa con Reef a ostriche. A seguire fango detritico con abbondanza di C. agassizi e presenza di H. dactylopterus. Prosegue con parete a terrazzamenti con roccia, biocostruzioni, sedimento misto (fango e detrito), coral rubbles a Dendrophyllia diffusi; presenza di due colonie di Leiopathes glaberrima (una di elevate dimensioni) nella parte alta della scarpata e diversi esermplari d H. griseus.</t>
  </si>
  <si>
    <t xml:space="preserve">Campionata roccia con Antipathes dichotoma con T4. Campionato sedimento con Scoopnet. Campionata 2 volte L. glaberrima con manipolatore T4. Eseguita fotogrammetria su L. glaberrima. </t>
  </si>
  <si>
    <t>35_T18</t>
  </si>
  <si>
    <t>384-488</t>
  </si>
  <si>
    <t>Fanghi batiali alternati a roccia esposta. Nonostante l'intervallo batimetrico non molto profondo è stata osservata una scarsa diversità e abbondanza di fauna bentonica. Leggermente piu abbondante ed eterogenea la fauna ittica. Nella parte piu superficiale del transetto presente abbondante coral rubble.</t>
  </si>
  <si>
    <t>Campionata Sclerittinia con Scoopnet e coral rubble. Trasferimento on deck al 35_T19</t>
  </si>
  <si>
    <t>35_T19</t>
  </si>
  <si>
    <t>509 (820)</t>
  </si>
  <si>
    <t>383-488</t>
  </si>
  <si>
    <t xml:space="preserve">Inizio transetto su fango, poi rocce infangate sparse con presenza di Viminella flagellum. A seguire roccia infangata con foreste di V. flagellum, in alcune zone con colonie morte, spezzate ed epibiontate da Epizoanthus sp., in altre zone in salute. </t>
  </si>
  <si>
    <t>Raccolti 6 campioni: V. flagellum morta con balani epibionti (T4), V. flagellum morta con stoloniferi (T4), tubicini gialli nd (scoopnet), due V. flagellum (T4) e ramo di V. flagellum morta con zoanthidei nd (T4). Transetto allungato con deviazione a NE lungo la parete per seguire foresta di V. flagellum. Trasferimento on deck al 35_T01.</t>
  </si>
  <si>
    <t>35_T01</t>
  </si>
  <si>
    <t>601-683</t>
  </si>
  <si>
    <t>Transetto caratterizzato da fondi rocciosi affioranti alternati a  zone fangose. Elevata diversità e discreta abbondanza di specie bentoniche ed ittiche. Osservati framework di coralli bianchi  morti ( D. pertusum e M. oculata) ma non molto vecchi. Tanatofauna in patches di D. cornigera.</t>
  </si>
  <si>
    <r>
      <rPr>
        <sz val="11"/>
        <color rgb="FF000000"/>
        <rFont val="Calibri"/>
      </rPr>
      <t>Spostamento su punto più profondo del transetto sul TMS</t>
    </r>
    <r>
      <rPr>
        <b/>
        <sz val="11"/>
        <color rgb="FF000000"/>
        <rFont val="Calibri"/>
      </rPr>
      <t>. Misurazione laser 36 cm</t>
    </r>
  </si>
  <si>
    <t>35_T02</t>
  </si>
  <si>
    <t>562-799</t>
  </si>
  <si>
    <t>Inizio transetto su roccia, si prosegue con abbondante coral rubble soprattutto a Dendrophyllia (tanat a corallo in certi punti) con Zoantidei epibionti, meno presente anche coral rubble a Madrepora e Desmophyllum, presenza di Mollecorallium a patch lungo la parete, vari esemplari di Antipathes sp., Parantipathes n. sp., Pacastrella monilifera, Farrea bowerbanki e Daniela koreni. Presenza occasionale anche di Nezumia aequalis, Chlorophthalmus agassizi e due Phycis blennoides. Sulla parte terminale del transetto poche colonie vive di Madrepora oculata (fotogrammetria eseguita).</t>
  </si>
  <si>
    <t>Campionati due pezzi di M. oculata e 1 pezzo di D. cornigera. Campione di egagropila abortito. Eseguita Fotogrammetria</t>
  </si>
  <si>
    <t>35_T14</t>
  </si>
  <si>
    <t>679-861</t>
  </si>
  <si>
    <t xml:space="preserve">Transetto interamente su fango. Numerose egagropile, alcuni ceriantidi sparsi. Alcuni pesci. Numerosi segni di strascico. </t>
  </si>
  <si>
    <t>Trasferimento on deck al 35_T15</t>
  </si>
  <si>
    <t>35_T15</t>
  </si>
  <si>
    <t>622-979</t>
  </si>
  <si>
    <t>Inizio transetto su fango, poi cresta di roccia esposta biogenica nuda circondata da roccia infangata. A seguire fango con alcuni ceriantidi e presenza isolata di sclerattinie solitarie e A. dichotoma su ipotetico MDAC, dopo circa 600 m roccia esposta con presenza di Mollecorallium, D. koreni, Parantipathes n. sp., attormo coral rubbles e tanatocenosi su fango con con presenza di V. flagellum. Ultimo tratto del transetto su fango con sporadiche colonie di I. elongata. Abbondanti rifiuti.</t>
  </si>
  <si>
    <t>Campionato frammento di A. dichotoma (T4), coral rubble (T4) e I. elongata (T4)</t>
  </si>
  <si>
    <t>35_T13</t>
  </si>
  <si>
    <t>597-868</t>
  </si>
  <si>
    <t xml:space="preserve">Transetto su fango batiale con evidenti e frequenti segni di strascico nella parte più superficiale, osservati occasionalmente H. italicus e N. aequalis. </t>
  </si>
  <si>
    <t>Trasferimento on deck al 35_T06</t>
  </si>
  <si>
    <t>35_T06</t>
  </si>
  <si>
    <t>330-206</t>
  </si>
  <si>
    <t xml:space="preserve">Maggior parte del transetto su fango con numerosi cefalopodi, aggregazioni di Plesionika sp., numerosi C. aper, C. agassizi, S. blainville, Lepidorhombus sp., H. dactyloperus, Triglidae, G. maraldi. A circa metà transetto, piccola cresta rocciosa ad elevata biodiversità (abbondanti B. mollis e Sertulariella sp, numerosissimi pesci quali C. aper, C. ruber, L. piscatorius, M. scolopax). Verso fine transetto, cresta rocciosa più grande con presenza di una L. glaberrima viva e diverse morte. Deviazione a fine transetto per seguire cresta rocciosa con altre L. glaberrima morte e presenza isolata di D. cornigera. Cidaridi lungo tutto il transetto. </t>
  </si>
  <si>
    <t>Campionato un pezzo di roccia con T4, due Niskin di acqua con gas disciolti su flares, un ramo di L. glaberrima. Trasferimento on deck al 35_T17</t>
  </si>
  <si>
    <t>35_T17</t>
  </si>
  <si>
    <t>400-558</t>
  </si>
  <si>
    <t xml:space="preserve">Transetto prevalentemente su fango con abbondanza di cidaridi e Chlorophtalmus. Rocce sparse con presenza di A. dichotoma. </t>
  </si>
  <si>
    <t>Inizio rientro in porto a Cagliari per cambio turno</t>
  </si>
  <si>
    <t>35_T11</t>
  </si>
  <si>
    <t>572-698</t>
  </si>
  <si>
    <t xml:space="preserve">Fondo fangoso con Keratoisididae sparsi, poche rocce infangate con Parantipathes sp. </t>
  </si>
  <si>
    <t>Interrotto 120 m dalla fine per blackout sistema video e sonar del rov</t>
  </si>
  <si>
    <t>Margherita, Eugenia, Noemi</t>
  </si>
  <si>
    <t>35_T10</t>
  </si>
  <si>
    <t>538-637</t>
  </si>
  <si>
    <t>Fondo prevalenetemente fangoso con colonie di Anthipates sp e Viminella sparse, presenza sporadica di tanatocenosi e roccia.</t>
  </si>
  <si>
    <t>Campionato Viminella con T4, trasferimento on deck al prossimo seamount (Conracya)</t>
  </si>
  <si>
    <t>Matilde, Davide</t>
  </si>
  <si>
    <t>017_CORNACYA_SEAMOUNT</t>
  </si>
  <si>
    <t>17_T03</t>
  </si>
  <si>
    <t>1875-2013</t>
  </si>
  <si>
    <t xml:space="preserve">Fondo fangoso per tutto il transetto, presenza di egagropili (campionata) .  </t>
  </si>
  <si>
    <t>Campionat egagropilo</t>
  </si>
  <si>
    <t>17_T02</t>
  </si>
  <si>
    <t>1602-1874</t>
  </si>
  <si>
    <t>Fondo fangoso con poche rocce completamente nude</t>
  </si>
  <si>
    <t>1 Push corer (n.5)</t>
  </si>
  <si>
    <t>Standby meteo a Cagliari 19-21/01/2026</t>
  </si>
  <si>
    <t>17_T04</t>
  </si>
  <si>
    <t>1787-1429</t>
  </si>
  <si>
    <t>Fondo prevalenetemente fangoso con colonie di Anthipates sp e Parantipathe sp.</t>
  </si>
  <si>
    <t>17_T05</t>
  </si>
  <si>
    <t>1617-2432</t>
  </si>
  <si>
    <t xml:space="preserve">Fondo prevalenetemente fangoso con presenza di vermi donut e di pareti sporadiche di roccia ricorperte con presenza di sclerattinie morte </t>
  </si>
  <si>
    <t>Campionate sclerattinie e verme donut . Fatto un tratto in TMS per velocizzare visto lo scarso interesse biologico</t>
  </si>
  <si>
    <t>Margherita, Eugenia, Noemi, Matilde, Davide</t>
  </si>
  <si>
    <t>17_T06</t>
  </si>
  <si>
    <t>1833-1980</t>
  </si>
  <si>
    <t>SOLO fondo fangoso con qualche A. foliacea sporadica</t>
  </si>
  <si>
    <t>Matilde e Davide</t>
  </si>
  <si>
    <t>17_T01</t>
  </si>
  <si>
    <t>1363-1285</t>
  </si>
  <si>
    <t>SOLO fondo fangoso con qualche Verme Donut</t>
  </si>
  <si>
    <t>Interrotto a 1000m per scarso interesse biologico; registrazione interrotta perchè prima dicono di fare transfer in TMS poi invece lo facciamo on deck (decisione del comandante)</t>
  </si>
  <si>
    <t>Margherita, Noemi, Eugenia</t>
  </si>
  <si>
    <t>17_T09</t>
  </si>
  <si>
    <t>2009-1737</t>
  </si>
  <si>
    <t>Fondo prevalentemente sabbioso</t>
  </si>
  <si>
    <t>17_T07</t>
  </si>
  <si>
    <t>1889-2107</t>
  </si>
  <si>
    <t xml:space="preserve">Fondo TUTTO fangoso con presenza di egagropili  </t>
  </si>
  <si>
    <t>060_QUIRRA_SEAMOUNT</t>
  </si>
  <si>
    <t>60_T01</t>
  </si>
  <si>
    <t>1584-2187</t>
  </si>
  <si>
    <t>Fango e rocce batiali senza alcuna forma di vita, solo 3 spugne e un Lepidion</t>
  </si>
  <si>
    <t>900 m nel TMS per velocizzare visto che è fango desertico</t>
  </si>
  <si>
    <t>60_T02</t>
  </si>
  <si>
    <t>1693-2105</t>
  </si>
  <si>
    <t>Fango e rocce infangate, qualche Lepidion e tante egagropili. Campionato frammento di roccia, sedimento con conchiglie pteropodi e push-corer</t>
  </si>
  <si>
    <t>Matilde, Eugenia, Davide</t>
  </si>
  <si>
    <t>59_T01</t>
  </si>
  <si>
    <t xml:space="preserve">   </t>
  </si>
  <si>
    <t xml:space="preserve">                                 </t>
  </si>
  <si>
    <t xml:space="preserve">                                                                     </t>
  </si>
  <si>
    <t xml:space="preserve">    </t>
  </si>
  <si>
    <t xml:space="preserve">                                    </t>
  </si>
  <si>
    <t xml:space="preserve">                                                                                                 </t>
  </si>
  <si>
    <t xml:space="preserve">                        </t>
  </si>
  <si>
    <t xml:space="preserve">                                             </t>
  </si>
  <si>
    <t>Ora UTC</t>
  </si>
  <si>
    <t>ID_Transetto</t>
  </si>
  <si>
    <t>Operazioni</t>
  </si>
  <si>
    <t>Commento</t>
  </si>
  <si>
    <t>Litter</t>
  </si>
  <si>
    <t>NOTE</t>
  </si>
  <si>
    <t>008_T05</t>
  </si>
  <si>
    <t>Off Deck</t>
  </si>
  <si>
    <t>registrazione interrotta e ripresa subito dopo</t>
  </si>
  <si>
    <t>raggiunto fondo fango con cime</t>
  </si>
  <si>
    <t>Inizio transetto</t>
  </si>
  <si>
    <t xml:space="preserve">Orario da controllare </t>
  </si>
  <si>
    <t>Anfora</t>
  </si>
  <si>
    <t>J219 oggetto ceramica non identificabile</t>
  </si>
  <si>
    <t>anfora</t>
  </si>
  <si>
    <t>numerose spugne bianche e gille su roccia</t>
  </si>
  <si>
    <t>pillow lava</t>
  </si>
  <si>
    <t>roccia lavica con scheletri coralli epibiontati e spugne</t>
  </si>
  <si>
    <t xml:space="preserve">matte batterica? </t>
  </si>
  <si>
    <t>coral rubble sotto roccia</t>
  </si>
  <si>
    <t>scheletro corallo morto</t>
  </si>
  <si>
    <t>coral rubble</t>
  </si>
  <si>
    <t>coral rubble (lophelia?)</t>
  </si>
  <si>
    <t>Fine transetto</t>
  </si>
  <si>
    <t>corallo morto epibiontato</t>
  </si>
  <si>
    <t>008_T14</t>
  </si>
  <si>
    <t>gambero</t>
  </si>
  <si>
    <t>spugne gialle e bianche su roccia</t>
  </si>
  <si>
    <t>b. viridis</t>
  </si>
  <si>
    <t xml:space="preserve">coral rubble </t>
  </si>
  <si>
    <t xml:space="preserve">piccoli zoantidei bianchi su roccia </t>
  </si>
  <si>
    <t>numerose spugne incrostanti gialle</t>
  </si>
  <si>
    <t>Lenza</t>
  </si>
  <si>
    <t>Munida sp.</t>
  </si>
  <si>
    <t>Madrepora prevalentemente morta</t>
  </si>
  <si>
    <t>Pesce (Phycis phycis)</t>
  </si>
  <si>
    <t>P. regalis</t>
  </si>
  <si>
    <t>Pesce</t>
  </si>
  <si>
    <t>Gamberetto</t>
  </si>
  <si>
    <t>Pentaster placenta</t>
  </si>
  <si>
    <t>Pachylasma giganteum</t>
  </si>
  <si>
    <t>Pezzo di rete</t>
  </si>
  <si>
    <t>Polyprion americanus</t>
  </si>
  <si>
    <t>Gracilechinus sp.</t>
  </si>
  <si>
    <t>Benthocometes robustus</t>
  </si>
  <si>
    <t>Sphaerechinus granularis</t>
  </si>
  <si>
    <t>Porifero bianco</t>
  </si>
  <si>
    <t>Gorgonia gialla</t>
  </si>
  <si>
    <t>Ceramester</t>
  </si>
  <si>
    <t>Lophius?</t>
  </si>
  <si>
    <t>008_T04</t>
  </si>
  <si>
    <t>ora reale 21:59</t>
  </si>
  <si>
    <t>Siamo fermi a circa 20 m dal fondo da circa 60 min</t>
  </si>
  <si>
    <t>ROV sul fondo</t>
  </si>
  <si>
    <t>Gadiculs cfr</t>
  </si>
  <si>
    <t>L. caudatus</t>
  </si>
  <si>
    <t>Coral rubble</t>
  </si>
  <si>
    <t>P. placenta</t>
  </si>
  <si>
    <t>Pagello</t>
  </si>
  <si>
    <t>Alcune Isidelle sul transetto</t>
  </si>
  <si>
    <t>Spugna bianca</t>
  </si>
  <si>
    <t xml:space="preserve">Gracilechinus </t>
  </si>
  <si>
    <t>Munida</t>
  </si>
  <si>
    <t>torniamo sul transetto</t>
  </si>
  <si>
    <t>008_T15</t>
  </si>
  <si>
    <t>Arctozenus rissoa</t>
  </si>
  <si>
    <t xml:space="preserve">Scleractinie coloniali </t>
  </si>
  <si>
    <t xml:space="preserve">Spugne bianche </t>
  </si>
  <si>
    <t xml:space="preserve">Crostaceo </t>
  </si>
  <si>
    <t xml:space="preserve">P. placenta </t>
  </si>
  <si>
    <t xml:space="preserve">Cima </t>
  </si>
  <si>
    <t>B. viridis</t>
  </si>
  <si>
    <t>Scleractinie singole</t>
  </si>
  <si>
    <t xml:space="preserve">Spugna bianca </t>
  </si>
  <si>
    <t xml:space="preserve">Aulopus filmentosus </t>
  </si>
  <si>
    <t>Anamathia rissoana O macropodia</t>
  </si>
  <si>
    <t xml:space="preserve">Spinolambrus macrochelos </t>
  </si>
  <si>
    <t xml:space="preserve">Forskalia edwarsi </t>
  </si>
  <si>
    <t>Idrozoi su Leiopathes</t>
  </si>
  <si>
    <t>008_T13</t>
  </si>
  <si>
    <t>Calappa granulata</t>
  </si>
  <si>
    <t>Aristeus antennatus</t>
  </si>
  <si>
    <t>Pesce non identificato</t>
  </si>
  <si>
    <t>Pesce sciabola</t>
  </si>
  <si>
    <t>008_T06</t>
  </si>
  <si>
    <t>Substrato fangoso</t>
  </si>
  <si>
    <t xml:space="preserve">Coral rubble </t>
  </si>
  <si>
    <t xml:space="preserve">molte sugne bianche </t>
  </si>
  <si>
    <t>Farrea bowerbanki</t>
  </si>
  <si>
    <t xml:space="preserve">Pietra rettangolare </t>
  </si>
  <si>
    <t>Isidella rotta</t>
  </si>
  <si>
    <t>008_T01</t>
  </si>
  <si>
    <t xml:space="preserve">Alzato fango da ROV </t>
  </si>
  <si>
    <t>Numerose spugne incorstanti bianche e gialle</t>
  </si>
  <si>
    <t>Calamaro</t>
  </si>
  <si>
    <t>Isidelle morte, scheletri epibiontati</t>
  </si>
  <si>
    <t>Isidella morta</t>
  </si>
  <si>
    <t>Nezumia</t>
  </si>
  <si>
    <t>Loligo sp.</t>
  </si>
  <si>
    <t>No madrepora, Lophelia</t>
  </si>
  <si>
    <t>Spugne incrostanti gialle</t>
  </si>
  <si>
    <t>Spugna bianca massiva</t>
  </si>
  <si>
    <t xml:space="preserve">Munida sp. </t>
  </si>
  <si>
    <t>Isidella elongata</t>
  </si>
  <si>
    <t>J200 bottiglia vetro/ceramica</t>
  </si>
  <si>
    <t>Bottiglia vetro</t>
  </si>
  <si>
    <t>Funicolina dietro isidella</t>
  </si>
  <si>
    <t>Notacanthus bonaparte</t>
  </si>
  <si>
    <t xml:space="preserve">Biologico </t>
  </si>
  <si>
    <t>Camionamento isidella</t>
  </si>
  <si>
    <t xml:space="preserve">Primo box grigio inzio cassetto </t>
  </si>
  <si>
    <t>J234* cime, corde o reti aggrovigliate</t>
  </si>
  <si>
    <t>cima</t>
  </si>
  <si>
    <t>medusa con ombrela scura (Cubomedusa)</t>
  </si>
  <si>
    <t>008_T07</t>
  </si>
  <si>
    <t>T370 sacchetto spazzatura</t>
  </si>
  <si>
    <t>da rivedere, oggetto di plastica</t>
  </si>
  <si>
    <t>Hymenocephalus</t>
  </si>
  <si>
    <t>Lophelia no madrepora</t>
  </si>
  <si>
    <t>Spugne bianche globulari e gialli incrostanti</t>
  </si>
  <si>
    <t>no capros da cancellare, perso camera e registrazione, ripresa poco dopo</t>
  </si>
  <si>
    <t>Zibrowius su callogorgia</t>
  </si>
  <si>
    <t>Pillow lava</t>
  </si>
  <si>
    <t>Nettstoma/Faciollella</t>
  </si>
  <si>
    <t>Spugne bianche e giale incrostanti</t>
  </si>
  <si>
    <t>rov fermo sul punto</t>
  </si>
  <si>
    <t>ripreso transetto</t>
  </si>
  <si>
    <t>Peltaster placenta</t>
  </si>
  <si>
    <t>Spugne bianche globose</t>
  </si>
  <si>
    <t>Peltster placenta</t>
  </si>
  <si>
    <t>ROV fermo per problemi</t>
  </si>
  <si>
    <t>Ripreso il transetto</t>
  </si>
  <si>
    <t>molta corrente</t>
  </si>
  <si>
    <t>Spugne incortanti gialle e bianche globose</t>
  </si>
  <si>
    <t>Spugna globosa</t>
  </si>
  <si>
    <t>Peltaster</t>
  </si>
  <si>
    <t>008_T03</t>
  </si>
  <si>
    <t>Spugne gialle e bianche incrostanti</t>
  </si>
  <si>
    <t>Scheletro di Callogorgia epifitata</t>
  </si>
  <si>
    <t>Numerose callogorgie morte</t>
  </si>
  <si>
    <t>Spugna gialla</t>
  </si>
  <si>
    <t>Numerose spugne globose bianche e incorsranti gialle</t>
  </si>
  <si>
    <t>P. monillifera</t>
  </si>
  <si>
    <t>Lophelia morta</t>
  </si>
  <si>
    <t>Scheletri callogorgia a terra</t>
  </si>
  <si>
    <t>Spugne bianche e gialli incrostanti</t>
  </si>
  <si>
    <t>Facciolella</t>
  </si>
  <si>
    <t>008_T02</t>
  </si>
  <si>
    <t>Spugne bianche e gialle incrostanti</t>
  </si>
  <si>
    <t>Corallo morto</t>
  </si>
  <si>
    <t>no helicolenus ma spugna bianca</t>
  </si>
  <si>
    <t>Muida sp.</t>
  </si>
  <si>
    <t>Gorgonia su fango (Bebryce?)</t>
  </si>
  <si>
    <t>Box blu</t>
  </si>
  <si>
    <t>Campionameno gongonia segna come Cnidari 600-1000</t>
  </si>
  <si>
    <t>Facciollella/nettastoma</t>
  </si>
  <si>
    <t>B. maravigna</t>
  </si>
  <si>
    <t>Coral Rubble</t>
  </si>
  <si>
    <t>Stella sul fondo</t>
  </si>
  <si>
    <t>008_T12</t>
  </si>
  <si>
    <t>Niskin</t>
  </si>
  <si>
    <t>Attesa sul fando settaggi tecnici</t>
  </si>
  <si>
    <t>Rirpendiamo il transetto</t>
  </si>
  <si>
    <t>Nezumia aequalis</t>
  </si>
  <si>
    <t>H. italicus</t>
  </si>
  <si>
    <t>Galeus melastomus</t>
  </si>
  <si>
    <t>008_T10</t>
  </si>
  <si>
    <t>Segni di attrezzi da pesca sul fondo</t>
  </si>
  <si>
    <t>A. rissoana</t>
  </si>
  <si>
    <t>Sostituire L. caudatus con Celorinchus</t>
  </si>
  <si>
    <t>Stella bianca</t>
  </si>
  <si>
    <t>Push-corer</t>
  </si>
  <si>
    <t>Una carota a 1019</t>
  </si>
  <si>
    <t>Hymenodiscus? su fango</t>
  </si>
  <si>
    <t>Numerosi Foraminiferi su fango</t>
  </si>
  <si>
    <t>Zoom su foraminiferi</t>
  </si>
  <si>
    <t>Gasteropode Charonia?</t>
  </si>
  <si>
    <t>gamberetto</t>
  </si>
  <si>
    <t>2 seppie strisciano</t>
  </si>
  <si>
    <t>Hymenocephalus qulache secondo prima</t>
  </si>
  <si>
    <t xml:space="preserve">Hymenocephalus </t>
  </si>
  <si>
    <t>Paguro</t>
  </si>
  <si>
    <t>Hymonocephalus</t>
  </si>
  <si>
    <t>Anemone su fango</t>
  </si>
  <si>
    <t>Arrivo sul fondo; stand by</t>
  </si>
  <si>
    <t>Laser scan</t>
  </si>
  <si>
    <t>Inizio LS</t>
  </si>
  <si>
    <t>Fine LS</t>
  </si>
  <si>
    <t>Inizio transetto multibeam+test LS con luci</t>
  </si>
  <si>
    <t>Spostamento verso punto a medrepora</t>
  </si>
  <si>
    <t>Inizio LS su coral reef</t>
  </si>
  <si>
    <t>Inizio nuovo transetto</t>
  </si>
  <si>
    <t>Fine transetto LS</t>
  </si>
  <si>
    <t>Nuovo transetto LS</t>
  </si>
  <si>
    <t>Verificare orario fine transetto</t>
  </si>
  <si>
    <t>nuovo transetto LS</t>
  </si>
  <si>
    <t>fine transetto LS</t>
  </si>
  <si>
    <t>stanby da survey</t>
  </si>
  <si>
    <t>Inzio risalita</t>
  </si>
  <si>
    <t>On Deck</t>
  </si>
  <si>
    <t>Spugna sul fondo?</t>
  </si>
  <si>
    <t>Ceriantide</t>
  </si>
  <si>
    <t>Spugne bianca</t>
  </si>
  <si>
    <t xml:space="preserve">Diverse piccole S. pallida </t>
  </si>
  <si>
    <t xml:space="preserve">Acantogordiae numerose </t>
  </si>
  <si>
    <t xml:space="preserve">Probabili S. pallida </t>
  </si>
  <si>
    <t>I. coidetti</t>
  </si>
  <si>
    <t>Numerose s. pallida</t>
  </si>
  <si>
    <t>Pesce incastrato</t>
  </si>
  <si>
    <t xml:space="preserve">Ancantogorgidea dense su roccia </t>
  </si>
  <si>
    <t>Munida sp</t>
  </si>
  <si>
    <t>S.pallida</t>
  </si>
  <si>
    <t xml:space="preserve">Campionamento acantogorgide e substrato spugnoso </t>
  </si>
  <si>
    <t>Spugna Lietistidae ricoperta di ossidi</t>
  </si>
  <si>
    <t xml:space="preserve">Spugna per lavare I piatti </t>
  </si>
  <si>
    <t>Madrepora o lophelia su lenza</t>
  </si>
  <si>
    <t>M. scolopax</t>
  </si>
  <si>
    <t>A. filamentosus</t>
  </si>
  <si>
    <t xml:space="preserve">Pesce nascosto </t>
  </si>
  <si>
    <t>Crostaceo</t>
  </si>
  <si>
    <t>H.mediterraneus</t>
  </si>
  <si>
    <t>Lenza lunghissima epifitata con idroidi</t>
  </si>
  <si>
    <t>H. attenuata</t>
  </si>
  <si>
    <t>Sabellidae</t>
  </si>
  <si>
    <t>Sabllidae</t>
  </si>
  <si>
    <t>Cime</t>
  </si>
  <si>
    <t>Serranidae</t>
  </si>
  <si>
    <t>Plesionika</t>
  </si>
  <si>
    <t>stella marina</t>
  </si>
  <si>
    <t>Idrozoi</t>
  </si>
  <si>
    <t>Sponge ground</t>
  </si>
  <si>
    <t>Stella marina</t>
  </si>
  <si>
    <t>H. papillosa</t>
  </si>
  <si>
    <t>Piccola gorgonia bianca</t>
  </si>
  <si>
    <t>Echinaster</t>
  </si>
  <si>
    <t>Spugna su detritico</t>
  </si>
  <si>
    <t>Spirografo</t>
  </si>
  <si>
    <t>Uova di L. vulgaris</t>
  </si>
  <si>
    <t>Serrnidae</t>
  </si>
  <si>
    <t>Pagrus pagrus</t>
  </si>
  <si>
    <t>Astrospartus</t>
  </si>
  <si>
    <t>Litocarpia</t>
  </si>
  <si>
    <t>Sponge ground con Axinellae</t>
  </si>
  <si>
    <t>Corvina</t>
  </si>
  <si>
    <t>Spugna nera</t>
  </si>
  <si>
    <t>Muraena helena</t>
  </si>
  <si>
    <t>Dentex dentex</t>
  </si>
  <si>
    <t>Togliere blenoide e mettere Phycis phycis</t>
  </si>
  <si>
    <t>Parete a idroidi</t>
  </si>
  <si>
    <t>Phycis phycis</t>
  </si>
  <si>
    <t>Artificiale per pescare</t>
  </si>
  <si>
    <t>Holothuria sp.</t>
  </si>
  <si>
    <t>Diplodus vulgaris</t>
  </si>
  <si>
    <t>Pausa per allineamento con TMS</t>
  </si>
  <si>
    <t>Transetto ripreso</t>
  </si>
  <si>
    <t>E. sepositus</t>
  </si>
  <si>
    <t>Sugna su detrito</t>
  </si>
  <si>
    <t>Mattone</t>
  </si>
  <si>
    <t>Spugne bianche su detritico</t>
  </si>
  <si>
    <t>Stella arancione</t>
  </si>
  <si>
    <t>Presenza di alghe brune</t>
  </si>
  <si>
    <t>Aplysina cavernicola</t>
  </si>
  <si>
    <t>Fine Transetto</t>
  </si>
  <si>
    <t>cfr V. mirabilis</t>
  </si>
  <si>
    <t>P.placenta</t>
  </si>
  <si>
    <t>P. eritrinus</t>
  </si>
  <si>
    <t>Scorpaena elongata</t>
  </si>
  <si>
    <t>Spatangus</t>
  </si>
  <si>
    <t>Flares</t>
  </si>
  <si>
    <t>Numoerosi rifiuti concentrati</t>
  </si>
  <si>
    <t>B. mollis</t>
  </si>
  <si>
    <t>numerose uova di elasmobranchi</t>
  </si>
  <si>
    <t>Pesce piatto</t>
  </si>
  <si>
    <t>capsula di elasmobranco</t>
  </si>
  <si>
    <t>Lepidorhombus whiffiagonis</t>
  </si>
  <si>
    <t>Facciolella/Nettastoma</t>
  </si>
  <si>
    <t xml:space="preserve">Blocchi di cemento </t>
  </si>
  <si>
    <t>cfr Dendropbrachia bonsai</t>
  </si>
  <si>
    <t xml:space="preserve">M. helena </t>
  </si>
  <si>
    <t>Serranide</t>
  </si>
  <si>
    <t xml:space="preserve">filograna </t>
  </si>
  <si>
    <t xml:space="preserve">Blocco di cemento </t>
  </si>
  <si>
    <t>Zeus faber</t>
  </si>
  <si>
    <t xml:space="preserve">Mollusco gigante </t>
  </si>
  <si>
    <t>Serrano</t>
  </si>
  <si>
    <t>Pagello bagaravero da cancellare</t>
  </si>
  <si>
    <t>E. melo</t>
  </si>
  <si>
    <t>Pleisionika</t>
  </si>
  <si>
    <t>pagrus pagrus</t>
  </si>
  <si>
    <t>Zeus faber molti</t>
  </si>
  <si>
    <t>P. elephas</t>
  </si>
  <si>
    <t>Uova loligo</t>
  </si>
  <si>
    <t>M. helena</t>
  </si>
  <si>
    <t>Arachnantus oligopodus</t>
  </si>
  <si>
    <t>Bottiglia di vetro</t>
  </si>
  <si>
    <t>numerosi Arachnantus oligopodus</t>
  </si>
  <si>
    <t>Spinolambrus macrochelus</t>
  </si>
  <si>
    <t>Hymenodiscus coronata</t>
  </si>
  <si>
    <t>Lepidorhombus sp.</t>
  </si>
  <si>
    <t>Gasteropode</t>
  </si>
  <si>
    <t>Hyalinoecia tubicola</t>
  </si>
  <si>
    <t>Arachnantus oligopodus sparsi</t>
  </si>
  <si>
    <t>B. mollis sparse anche prima della prima segnalazione</t>
  </si>
  <si>
    <t>Pesce infossato cfr Ophisurus serpens</t>
  </si>
  <si>
    <t>Astrospartus mediterraneus</t>
  </si>
  <si>
    <t>Aggregazione densa e diversificata gorgonie</t>
  </si>
  <si>
    <t>Villogorgia, non eunicella</t>
  </si>
  <si>
    <t>Octopus vulgaris</t>
  </si>
  <si>
    <t>Ophidiaster ophidianus</t>
  </si>
  <si>
    <t>Anthias anthias</t>
  </si>
  <si>
    <t>Serranus cabrilla</t>
  </si>
  <si>
    <t>Numerose Chirnonephthya</t>
  </si>
  <si>
    <t>Numerose spugne gialle incrostanti cfr Aplysina aerophoba</t>
  </si>
  <si>
    <t>cfr Pachastrella monilifera</t>
  </si>
  <si>
    <t>J175 lattina</t>
  </si>
  <si>
    <t>Banco di Anthias anthias</t>
  </si>
  <si>
    <t>segnato per sbaglio Kophoblemnon al posto di Chironephthya</t>
  </si>
  <si>
    <t>Eunicella/Muriceides</t>
  </si>
  <si>
    <t>Lasciato su box grigio</t>
  </si>
  <si>
    <t>Secondo campione E. verrucosa</t>
  </si>
  <si>
    <t>Foresta viminella</t>
  </si>
  <si>
    <t>Epinephelus caninus/marginata</t>
  </si>
  <si>
    <t>Serramus cabrilla</t>
  </si>
  <si>
    <t>Video interrotto e poi ripreso</t>
  </si>
  <si>
    <t>Tappo di plastica</t>
  </si>
  <si>
    <t>J241 oggetto plastica rigida</t>
  </si>
  <si>
    <t>Anseropoda placenta</t>
  </si>
  <si>
    <t>bottiglia vetro</t>
  </si>
  <si>
    <t>Pteroctopus tetracirrhus</t>
  </si>
  <si>
    <t>Peltaster/Ceramaster</t>
  </si>
  <si>
    <t>Bonellia viridis</t>
  </si>
  <si>
    <t>Granchio nascosto</t>
  </si>
  <si>
    <t>Sempre stessa cima</t>
  </si>
  <si>
    <t>Spinolambrus macrocephalus</t>
  </si>
  <si>
    <t>J204 tegola/mattone/piastrella</t>
  </si>
  <si>
    <t>Aulopus filamentosus</t>
  </si>
  <si>
    <t>Leiopathes glaberrima</t>
  </si>
  <si>
    <t>Anamathia rrissoana</t>
  </si>
  <si>
    <t>Callianthias ruber</t>
  </si>
  <si>
    <t>Leiodermatium spp.</t>
  </si>
  <si>
    <t>Macroramphosus scolopax</t>
  </si>
  <si>
    <t>Spugna con idroidi</t>
  </si>
  <si>
    <t>Non polyprion ma Epinephelus caninus</t>
  </si>
  <si>
    <t>Anamathia rissoana</t>
  </si>
  <si>
    <t>Cliccato per sbaglio cnidari invece di pesci</t>
  </si>
  <si>
    <t>Box grigio</t>
  </si>
  <si>
    <t>stella</t>
  </si>
  <si>
    <t>E. caninus</t>
  </si>
  <si>
    <t>Inizio</t>
  </si>
  <si>
    <t>Fine</t>
  </si>
  <si>
    <t>Riprendiamo il transetto</t>
  </si>
  <si>
    <t>Cefalopode</t>
  </si>
  <si>
    <t>Scorpanea elongata</t>
  </si>
  <si>
    <t>Zoantideo</t>
  </si>
  <si>
    <t>B. robustus</t>
  </si>
  <si>
    <t>Cariophyllia</t>
  </si>
  <si>
    <t>Motore di imbarcazione</t>
  </si>
  <si>
    <t>A. placenta</t>
  </si>
  <si>
    <t>Inizio problema con lenza</t>
  </si>
  <si>
    <t>Fine problema con lenza</t>
  </si>
  <si>
    <t xml:space="preserve">Trachurus </t>
  </si>
  <si>
    <t>Echinocardium</t>
  </si>
  <si>
    <t>cfr A. rissoana</t>
  </si>
  <si>
    <t>Ecinocardium</t>
  </si>
  <si>
    <t>Conger conger</t>
  </si>
  <si>
    <t>S. canicula</t>
  </si>
  <si>
    <t xml:space="preserve"> Spinolambrus macrochelos</t>
  </si>
  <si>
    <t>Torniamo indietro sull'anomali per campionare con Niskin</t>
  </si>
  <si>
    <t>L. glaberrima</t>
  </si>
  <si>
    <t>Possibile matte batterica</t>
  </si>
  <si>
    <t>P. larix</t>
  </si>
  <si>
    <t>premuto per sbaglio Inizio transetto invece di cidaride</t>
  </si>
  <si>
    <t>Nastro</t>
  </si>
  <si>
    <t>J145 altro tessile nd</t>
  </si>
  <si>
    <t>Cavo, non lenza</t>
  </si>
  <si>
    <t xml:space="preserve"> Numerosi epigonidi</t>
  </si>
  <si>
    <t>Fotogrammetria</t>
  </si>
  <si>
    <t>Lepidorhombus whiffiagonis da verificare</t>
  </si>
  <si>
    <t>Vetro</t>
  </si>
  <si>
    <t>Pesce da rivedere</t>
  </si>
  <si>
    <t>Oggetto in plastica come busta o pezzo di telo</t>
  </si>
  <si>
    <t>J13 bottiglia o contenitore plastica</t>
  </si>
  <si>
    <t>Piccola aggregazione di gorgonie</t>
  </si>
  <si>
    <t>Pezzo di corda o cavo</t>
  </si>
  <si>
    <t>Più di un segno di stella infossata, forse Anseropoda placenta</t>
  </si>
  <si>
    <t>Nezumia sp.</t>
  </si>
  <si>
    <t>Tessuto</t>
  </si>
  <si>
    <t>Cima con rete</t>
  </si>
  <si>
    <t>Numerose stelle infossate, forse Anseropoda placenta</t>
  </si>
  <si>
    <t>Alcune Acanthogorgiidae</t>
  </si>
  <si>
    <t>Piccolo cefalopode</t>
  </si>
  <si>
    <t>Numerosi Chlorophtalmus</t>
  </si>
  <si>
    <t>Segni di stelle infossate</t>
  </si>
  <si>
    <t>Busta plastica</t>
  </si>
  <si>
    <t>G67 imballaggio/telo industriale</t>
  </si>
  <si>
    <t>Callistoctopus macropus</t>
  </si>
  <si>
    <t>Lattina</t>
  </si>
  <si>
    <t>Pezzo di busta di plastica</t>
  </si>
  <si>
    <t>numerosi Chlorophtalmus</t>
  </si>
  <si>
    <t>Cernia</t>
  </si>
  <si>
    <t>numerose Peltaster placenta</t>
  </si>
  <si>
    <t>Scorpaena scrofa/elongata</t>
  </si>
  <si>
    <t>Callogorgia epibiontata strana</t>
  </si>
  <si>
    <t>Aggregazione mista coralli neri e gorgonie</t>
  </si>
  <si>
    <t>Anthias antthias</t>
  </si>
  <si>
    <t>Numerosi Anthias anthias</t>
  </si>
  <si>
    <t>Scorpaena scrofa</t>
  </si>
  <si>
    <t>Mullus surmuletus</t>
  </si>
  <si>
    <t>tessuto</t>
  </si>
  <si>
    <t>Dive per campionamento Niskin</t>
  </si>
  <si>
    <t>S. caulodius</t>
  </si>
  <si>
    <t>Eseguito su fango a 635 m</t>
  </si>
  <si>
    <t>Segni di strascico</t>
  </si>
  <si>
    <t xml:space="preserve">A. antennatus </t>
  </si>
  <si>
    <t>Segno di strascico</t>
  </si>
  <si>
    <t>Ceramaster</t>
  </si>
  <si>
    <t>Isidella o funiculina o boh</t>
  </si>
  <si>
    <t>Campione effettivo alle ore 05:04:00</t>
  </si>
  <si>
    <t>Rov in acqua</t>
  </si>
  <si>
    <t>Problema con fishing line impigliate TMS</t>
  </si>
  <si>
    <t>ROV on deck per problema con fishing lines</t>
  </si>
  <si>
    <t>pesce tipo stomias</t>
  </si>
  <si>
    <t>da rivedere</t>
  </si>
  <si>
    <t>Nezumia cf.equalis</t>
  </si>
  <si>
    <t>da ricontrollare</t>
  </si>
  <si>
    <t>Hymenocephalus italicus</t>
  </si>
  <si>
    <t>Radichetta di isidella</t>
  </si>
  <si>
    <t>Protoptilum carpenterii</t>
  </si>
  <si>
    <t>Cerianthidae</t>
  </si>
  <si>
    <t>Holoturia</t>
  </si>
  <si>
    <t>Facciolella da verificare</t>
  </si>
  <si>
    <t>Campionamento abortito</t>
  </si>
  <si>
    <t>Campionamento substrato con push-corer</t>
  </si>
  <si>
    <t>Campionamento di substrato effettuato con braccio manipolatore e NON con push-corer</t>
  </si>
  <si>
    <t>Sclerattinie solitarie</t>
  </si>
  <si>
    <t>Idroidi</t>
  </si>
  <si>
    <t xml:space="preserve">Pachycerianthus sp. </t>
  </si>
  <si>
    <t>Spugna globosa bianca</t>
  </si>
  <si>
    <t>Ben visibile da video</t>
  </si>
  <si>
    <t>Segni di strascico fino alla fine del transetto</t>
  </si>
  <si>
    <t>Segnato forse qualche minuto in ritardo. Inizio traferimento in LARS verso T_06</t>
  </si>
  <si>
    <t>ROV in acqua</t>
  </si>
  <si>
    <t>cfr Stomias</t>
  </si>
  <si>
    <t>Pachastrella monilifera</t>
  </si>
  <si>
    <t>Segnato pesce anziché cnidario</t>
  </si>
  <si>
    <t>Nezumia cf. aequalis</t>
  </si>
  <si>
    <t>Protoptilum carpenteri</t>
  </si>
  <si>
    <t>Aristaeus antennatus</t>
  </si>
  <si>
    <t>Bottiglia di plastica</t>
  </si>
  <si>
    <t>Busta spazzatura nera</t>
  </si>
  <si>
    <t>Porifero bianco massivo</t>
  </si>
  <si>
    <t>MDAC - Methane-Derived Authigenic Carbonates</t>
  </si>
  <si>
    <t>Teglia in alluminio</t>
  </si>
  <si>
    <t>Paromola cuvieri</t>
  </si>
  <si>
    <t>Segnato per sbaglio Dendrobrachia invece di Bebryce</t>
  </si>
  <si>
    <t>base di Isidella elongata</t>
  </si>
  <si>
    <t>Briozoi</t>
  </si>
  <si>
    <t>Spunga bianca</t>
  </si>
  <si>
    <t>P. cuvieri</t>
  </si>
  <si>
    <t>C. rubrum</t>
  </si>
  <si>
    <t>diverse formazioni MDAC - Methane-Derived Authigenic Carbonates</t>
  </si>
  <si>
    <t>Phycis</t>
  </si>
  <si>
    <t>Ripercorriamo le stesse rocce per esplorare l'altro lato del gruppo roccioso</t>
  </si>
  <si>
    <t>Tornati al punto precedente, procediamo ad esplorare l'altro lato</t>
  </si>
  <si>
    <t>Zoantidei</t>
  </si>
  <si>
    <t>Corpo morto di cemento</t>
  </si>
  <si>
    <t>Mooring</t>
  </si>
  <si>
    <t>H. mediterraneous</t>
  </si>
  <si>
    <t>Muriceides lepida</t>
  </si>
  <si>
    <t>D. bonsai</t>
  </si>
  <si>
    <t>F. edwarsi</t>
  </si>
  <si>
    <t>A. antennatus</t>
  </si>
  <si>
    <t>Zibrowius primnoidus</t>
  </si>
  <si>
    <t>C. agasizzi</t>
  </si>
  <si>
    <t>pesce accetta</t>
  </si>
  <si>
    <t>Cubomedusa</t>
  </si>
  <si>
    <t>G. melastomus</t>
  </si>
  <si>
    <t>giovanile</t>
  </si>
  <si>
    <t>P. longirostris</t>
  </si>
  <si>
    <t>cancellare I. elongata</t>
  </si>
  <si>
    <t>Callogorgia con Zibrowius primnoidus</t>
  </si>
  <si>
    <t>esemplari di Callogorgia visibimente impattati</t>
  </si>
  <si>
    <t>Chlorophthalmus agassizi</t>
  </si>
  <si>
    <t>Spugne gialle incrostanti e bianche globose</t>
  </si>
  <si>
    <t>Piccola Leiopathes</t>
  </si>
  <si>
    <t>Base di Isidella</t>
  </si>
  <si>
    <t>Retinata fango con tubicini</t>
  </si>
  <si>
    <t xml:space="preserve">Prelievo di sedimento con scoopnet </t>
  </si>
  <si>
    <t>Epigonidi</t>
  </si>
  <si>
    <t>Swiftia pallida</t>
  </si>
  <si>
    <t>Spugne bianche e gialle incrosanti</t>
  </si>
  <si>
    <t>cfr Paramuricea macrospina</t>
  </si>
  <si>
    <t>Previevo con braccio manipolatore di P. macrospina</t>
  </si>
  <si>
    <t>Epizoanthus sp.</t>
  </si>
  <si>
    <t>Prelevato con braccio manipolatore ramo necrotico di L. glaberrima epibiontato da Epizoanthus sp.</t>
  </si>
  <si>
    <t>L. glaberrima epibiontata</t>
  </si>
  <si>
    <t>Cliccato E. verrucosa al posto di cnidari</t>
  </si>
  <si>
    <t>Presente anche su altre C. verticillata in questo transetto</t>
  </si>
  <si>
    <t xml:space="preserve">Colonia di C. verticillata o L. glaberrima impigliata in lenze, necrotica ed epibiontata </t>
  </si>
  <si>
    <t xml:space="preserve">Anamathia rissoana </t>
  </si>
  <si>
    <t>Fotogrammetria su L. glaberrima</t>
  </si>
  <si>
    <t>piccole sogliole</t>
  </si>
  <si>
    <t>Inizio rec prima del transetto</t>
  </si>
  <si>
    <t>Altezza maggiore dal fondo</t>
  </si>
  <si>
    <t>Bicchiere di plastica</t>
  </si>
  <si>
    <t>Frammenti di plastica</t>
  </si>
  <si>
    <t>Frammenti di plastica sparsi</t>
  </si>
  <si>
    <t>Rubble con spazzatura</t>
  </si>
  <si>
    <t>Epizoanthus sp. su Madrepora</t>
  </si>
  <si>
    <t>Numerose colonie di C. rubrum</t>
  </si>
  <si>
    <t>Numerose spugne bianche nd</t>
  </si>
  <si>
    <t>Cima</t>
  </si>
  <si>
    <t>Spugne infangate</t>
  </si>
  <si>
    <t>epigonide</t>
  </si>
  <si>
    <t>cfr Aristaeus antennatus</t>
  </si>
  <si>
    <t>Epigonide</t>
  </si>
  <si>
    <t>Numerosi crostacei</t>
  </si>
  <si>
    <t>Spugne lollipop</t>
  </si>
  <si>
    <t xml:space="preserve">Pezzo di vaso in argilla </t>
  </si>
  <si>
    <t>Idroidi su scheletro di Callogorgia</t>
  </si>
  <si>
    <t>S. elomngata</t>
  </si>
  <si>
    <t>P. bogaraveo</t>
  </si>
  <si>
    <t>Callogorgia rovinate</t>
  </si>
  <si>
    <t>Plastica</t>
  </si>
  <si>
    <t xml:space="preserve"> cfr Pesce accetta</t>
  </si>
  <si>
    <t>Gambero</t>
  </si>
  <si>
    <t>Possibili segni di strascico</t>
  </si>
  <si>
    <t>A. foliacea</t>
  </si>
  <si>
    <t>cfr A. foliacea</t>
  </si>
  <si>
    <t>Pesce accetta</t>
  </si>
  <si>
    <t>MDAC</t>
  </si>
  <si>
    <t>Plesonika</t>
  </si>
  <si>
    <t>Corpo morto (blocco di cemento)</t>
  </si>
  <si>
    <t>Struttura rocciosa esposta cilindrica con piccole callogorgia, D. bonsai e P. giganteum</t>
  </si>
  <si>
    <t>Arrivo sul punto del T07</t>
  </si>
  <si>
    <t>D. bonsaii</t>
  </si>
  <si>
    <t>J59* lenza nylon</t>
  </si>
  <si>
    <t>C. granulata</t>
  </si>
  <si>
    <t>Faccionella</t>
  </si>
  <si>
    <t xml:space="preserve">Lollipop spugna </t>
  </si>
  <si>
    <t>Arrivati quasi sul punto del T06, ma si è rotto il cesto del push-corer, risalgono sul deck per aggiustarlo</t>
  </si>
  <si>
    <t>L. vulgaris</t>
  </si>
  <si>
    <t xml:space="preserve">cfr Plesionika sp. numerosi </t>
  </si>
  <si>
    <t>Numerose D. bonsai</t>
  </si>
  <si>
    <t>Numerosi Plesionika narval</t>
  </si>
  <si>
    <t>Problema con lenze. Risaliti al TMS</t>
  </si>
  <si>
    <t>Risaliti a al TMS e spostati 100 m più avanti</t>
  </si>
  <si>
    <t>Ripresa transetto</t>
  </si>
  <si>
    <t>Numerose S. pallida</t>
  </si>
  <si>
    <t>C. verticillata danneggiata</t>
  </si>
  <si>
    <t>Pezzo di plastica</t>
  </si>
  <si>
    <t>Alcune C. verticillata piccole</t>
  </si>
  <si>
    <t>Numerose C. verticillata danneggiate</t>
  </si>
  <si>
    <t xml:space="preserve">Pezzo di plastica con sopra B. mollis e C. verticillata, segnato come substrato artificiale </t>
  </si>
  <si>
    <t>Segnata C. verticillata invece di Isidella elongata</t>
  </si>
  <si>
    <t>Calistoctopus macropttopus</t>
  </si>
  <si>
    <t>paguro</t>
  </si>
  <si>
    <t>Benthocometes</t>
  </si>
  <si>
    <t>Numerose C. verticillata spezzate</t>
  </si>
  <si>
    <t xml:space="preserve">Numerose Munida sp. </t>
  </si>
  <si>
    <t>Continuano numerose C. verticillata spezzate ed epibiontate</t>
  </si>
  <si>
    <t>Numerose C. verticillata di grandi dimensioni</t>
  </si>
  <si>
    <t>Segno strascico</t>
  </si>
  <si>
    <t>Uova di gattuccio</t>
  </si>
  <si>
    <t>Spugna con briozoi</t>
  </si>
  <si>
    <t>I. elongata</t>
  </si>
  <si>
    <t>I. elongata su roccia</t>
  </si>
  <si>
    <t>C. verticillata morta</t>
  </si>
  <si>
    <t>Anamthia rissoana</t>
  </si>
  <si>
    <t>Lepidorhombus</t>
  </si>
  <si>
    <t>prova scrittura contemporanea riuscita</t>
  </si>
  <si>
    <t>segni evidenti di strascico</t>
  </si>
  <si>
    <t>cerianto</t>
  </si>
  <si>
    <t>ALDFG</t>
  </si>
  <si>
    <t>J54* rete/pezzo rete &gt;50cm</t>
  </si>
  <si>
    <t>ALDFG (blocco di cemento)</t>
  </si>
  <si>
    <t>groviglio di lenze</t>
  </si>
  <si>
    <t>crostaceo</t>
  </si>
  <si>
    <t>facciolella</t>
  </si>
  <si>
    <t>busta di plastica</t>
  </si>
  <si>
    <t>Isidella</t>
  </si>
  <si>
    <t>Cerianto</t>
  </si>
  <si>
    <t>Polpo da cercare</t>
  </si>
  <si>
    <t xml:space="preserve">lollipop Spugna </t>
  </si>
  <si>
    <t>Lenza sul rov</t>
  </si>
  <si>
    <t>cubomedusa</t>
  </si>
  <si>
    <t>A.rissoana</t>
  </si>
  <si>
    <t>C. sloani</t>
  </si>
  <si>
    <t>Chauliodus sloani</t>
  </si>
  <si>
    <t>Lollipop sponges</t>
  </si>
  <si>
    <t>Facciolella oxyrhyncha</t>
  </si>
  <si>
    <t>Grossa cima</t>
  </si>
  <si>
    <t>cfr video</t>
  </si>
  <si>
    <t>Bicchiere di plastica e cimetta</t>
  </si>
  <si>
    <t>Lollipop sponge</t>
  </si>
  <si>
    <t>Zoom su lollipop sponge</t>
  </si>
  <si>
    <t>Campionata la lollipop sponge zoomata alle h 07:39:25</t>
  </si>
  <si>
    <t>Numerose piccole cime</t>
  </si>
  <si>
    <t>Numerose lollipop sponge sparse</t>
  </si>
  <si>
    <t>Segnare come Isidella, non come Funiculina</t>
  </si>
  <si>
    <t>Impatto simil scatola di metallo/plastica</t>
  </si>
  <si>
    <t>J199 altro oggetto di metallo &gt; 50 cm</t>
  </si>
  <si>
    <t>scouting MBES + LASER SCAN</t>
  </si>
  <si>
    <t>prova</t>
  </si>
  <si>
    <t>colonie grandi</t>
  </si>
  <si>
    <t>Cerianthus sp.</t>
  </si>
  <si>
    <t>Nettastoma melanurum</t>
  </si>
  <si>
    <t>campionamento</t>
  </si>
  <si>
    <t>Parantipathes sp.</t>
  </si>
  <si>
    <t>Porifera nd</t>
  </si>
  <si>
    <t>substrato</t>
  </si>
  <si>
    <t xml:space="preserve">roccia isolata </t>
  </si>
  <si>
    <t>spugne bianche a pallina</t>
  </si>
  <si>
    <t>Myctophidae nd.</t>
  </si>
  <si>
    <t>Phycis blennoides</t>
  </si>
  <si>
    <t xml:space="preserve">ricontrollare specie </t>
  </si>
  <si>
    <t>fine bamboo corals su fango</t>
  </si>
  <si>
    <t>roccia infangata con biocostruzione</t>
  </si>
  <si>
    <t>Muriceides sp.</t>
  </si>
  <si>
    <t>zoaintedeo parassita</t>
  </si>
  <si>
    <t>forte pendenza</t>
  </si>
  <si>
    <t>interrotto prima del termine della linea per monotonia del fondale</t>
  </si>
  <si>
    <t>Stomias boa</t>
  </si>
  <si>
    <t xml:space="preserve">Aristeus antennatus </t>
  </si>
  <si>
    <t xml:space="preserve">controllare scylliorinus </t>
  </si>
  <si>
    <t>Hymaenocephalus italicus</t>
  </si>
  <si>
    <t>bicchiere plastica</t>
  </si>
  <si>
    <t>Stomias boa e Nettastoma melanurus x 3 esemplari</t>
  </si>
  <si>
    <t>Rifiuti vari, lenza metallo plastica</t>
  </si>
  <si>
    <t>Nezumia aequalis 2 esemplari</t>
  </si>
  <si>
    <t>Verie, su lenza epizoantata</t>
  </si>
  <si>
    <t>Ci fermiamo per lenza e risaliamo</t>
  </si>
  <si>
    <t>Decidiamo di interrompere il transetto</t>
  </si>
  <si>
    <t>spostamento da transetto 06 a transetto 20 sul TMS</t>
  </si>
  <si>
    <t>Risaliti in superficie per incoccio con lenza</t>
  </si>
  <si>
    <t>Rov nel deck alle 9:15 UTC</t>
  </si>
  <si>
    <t>segni di strascico</t>
  </si>
  <si>
    <t>allungato il transetto di 200 m per incrociare zona ad alto backscatter, esito negativo.</t>
  </si>
  <si>
    <t>fondo fangoso e segni strascico</t>
  </si>
  <si>
    <t>Lepidorhombus sp</t>
  </si>
  <si>
    <t>segni di strascico con agglomerati fangosi, sferici, tipo rodoliti</t>
  </si>
  <si>
    <t>tentativo di campionamento di alcionaceo nd</t>
  </si>
  <si>
    <t>Roccia con alcionaceo</t>
  </si>
  <si>
    <t>Paramola cuvieri con plastica</t>
  </si>
  <si>
    <t>Tanatocenosi a corallo non abbondante</t>
  </si>
  <si>
    <t>D. dianthus su scheletro di Viminella e zoantari epibionti</t>
  </si>
  <si>
    <t>Amphiantus dohrni</t>
  </si>
  <si>
    <t>Eximodea atlantica a profondit' anomala</t>
  </si>
  <si>
    <t>Aulopus filamenosus</t>
  </si>
  <si>
    <t>Epizoanthus su Viminella</t>
  </si>
  <si>
    <t>Poriferi bianchi a pallina</t>
  </si>
  <si>
    <t>Sertularella sp.</t>
  </si>
  <si>
    <t>Spugna bianca a pallina</t>
  </si>
  <si>
    <t>Inizio parete</t>
  </si>
  <si>
    <t>Campionamento A. dichotoma</t>
  </si>
  <si>
    <t>Epizoanthus su Lophelia</t>
  </si>
  <si>
    <t>inizio campionamento</t>
  </si>
  <si>
    <t>Parete vericale</t>
  </si>
  <si>
    <t>Bactinectes maravigna</t>
  </si>
  <si>
    <t>Anamanthia rissoana su Leiopathes</t>
  </si>
  <si>
    <t>Isidella su tanatocenosi</t>
  </si>
  <si>
    <t xml:space="preserve">Anamanthia rissoana </t>
  </si>
  <si>
    <t>Nettastoma melanorum</t>
  </si>
  <si>
    <t>Chaliodus sloani</t>
  </si>
  <si>
    <t>CANCELLARE UNA CALLOGORGIA</t>
  </si>
  <si>
    <t>Myctophidae nd</t>
  </si>
  <si>
    <t>transetto interrotto a 550 mp</t>
  </si>
  <si>
    <t>inizio transetto</t>
  </si>
  <si>
    <t xml:space="preserve">Cerianthus sp. </t>
  </si>
  <si>
    <t>imponentiu segni di strascico</t>
  </si>
  <si>
    <t>fine transetto</t>
  </si>
  <si>
    <t>transetto interrotto  a 1100 mp</t>
  </si>
  <si>
    <t>transito da T02 a T13 in acqua sul TMS</t>
  </si>
  <si>
    <t>inizio segni di strascico</t>
  </si>
  <si>
    <t>Cerianthus sp</t>
  </si>
  <si>
    <t>non evidente segno di flare ma campionata comunque acqua con 1 sola niskin quella senza adesivo SBE</t>
  </si>
  <si>
    <t>niskin quella senza adesivo SBE</t>
  </si>
  <si>
    <t>fondale fangoso con segni di strascico, a maggiore pendenza</t>
  </si>
  <si>
    <t>interrotto transetto a 850 m</t>
  </si>
  <si>
    <t>inizio registrazione con rov in acqua</t>
  </si>
  <si>
    <t>interrotto transetto per necessità logistiche (trasbordo operatori video a trapani)</t>
  </si>
  <si>
    <t xml:space="preserve">Interrotta discesa a 170 m </t>
  </si>
  <si>
    <t>Spugne bianche a pallina</t>
  </si>
  <si>
    <t>Sclerattinie su roccia</t>
  </si>
  <si>
    <t>Inizio campionamento</t>
  </si>
  <si>
    <t>Acanthogorgiidae</t>
  </si>
  <si>
    <t>Campionamento di Acanthogorgia</t>
  </si>
  <si>
    <t>Gasteropode ND</t>
  </si>
  <si>
    <t>Foresta di C. verticillata</t>
  </si>
  <si>
    <t>Spugne gialle incrostanti</t>
  </si>
  <si>
    <t>Tanatocenosi a Madrepora misto Dentrophylla</t>
  </si>
  <si>
    <t>Elevata pendenza</t>
  </si>
  <si>
    <t>Foresta di C. verticillata su tanatocenosi di Madrepora e Dentrophylla</t>
  </si>
  <si>
    <t xml:space="preserve">Fine foresta </t>
  </si>
  <si>
    <t>Aggregazione di Pagellus bogaraveo</t>
  </si>
  <si>
    <t>Cerianthus sp. (altro)</t>
  </si>
  <si>
    <t xml:space="preserve"> P. placenta</t>
  </si>
  <si>
    <t>Pendenza</t>
  </si>
  <si>
    <t>Stella da indentificare</t>
  </si>
  <si>
    <t>Sponge ground a litistidi fossili (Stony sponge ground)</t>
  </si>
  <si>
    <t>spugne bianche a pallina di vario tipo</t>
  </si>
  <si>
    <t>litistidi grandi</t>
  </si>
  <si>
    <t>Parastichopus</t>
  </si>
  <si>
    <t>Holoturia poli</t>
  </si>
  <si>
    <t>Parastichopus x 2</t>
  </si>
  <si>
    <t>Acantholabrus</t>
  </si>
  <si>
    <t>Spugna nd e balani giganti</t>
  </si>
  <si>
    <t>Spugne con grande osculo</t>
  </si>
  <si>
    <t>fondo fangoso con detrito organogeno</t>
  </si>
  <si>
    <t>macroramposus scolopax</t>
  </si>
  <si>
    <t>tanti C.agassizi</t>
  </si>
  <si>
    <t>Pesce serpentiforme</t>
  </si>
  <si>
    <t>Stella nd (Luidia sp.)</t>
  </si>
  <si>
    <t>tante spugne bianche a pallina</t>
  </si>
  <si>
    <t>tentativo campionamento esito negativo</t>
  </si>
  <si>
    <t>altro tentativo su spugna a pallina su roccia</t>
  </si>
  <si>
    <t>H. poli</t>
  </si>
  <si>
    <t>P.regalis</t>
  </si>
  <si>
    <t>Luidia sp.</t>
  </si>
  <si>
    <t>Ceramaster glacialis  CF</t>
  </si>
  <si>
    <t>Peltarster placenta</t>
  </si>
  <si>
    <t>P.phycis</t>
  </si>
  <si>
    <t>Pletaster placenta</t>
  </si>
  <si>
    <t>Aulopus x 2</t>
  </si>
  <si>
    <t>Bathynectes sp.</t>
  </si>
  <si>
    <t>Transito sott'acqua sul TMS</t>
  </si>
  <si>
    <t>ROV scende sul fondo</t>
  </si>
  <si>
    <t xml:space="preserve">Reteporella </t>
  </si>
  <si>
    <t>Acantolabrus pailloni</t>
  </si>
  <si>
    <t>Merluccius cf.</t>
  </si>
  <si>
    <t>Macroramposus scolopax x 2</t>
  </si>
  <si>
    <t>Macroramposus scolopax</t>
  </si>
  <si>
    <t>Reteporella</t>
  </si>
  <si>
    <t>Campionata B. mollis</t>
  </si>
  <si>
    <t>Antipathella con uova di gattuccio</t>
  </si>
  <si>
    <t>in attesa di fare esplorazione della foresta e fotogrammetria</t>
  </si>
  <si>
    <t>Filograna/ salmacina complex su Antipathella</t>
  </si>
  <si>
    <t>Hacelia attenuata</t>
  </si>
  <si>
    <t>procedure di avvio fotogrammetria&lt; in precedenza navigazione intorno all area per stimare l-area coperta dalla foresta di Leiopathes , con scarsi risultati&gt;</t>
  </si>
  <si>
    <t>Avvio fotogrammetria</t>
  </si>
  <si>
    <t>Fine fotogrammetria</t>
  </si>
  <si>
    <t>Parastichopus regalis</t>
  </si>
  <si>
    <t xml:space="preserve">Interrotto a 480  per lenza a mezz-acqua su pinnacolo </t>
  </si>
  <si>
    <t>Transito sul fondo al transetto T12</t>
  </si>
  <si>
    <t>peltaster placenta</t>
  </si>
  <si>
    <t>plesionika</t>
  </si>
  <si>
    <t>aulopus</t>
  </si>
  <si>
    <t>phycis phycis</t>
  </si>
  <si>
    <t>A. adspersa</t>
  </si>
  <si>
    <t>Litter hotspot</t>
  </si>
  <si>
    <t>peltaster</t>
  </si>
  <si>
    <t>reteporella</t>
  </si>
  <si>
    <t>Parasticopus</t>
  </si>
  <si>
    <t>Togliere Pacastrella e mettere Chondrosia</t>
  </si>
  <si>
    <t>Porifera nd.</t>
  </si>
  <si>
    <t>Presenza di CCA  e alghe brune</t>
  </si>
  <si>
    <t>confronta con Chondrosia</t>
  </si>
  <si>
    <t>Reteporella sp.</t>
  </si>
  <si>
    <t>H. atenuata</t>
  </si>
  <si>
    <t>Pallone</t>
  </si>
  <si>
    <t>confronta con spugna campionata</t>
  </si>
  <si>
    <t>Laminariales sparse</t>
  </si>
  <si>
    <t>P. erythrinus</t>
  </si>
  <si>
    <t>S. cabrilla</t>
  </si>
  <si>
    <t>M. haelena</t>
  </si>
  <si>
    <t>M. truncata</t>
  </si>
  <si>
    <t>spugne gialle a pallina, spugne tubulari e spugne a guanto</t>
  </si>
  <si>
    <t>Spinolambros macrochelus</t>
  </si>
  <si>
    <t>Litistidi</t>
  </si>
  <si>
    <t>tubo</t>
  </si>
  <si>
    <t>Ripples sul fondo</t>
  </si>
  <si>
    <t>Tracurus sp.</t>
  </si>
  <si>
    <t>Argentina sp</t>
  </si>
  <si>
    <t>Controllare</t>
  </si>
  <si>
    <t>aumento granulometria del detrito</t>
  </si>
  <si>
    <t>Maja sp.</t>
  </si>
  <si>
    <t>controllare</t>
  </si>
  <si>
    <t>P. giganteum</t>
  </si>
  <si>
    <t>Balani</t>
  </si>
  <si>
    <t>sclerattinia</t>
  </si>
  <si>
    <t>L. whiffiagonis</t>
  </si>
  <si>
    <t>Ripples (sabbia nera)</t>
  </si>
  <si>
    <t>Roccia esposta</t>
  </si>
  <si>
    <t>aggregazione</t>
  </si>
  <si>
    <t>roccia vulcanica esposta a patch</t>
  </si>
  <si>
    <t>Spugna gialla incrostante e altro</t>
  </si>
  <si>
    <t>Bonellia sp.</t>
  </si>
  <si>
    <t xml:space="preserve">attaccato a TMS per transfer </t>
  </si>
  <si>
    <t>Muriceides o Placogorgia</t>
  </si>
  <si>
    <t>Stony sponge ground con tanat a Dendrophylla</t>
  </si>
  <si>
    <t>Parete verticale</t>
  </si>
  <si>
    <t>Pagellus erythrinus</t>
  </si>
  <si>
    <t>Serturarella sp.</t>
  </si>
  <si>
    <t xml:space="preserve">Ceramaster </t>
  </si>
  <si>
    <t>Lepidorhombus wiffhiagonis</t>
  </si>
  <si>
    <t>Megerria mediterranea?</t>
  </si>
  <si>
    <t>Triglidae</t>
  </si>
  <si>
    <t>Ophiacantha setosa</t>
  </si>
  <si>
    <t>Facciolella oxyrhincha</t>
  </si>
  <si>
    <t>C. mediterranea</t>
  </si>
  <si>
    <t>Cidaridi in abbondanza</t>
  </si>
  <si>
    <t>Acanthogorgidae (P. macrospina ?)</t>
  </si>
  <si>
    <t>212 m</t>
  </si>
  <si>
    <t>fine foresta coralli neri</t>
  </si>
  <si>
    <t>Trachurus sp.</t>
  </si>
  <si>
    <t>stony sponge ground</t>
  </si>
  <si>
    <t>M. oculata cresce su scheletro corallo nero</t>
  </si>
  <si>
    <t xml:space="preserve">Savaglia savalia su scheletro corallo nero </t>
  </si>
  <si>
    <t xml:space="preserve">Bathynectes maravigna </t>
  </si>
  <si>
    <t>colonia leiopathes gialla</t>
  </si>
  <si>
    <t>Anamanthia rissoana su L. glaberrima</t>
  </si>
  <si>
    <t xml:space="preserve">S. savalia </t>
  </si>
  <si>
    <t xml:space="preserve">spugna bianca massiva </t>
  </si>
  <si>
    <t>spugna incrostante bianca su L. glaberrima</t>
  </si>
  <si>
    <t>Anamanthia</t>
  </si>
  <si>
    <t>fotografato idrozoo su scheletro di L.glaberrima</t>
  </si>
  <si>
    <t>A.filamentosus</t>
  </si>
  <si>
    <t>Palinurus</t>
  </si>
  <si>
    <t>Spugna bianca con idrozoi su scheletro di L.glab</t>
  </si>
  <si>
    <t>struttura in terracotta circolare</t>
  </si>
  <si>
    <t>inizio fotogrammetria</t>
  </si>
  <si>
    <t>fine fotogrammetria</t>
  </si>
  <si>
    <t>fatto alle 9:20 il primo e alle 9:26 il secondo</t>
  </si>
  <si>
    <t>Oloturie</t>
  </si>
  <si>
    <t>sfera metallica e altro rifiuto</t>
  </si>
  <si>
    <t>Batinectes maravigna</t>
  </si>
  <si>
    <t>Nephrops norvegicus</t>
  </si>
  <si>
    <t>attesa per campionamento Virgularia</t>
  </si>
  <si>
    <t>Raja sp.</t>
  </si>
  <si>
    <t>Funiculina quadrangularis</t>
  </si>
  <si>
    <t>Acantholabrus palloni</t>
  </si>
  <si>
    <t>Echinus melo da verificare</t>
  </si>
  <si>
    <t>Interrompiamo a 496 m per preseza di lenze e cime sul fondale</t>
  </si>
  <si>
    <t>Roccia infangata</t>
  </si>
  <si>
    <t>Bathinectes maravigna</t>
  </si>
  <si>
    <t>Epigonus sp.</t>
  </si>
  <si>
    <t>Sponge ground Spugne bianche</t>
  </si>
  <si>
    <t>Aulopus filamentosus x2</t>
  </si>
  <si>
    <t>INTERRUZIONE TECNICA X SISTEMAZIONE GEMINI</t>
  </si>
  <si>
    <t>Parasticopus regalis</t>
  </si>
  <si>
    <t>Peltaster sparse</t>
  </si>
  <si>
    <t>cf. Galeodea echinophora</t>
  </si>
  <si>
    <t xml:space="preserve">Renella </t>
  </si>
  <si>
    <t>Renella</t>
  </si>
  <si>
    <t>Densa copertura a idroidi</t>
  </si>
  <si>
    <t>Tana di polpo</t>
  </si>
  <si>
    <t>Spugna incrostante bianca</t>
  </si>
  <si>
    <t>Bactynectes maravigna</t>
  </si>
  <si>
    <t>Reef con poche colonie vive</t>
  </si>
  <si>
    <t>Pacastrella monilifera sparsa</t>
  </si>
  <si>
    <t xml:space="preserve"> Fine reef madrepore</t>
  </si>
  <si>
    <t>2 Aulopus filamentosus</t>
  </si>
  <si>
    <t>N. aequalis</t>
  </si>
  <si>
    <t>Notodendrodes sp.</t>
  </si>
  <si>
    <t xml:space="preserve">parete verticale </t>
  </si>
  <si>
    <t>Z. primnoidus su cally</t>
  </si>
  <si>
    <t>prato a D. bonsai</t>
  </si>
  <si>
    <t>Spugne nd</t>
  </si>
  <si>
    <t>spugna bianca e roccia</t>
  </si>
  <si>
    <t>grande densità B. mollis</t>
  </si>
  <si>
    <t>7 colonie concentrate</t>
  </si>
  <si>
    <t>epizoanthus sp. su ramo morto</t>
  </si>
  <si>
    <t>Cancellare roccia esposta</t>
  </si>
  <si>
    <t>Cancellare Callogorgia 100 500</t>
  </si>
  <si>
    <t>Callogorgia su anfora</t>
  </si>
  <si>
    <t>Isididi su roccia</t>
  </si>
  <si>
    <t>Parete verticale di 10 m</t>
  </si>
  <si>
    <t xml:space="preserve">Caretta caretta </t>
  </si>
  <si>
    <t>RISALITO X problemi al Gemini</t>
  </si>
  <si>
    <t>fuori dal TMS</t>
  </si>
  <si>
    <t>fondo fangoso 1010</t>
  </si>
  <si>
    <t>H. coronata</t>
  </si>
  <si>
    <t>Pesce vipera controllare B&amp;W camera</t>
  </si>
  <si>
    <t>Facciolella e pesce nd (caudale superiore allungata)</t>
  </si>
  <si>
    <t>Pesci nd</t>
  </si>
  <si>
    <t>H.coronata</t>
  </si>
  <si>
    <t>Cerianthus</t>
  </si>
  <si>
    <t>PROBLEMA TECNICO TRA LE 15 E LE 16</t>
  </si>
  <si>
    <t>off deck reale alle 16:07</t>
  </si>
  <si>
    <t>Pesce da identificare</t>
  </si>
  <si>
    <t>Cancella plastica</t>
  </si>
  <si>
    <t>Isidella divelta</t>
  </si>
  <si>
    <t>Mesoturia intestinalis</t>
  </si>
  <si>
    <t>interrotto a 440 mp</t>
  </si>
  <si>
    <t>M. intestinalis</t>
  </si>
  <si>
    <t>N. melanurum</t>
  </si>
  <si>
    <t xml:space="preserve">oltrepassiamo una fish line </t>
  </si>
  <si>
    <t xml:space="preserve">fish line </t>
  </si>
  <si>
    <t>strascico</t>
  </si>
  <si>
    <t xml:space="preserve">spugne bianche a pallina </t>
  </si>
  <si>
    <t xml:space="preserve">spugna trasparente </t>
  </si>
  <si>
    <t xml:space="preserve">B. maravigna </t>
  </si>
  <si>
    <t>strascico togli lenza</t>
  </si>
  <si>
    <t>Pagurus</t>
  </si>
  <si>
    <t xml:space="preserve">H. coronata </t>
  </si>
  <si>
    <t>inizio campionamento isidide</t>
  </si>
  <si>
    <t>Isidide</t>
  </si>
  <si>
    <t>campionamento a 1070 m</t>
  </si>
  <si>
    <t>fango con aumento considerevole della pendenza</t>
  </si>
  <si>
    <t>Ceramaster x2</t>
  </si>
  <si>
    <t>cf Chauliodus sp.</t>
  </si>
  <si>
    <t>Vari Parasticopus</t>
  </si>
  <si>
    <t>Sclerastherias sp.</t>
  </si>
  <si>
    <t>INIZIO TRANSITO SU SKERKI</t>
  </si>
  <si>
    <t>Nuovo tentativo; out TMS alle 17:28</t>
  </si>
  <si>
    <t>Lepidorombus sp.</t>
  </si>
  <si>
    <t>Epigonus</t>
  </si>
  <si>
    <t>Spinolambrus</t>
  </si>
  <si>
    <t>Scyllarides latus</t>
  </si>
  <si>
    <t xml:space="preserve">Reteporella sp. </t>
  </si>
  <si>
    <t>Spinolasmbrus macrochelos</t>
  </si>
  <si>
    <t xml:space="preserve">Coelorinchus sp. </t>
  </si>
  <si>
    <t xml:space="preserve">Holoturia poli </t>
  </si>
  <si>
    <t xml:space="preserve">spugne incrostanti gialle </t>
  </si>
  <si>
    <t xml:space="preserve">Peltaster placenta </t>
  </si>
  <si>
    <t xml:space="preserve">Aulopus filamentosus </t>
  </si>
  <si>
    <t>fine sponge ground</t>
  </si>
  <si>
    <t xml:space="preserve">Palinurus elephas </t>
  </si>
  <si>
    <t>Protoptilum carpenteri ?</t>
  </si>
  <si>
    <t>primo tentativo con T4 poi con retino</t>
  </si>
  <si>
    <t>F.quadrangularis</t>
  </si>
  <si>
    <t>Nephrops neorvegicus</t>
  </si>
  <si>
    <t>Triglidae nd.</t>
  </si>
  <si>
    <t xml:space="preserve">Calappa granulata </t>
  </si>
  <si>
    <t xml:space="preserve"> cancellare Coelorinchus sp. </t>
  </si>
  <si>
    <t xml:space="preserve">Epigonus sp. </t>
  </si>
  <si>
    <t>Chlopsis bicolor</t>
  </si>
  <si>
    <t xml:space="preserve">togliere una funiculina </t>
  </si>
  <si>
    <t xml:space="preserve">Triglidae nd. </t>
  </si>
  <si>
    <t xml:space="preserve">inizio campionamento </t>
  </si>
  <si>
    <t xml:space="preserve"> Acanthogorgiidae</t>
  </si>
  <si>
    <t xml:space="preserve">P. elephas </t>
  </si>
  <si>
    <t>H. tubicola</t>
  </si>
  <si>
    <t>chlopsis bicolor</t>
  </si>
  <si>
    <t>Lepidorombus boscii</t>
  </si>
  <si>
    <t>spugne gialle incrostanti</t>
  </si>
  <si>
    <t xml:space="preserve">fine transetto </t>
  </si>
  <si>
    <t>Peristerion cataphractum</t>
  </si>
  <si>
    <t>Spinolambrus macrochelos</t>
  </si>
  <si>
    <t>Prova campionamento push-corer fallito</t>
  </si>
  <si>
    <t>H.tubicola</t>
  </si>
  <si>
    <t>Scyliorhinus da verificare</t>
  </si>
  <si>
    <t>Spugne bianche a palline</t>
  </si>
  <si>
    <t>on deck alle 8:02 reale</t>
  </si>
  <si>
    <t>off deck 8:40</t>
  </si>
  <si>
    <t>Lepidorombus</t>
  </si>
  <si>
    <t>Dipturus oxyrinchus</t>
  </si>
  <si>
    <t>si prosegue in immersione per altri 500-600m per verificare presenza di fondo roccioso</t>
  </si>
  <si>
    <t>deciso di prolungare di altri 500 m per verificare eventuale presenza di fondo roccioso; registrato video, ctd e adcp</t>
  </si>
  <si>
    <t>si decide di spostare il transetto ancora oltre, portando il ROV sul deck</t>
  </si>
  <si>
    <t>68_T07_New</t>
  </si>
  <si>
    <t>Spugna nd?</t>
  </si>
  <si>
    <t>iniziato campionamento</t>
  </si>
  <si>
    <t>fine campionamento Acanthogorgiidae</t>
  </si>
  <si>
    <t>Spugna nd</t>
  </si>
  <si>
    <t>campionata spugna nd</t>
  </si>
  <si>
    <t>Spugna nd e C. verticillata</t>
  </si>
  <si>
    <t>campionata spugna nd con callogorgia</t>
  </si>
  <si>
    <t>capmpionata Acanthogorgiidae</t>
  </si>
  <si>
    <t>on deck alle 14:16</t>
  </si>
  <si>
    <t>Problemi con altimetro e profondimetro durante discesa e sul fondo</t>
  </si>
  <si>
    <t>T. galea</t>
  </si>
  <si>
    <t>depressione con anfora dentro</t>
  </si>
  <si>
    <t>P. carpenteri</t>
  </si>
  <si>
    <t>767 m</t>
  </si>
  <si>
    <t>segni strascico</t>
  </si>
  <si>
    <t>Serturalella sp.</t>
  </si>
  <si>
    <t>a 904 mp, metri percorsi effettivi 982 m</t>
  </si>
  <si>
    <t>deviazione port side dal tracciato originale del transetto</t>
  </si>
  <si>
    <t>pesce nd</t>
  </si>
  <si>
    <t>Leptometra su isidide</t>
  </si>
  <si>
    <t>cf Artometra</t>
  </si>
  <si>
    <t>polverone alzato da altro e aumento pendenza</t>
  </si>
  <si>
    <t>commento</t>
  </si>
  <si>
    <t xml:space="preserve">Antipathes </t>
  </si>
  <si>
    <t>Stolonifero nd.</t>
  </si>
  <si>
    <t>cf Sarcodictyon catenatum</t>
  </si>
  <si>
    <t xml:space="preserve">cf Stichopathes </t>
  </si>
  <si>
    <t>tentativo campionamento sostanza mucillaginosa arancione</t>
  </si>
  <si>
    <t>FALLITO</t>
  </si>
  <si>
    <t>Daniela</t>
  </si>
  <si>
    <t>inizio tentativo di campionamento stolonifero</t>
  </si>
  <si>
    <t>non campionato</t>
  </si>
  <si>
    <t>Stolonifero su isidella (ipotesi)</t>
  </si>
  <si>
    <t>solo Isidella</t>
  </si>
  <si>
    <t>scheletro di dendrophyllia con zoantari</t>
  </si>
  <si>
    <t>Tentativo camionamento Dendrophyllia e stoloniferi</t>
  </si>
  <si>
    <t>D. cornigera E STOLONIFERI</t>
  </si>
  <si>
    <t>on deck circa alle 9:20</t>
  </si>
  <si>
    <t>circa alle 9:07</t>
  </si>
  <si>
    <t>vulcanetti di fango</t>
  </si>
  <si>
    <t>H.italicus</t>
  </si>
  <si>
    <t>Zoantidei nd</t>
  </si>
  <si>
    <t>transito da Tr 11 a Tr 01 ma arrivati sul punto si rinuncia per arrivo cattivo tempo</t>
  </si>
  <si>
    <t>evitiamo una fishline prima di raggiungere il fondo</t>
  </si>
  <si>
    <t>risaliamo a 20 m sopra il fondale e riscendiamo</t>
  </si>
  <si>
    <t>fango molto irregolare con tumuli</t>
  </si>
  <si>
    <t xml:space="preserve">isididi crescono sulle cime dei tumuli </t>
  </si>
  <si>
    <t>rivedere video (stecco bianco)</t>
  </si>
  <si>
    <t xml:space="preserve">rocce affioranti di colore bianco </t>
  </si>
  <si>
    <t>dalle h 01:32 il ROV non avanza</t>
  </si>
  <si>
    <t>ROV risale sul TMS</t>
  </si>
  <si>
    <t>temporanea interruzione del transetto</t>
  </si>
  <si>
    <t>ROV e TMS risalgono fino a 1082 m</t>
  </si>
  <si>
    <t>cavo TMS incastrato in una fishline/cima</t>
  </si>
  <si>
    <t>ROV ritorna sul fondo</t>
  </si>
  <si>
    <t>riprendiamo il transetto</t>
  </si>
  <si>
    <t>interrotto a 1010 mp</t>
  </si>
  <si>
    <t>off deck effetivo ore 05:55</t>
  </si>
  <si>
    <t>lenza sul percorso rov sale per riscendere dopo 30 m</t>
  </si>
  <si>
    <t>Riscendiamo sul fondo</t>
  </si>
  <si>
    <t>interrotto transetto a 700 m</t>
  </si>
  <si>
    <t>off deck reale 9:55</t>
  </si>
  <si>
    <t>isidiidae morta a 1355 m</t>
  </si>
  <si>
    <t>Risaliamo per lenza</t>
  </si>
  <si>
    <t>Ritorniamo sul fondo</t>
  </si>
  <si>
    <t>Risaliti di 20 m x tornare sulla linea</t>
  </si>
  <si>
    <t>annotate ossa sul fondale</t>
  </si>
  <si>
    <t>Fine campionamento</t>
  </si>
  <si>
    <t>Scaeurgus unicirrhus</t>
  </si>
  <si>
    <t>Risaliti per presenza di attrezzo da pesca</t>
  </si>
  <si>
    <t>Geryon longipes</t>
  </si>
  <si>
    <t>Ritornati sul transetto e sul fondale</t>
  </si>
  <si>
    <t>Risaliamo per lenza nel TMS, tagliata nella dive</t>
  </si>
  <si>
    <t>Tornati sul fondo per riprendere la linea</t>
  </si>
  <si>
    <t>incrociato un cestus veneris, verificare range batimetrico</t>
  </si>
  <si>
    <t xml:space="preserve">Chauliodus sloani </t>
  </si>
  <si>
    <t xml:space="preserve">cf. Ceramaster </t>
  </si>
  <si>
    <t xml:space="preserve">ancora di cannizzo illegale </t>
  </si>
  <si>
    <t xml:space="preserve">Macrouridae nd. </t>
  </si>
  <si>
    <t>check al TMS</t>
  </si>
  <si>
    <t>TMS  e ombelicale incastrati in due fishlnes</t>
  </si>
  <si>
    <t>Facciolella oxyrincha</t>
  </si>
  <si>
    <t>TMS  incastrato in due fishlines</t>
  </si>
  <si>
    <t xml:space="preserve">interruzione transetto per ombelicale impigliato in lenza </t>
  </si>
  <si>
    <t xml:space="preserve">interrotto a 800 mp per terzo entanglememnt in lenze - impossibile procedere oltre </t>
  </si>
  <si>
    <t>impossibile procedere con il T12 per peggioramento condizioni meteo</t>
  </si>
  <si>
    <t>Off deck reale probabilmente ore 6:15/6:20</t>
  </si>
  <si>
    <t>Nezumia sp</t>
  </si>
  <si>
    <t>Risaliamo per lenza sul percorso</t>
  </si>
  <si>
    <t>Ritorniamo sul fondale</t>
  </si>
  <si>
    <t>scheletro di Isidiidae</t>
  </si>
  <si>
    <t>H. Italicus</t>
  </si>
  <si>
    <t>H. Italicus x 2</t>
  </si>
  <si>
    <t>controllare da Next effettivo off deck</t>
  </si>
  <si>
    <t>iniziamo il transetto 200 m piu avanti rispetto al punto di inizio previsto</t>
  </si>
  <si>
    <t>impossibilità di scendere sul fondo a causa delle fishlines (dopo la 3 incontrata)</t>
  </si>
  <si>
    <t xml:space="preserve">raggiunto il punto - out of tms </t>
  </si>
  <si>
    <t xml:space="preserve">segni di strascico - basi di isididi divelti </t>
  </si>
  <si>
    <t xml:space="preserve">Galeus melastomus </t>
  </si>
  <si>
    <t>campionamento P: carpenteri con T4 fallito</t>
  </si>
  <si>
    <t>1306 m</t>
  </si>
  <si>
    <t>secondo tentativo campionamento P: carpenteri con push corer</t>
  </si>
  <si>
    <t xml:space="preserve">riprende transetto </t>
  </si>
  <si>
    <t xml:space="preserve">cancellare secondo k stelliferum </t>
  </si>
  <si>
    <t xml:space="preserve">cancellare isidella </t>
  </si>
  <si>
    <t xml:space="preserve">aumento tumultuosità fondale </t>
  </si>
  <si>
    <t xml:space="preserve">termine transetto anticipato a 860 mp </t>
  </si>
  <si>
    <t>ora esatta 05:41:00</t>
  </si>
  <si>
    <t>Nettastoma</t>
  </si>
  <si>
    <t>Alle 6:58 ROV verifica eventuale presenza di lenza</t>
  </si>
  <si>
    <t>riprendiamo la linea</t>
  </si>
  <si>
    <t>A. dohrni</t>
  </si>
  <si>
    <t>Scheletro di isidiidae</t>
  </si>
  <si>
    <t>Risaliamo per una lenza al TMS x fare 50 metri sulla linea del transetto</t>
  </si>
  <si>
    <t>ritornialmo sul fondo</t>
  </si>
  <si>
    <t>tantativo di campionamento stichopathes</t>
  </si>
  <si>
    <t>cf. Stichopathes</t>
  </si>
  <si>
    <t>x2</t>
  </si>
  <si>
    <t>Spugne bianche a ventaglio</t>
  </si>
  <si>
    <t>Tentativo campionamento con scoop net</t>
  </si>
  <si>
    <t>spugna bianca intera</t>
  </si>
  <si>
    <t>Mesoturia (tante)</t>
  </si>
  <si>
    <t>Paramola cuvieri</t>
  </si>
  <si>
    <t>Spugna bianca a ventaglio</t>
  </si>
  <si>
    <t>risalito al TMS a 10:12</t>
  </si>
  <si>
    <t>ritorniamo sul fondale</t>
  </si>
  <si>
    <t>rov risale al tms per check, successivamente navighiamo sul tms fino a fare gli ultimi 200 metri di transetto + interessanti come BKS</t>
  </si>
  <si>
    <t>ritorniamo sul fondale per fare gli ultimi 200 m di transetto</t>
  </si>
  <si>
    <t>Tentativo di campionamento Gorgonia bianca (Swiftia)</t>
  </si>
  <si>
    <t>cf. Swiftia</t>
  </si>
  <si>
    <t>Spugna bianca / oggetto nd</t>
  </si>
  <si>
    <t>ci solleviamo per lenza</t>
  </si>
  <si>
    <t>ritorniamo sul transetto</t>
  </si>
  <si>
    <t>Hoplostetus</t>
  </si>
  <si>
    <t>ROV si allontana dalla parete per lenza</t>
  </si>
  <si>
    <t>ROV ritorna sul transetto</t>
  </si>
  <si>
    <t>proviamo a campionare degli zoantari nd ma senza successo; fatte foto con dvr</t>
  </si>
  <si>
    <t>fallito primo tentativo</t>
  </si>
  <si>
    <t>cf Antipathes sp.</t>
  </si>
  <si>
    <t>secondo tentativo con una colonia diversa</t>
  </si>
  <si>
    <t>chiuso a 500 mp</t>
  </si>
  <si>
    <t xml:space="preserve">sgeni di strascico </t>
  </si>
  <si>
    <t xml:space="preserve">Paromola cuvieri </t>
  </si>
  <si>
    <t>D. koreni monopodiale su roccia con conchiglie</t>
  </si>
  <si>
    <t>D. koreni  su roccia con conchiglie</t>
  </si>
  <si>
    <t>Inizio campionamento Stolonifero</t>
  </si>
  <si>
    <t>fallito</t>
  </si>
  <si>
    <t>check al tms</t>
  </si>
  <si>
    <t>inizio campionamento C. rubrum</t>
  </si>
  <si>
    <t xml:space="preserve">facciamo 60 m di transetto senza poterci fermare perchè la nave deve evitare una rete da posta in traiettoria </t>
  </si>
  <si>
    <t>Macrouridae</t>
  </si>
  <si>
    <t xml:space="preserve">spugna bianca a pallina </t>
  </si>
  <si>
    <t xml:space="preserve">Muriceides sp. su cima </t>
  </si>
  <si>
    <t>Inizio campionamento P. carpenteri</t>
  </si>
  <si>
    <t>Campionamento fallito</t>
  </si>
  <si>
    <t>Macruridae</t>
  </si>
  <si>
    <t>cf Facciolella oxyrhinca</t>
  </si>
  <si>
    <t>proviamo a campionare ceriantario</t>
  </si>
  <si>
    <t>Cerianto particolare</t>
  </si>
  <si>
    <t>non trovato nel cestello del ROV</t>
  </si>
  <si>
    <t>Evil nezumia</t>
  </si>
  <si>
    <t>Cf. facciolella</t>
  </si>
  <si>
    <t>rov si alza al tms per lenza</t>
  </si>
  <si>
    <t>Rov sul TMS, si decide di recuperare on deck</t>
  </si>
  <si>
    <t>transetto interrotto a 705 m profondità 1117</t>
  </si>
  <si>
    <t>avvio prova di campionamento</t>
  </si>
  <si>
    <t>C. aurantiaca</t>
  </si>
  <si>
    <t>Porifera nd bianco</t>
  </si>
  <si>
    <t>cf. C. aurantiaca</t>
  </si>
  <si>
    <t>Zibrowius</t>
  </si>
  <si>
    <t>Gracilechinus</t>
  </si>
  <si>
    <t>Tentativo di campionamento del riccio</t>
  </si>
  <si>
    <t>parziale</t>
  </si>
  <si>
    <t>Tentativo campionamento</t>
  </si>
  <si>
    <t>Cf. Acanthogorgiidae</t>
  </si>
  <si>
    <t>Bathynectes maravigna</t>
  </si>
  <si>
    <t>MOLTE SPUGNE BIANCHE E GORGONIE GIALLE</t>
  </si>
  <si>
    <t>Pachycerianthus sp.</t>
  </si>
  <si>
    <t>Evil Nezumia</t>
  </si>
  <si>
    <t>Pachicerianthus (evil)</t>
  </si>
  <si>
    <t>Ceramaster sp.</t>
  </si>
  <si>
    <t>cf Placogorgia coronata</t>
  </si>
  <si>
    <t>Fango molto bioturbato</t>
  </si>
  <si>
    <t>Fine habitat profondo con gorgonie, coralli neri e spugne su roccia</t>
  </si>
  <si>
    <t>Trasferimento al prossimo transetto in acqua</t>
  </si>
  <si>
    <t>Aristeus sp.</t>
  </si>
  <si>
    <t>bianca incrostante</t>
  </si>
  <si>
    <t>cf Caryophyllia inornata</t>
  </si>
  <si>
    <t>spugne massive con digitazioni</t>
  </si>
  <si>
    <t>molte gorgonie necrotiche del tutto o in parte</t>
  </si>
  <si>
    <t>Antipathes sp.</t>
  </si>
  <si>
    <t>parantipathes sp. con tre punte</t>
  </si>
  <si>
    <t>cf Bythitidae</t>
  </si>
  <si>
    <t>Fine habitat</t>
  </si>
  <si>
    <t xml:space="preserve">solfobatteri </t>
  </si>
  <si>
    <t>fine habitat</t>
  </si>
  <si>
    <t>pendenza elevata</t>
  </si>
  <si>
    <t>cf Facciolella oxyrincha</t>
  </si>
  <si>
    <t>tubo di materiale non definito</t>
  </si>
  <si>
    <t>con sopra M. lepida e cf  P. coronata</t>
  </si>
  <si>
    <t>chiuso a 800 mp</t>
  </si>
  <si>
    <t>Fango batiale con bottiglia</t>
  </si>
  <si>
    <t>Hymenodiscus</t>
  </si>
  <si>
    <t>Holoturia nd</t>
  </si>
  <si>
    <t>Penilpidia ludwigii</t>
  </si>
  <si>
    <t>su spazzatura</t>
  </si>
  <si>
    <t>ROV fa check sul cavo</t>
  </si>
  <si>
    <t>cambio di pendenza e roccia infangata</t>
  </si>
  <si>
    <t>granchio nd</t>
  </si>
  <si>
    <t>spugna nd</t>
  </si>
  <si>
    <t>iniziamo campionamento con spugna nd bianca, fallito</t>
  </si>
  <si>
    <t>spostamento in acqua sul TMS, orario da verificare</t>
  </si>
  <si>
    <t>Arrivati sul punto TMS scende alla quota. Out of TMS alle 16:13</t>
  </si>
  <si>
    <t>ROV risale per verificare il cavo</t>
  </si>
  <si>
    <t>proviamo a campionare con scoopnet</t>
  </si>
  <si>
    <t>Campionati (forse) con scoopnet filamenti sotto roccia lavica</t>
  </si>
  <si>
    <t>ancora ramificazioni nd senza polipi</t>
  </si>
  <si>
    <t>Cataetyx laticeps</t>
  </si>
  <si>
    <t>Ripples</t>
  </si>
  <si>
    <t>Penilpidia ludwidi</t>
  </si>
  <si>
    <t>In atto natatorio</t>
  </si>
  <si>
    <t xml:space="preserve">Notacanthus bonaparte </t>
  </si>
  <si>
    <t>Penilpidia ludwigi</t>
  </si>
  <si>
    <t>Ateroideo ND</t>
  </si>
  <si>
    <t>Sterminare Bathypterois</t>
  </si>
  <si>
    <t>allungato fino a 1800 mp per esplorare il top del seamount</t>
  </si>
  <si>
    <t>on deck</t>
  </si>
  <si>
    <t xml:space="preserve">rivedere pesce </t>
  </si>
  <si>
    <t xml:space="preserve">gasteropode bianco con scia </t>
  </si>
  <si>
    <t xml:space="preserve">gasteropode con scia </t>
  </si>
  <si>
    <t>P. ludwigii</t>
  </si>
  <si>
    <t xml:space="preserve">video a scatti </t>
  </si>
  <si>
    <t>nicchio di Argonauta argo</t>
  </si>
  <si>
    <t>Linea allungata e conclusa a 1562 m. Poi virato verso N per procedere ancora di 50 m. Termine transetto su bottiglia con vicino un pesce tripode</t>
  </si>
  <si>
    <t>spugna bianca nd</t>
  </si>
  <si>
    <t>tentativo di campionamento T4 su Leiopathes particolare</t>
  </si>
  <si>
    <t>Leiopathes sp.</t>
  </si>
  <si>
    <t>Spugna a calice bianca in parete</t>
  </si>
  <si>
    <t>tentativo di campionamento fallito</t>
  </si>
  <si>
    <t>Galathea nd</t>
  </si>
  <si>
    <t>In attesa logistica per laser scan</t>
  </si>
  <si>
    <t>Inizio laser scan</t>
  </si>
  <si>
    <t>Fine laser scan</t>
  </si>
  <si>
    <t>B.maravigna</t>
  </si>
  <si>
    <t>navigazione sul fondale per raggiungere altro punto di prospezione T08 nel TMS a circa 200 dal fondo.</t>
  </si>
  <si>
    <t>Chelidonisis</t>
  </si>
  <si>
    <t>chiuso a 141 mp</t>
  </si>
  <si>
    <t>Scaergus unicirruhs</t>
  </si>
  <si>
    <t>stoloniferi nd</t>
  </si>
  <si>
    <t>roccia franabile</t>
  </si>
  <si>
    <t>stoloniferi nd su roccia</t>
  </si>
  <si>
    <t>Gracilechunus</t>
  </si>
  <si>
    <t>gorgonia gialla nd</t>
  </si>
  <si>
    <t>Parantipathes nsp.</t>
  </si>
  <si>
    <t>chiuso a 300 mp</t>
  </si>
  <si>
    <t>01.59.50</t>
  </si>
  <si>
    <t>PROVA</t>
  </si>
  <si>
    <t>PRIMO COMMENTO DI PROVA</t>
  </si>
  <si>
    <t>PRENDERE IN CONSIDERAZIONE ULTIMO "INIZIO TRANSETTO"</t>
  </si>
  <si>
    <t>CAMPIONE SEDIMENTO PUSH CORER 1</t>
  </si>
  <si>
    <t>STOP PER PROBLEMI tecnici ROV</t>
  </si>
  <si>
    <t>spugna a coppetta peduncolata</t>
  </si>
  <si>
    <t>fermi per fishing line in tms</t>
  </si>
  <si>
    <t>ci muoviamo lungo transetto FINO A 830 mp per evitare fishing lines</t>
  </si>
  <si>
    <t>interrotto per troppe lenze sul transetto a circa 800mp</t>
  </si>
  <si>
    <t>facciamo circa 800 m sul tms per raggiungere zona a backscatter più alto</t>
  </si>
  <si>
    <t>Antipathes sp. sparsi su roccia</t>
  </si>
  <si>
    <t>Riprendiamo transetto dopo 25 minuti per fishing line</t>
  </si>
  <si>
    <t>Facciolella oxyricha</t>
  </si>
  <si>
    <t>Nezumia sp. cf. aequalis</t>
  </si>
  <si>
    <t>23.16.50</t>
  </si>
  <si>
    <t>Hymenochephalus sp.</t>
  </si>
  <si>
    <t>Lepidopus</t>
  </si>
  <si>
    <t>Come back to flares area</t>
  </si>
  <si>
    <t>Arrivate al punto flares segnalato non sono presenti variazioni di pH e CO2. Completiamo il transetto.</t>
  </si>
  <si>
    <t>spugna bianca</t>
  </si>
  <si>
    <t>Keratoisididi sparsi su fango</t>
  </si>
  <si>
    <t>lenza con zoantidei</t>
  </si>
  <si>
    <t>prova campionamento Protoptilum, fallito</t>
  </si>
  <si>
    <t>Chironephthya</t>
  </si>
  <si>
    <t>inizio campionamento, fallito</t>
  </si>
  <si>
    <t>standby fishing line</t>
  </si>
  <si>
    <t>resume the transect</t>
  </si>
  <si>
    <t>Anamanthia rissoana</t>
  </si>
  <si>
    <t>Guardare briozoo in basso a dx quando c'è zoom su Keratoisidide su roccia</t>
  </si>
  <si>
    <t>tanti Keratoisididi su roccia</t>
  </si>
  <si>
    <t>spugna bianca a pallina, fallito</t>
  </si>
  <si>
    <t>campione spugna bianca sacchetto osculo grande</t>
  </si>
  <si>
    <t>07_03</t>
  </si>
  <si>
    <t>in acqua che nuota</t>
  </si>
  <si>
    <t>Facciolella oxyrhynchus</t>
  </si>
  <si>
    <t>Faciollella oxyrhynchus</t>
  </si>
  <si>
    <t>ora esatta 18:23</t>
  </si>
  <si>
    <t>ora 18:25 eliminare commento per Leppidion lepidion</t>
  </si>
  <si>
    <t>Anthipathes sp.</t>
  </si>
  <si>
    <t>Ceramaster cf. grenadensis</t>
  </si>
  <si>
    <t>Isidella su roccia</t>
  </si>
  <si>
    <t>ritorno su TMS per evitare lenze</t>
  </si>
  <si>
    <t>Anthipathes</t>
  </si>
  <si>
    <t>in Table risulta 20.43 il campionamento</t>
  </si>
  <si>
    <t>n.2 Nezumia</t>
  </si>
  <si>
    <t>interruzione transetto a mp1293</t>
  </si>
  <si>
    <t>cancella commento precedente</t>
  </si>
  <si>
    <t>transetto interrotto a 610 mp</t>
  </si>
  <si>
    <t>07_07</t>
  </si>
  <si>
    <t>Ciglio fanfoso super ripido, sembra una frana</t>
  </si>
  <si>
    <t>spugna bianca palletta</t>
  </si>
  <si>
    <t>roccia verticale con incrostazione di sclerattinie morte</t>
  </si>
  <si>
    <t>Molti keratoisididi abbattuti</t>
  </si>
  <si>
    <t xml:space="preserve">Pachycerianthus </t>
  </si>
  <si>
    <t>Hydrozoa nd</t>
  </si>
  <si>
    <t>spostamento su Strombolino I per maltempo nell'area L</t>
  </si>
  <si>
    <t>Penilpidia</t>
  </si>
  <si>
    <t>squalo Zigrino Dalatias licha</t>
  </si>
  <si>
    <t> </t>
  </si>
  <si>
    <t>calamaro\pesce</t>
  </si>
  <si>
    <t>plastica</t>
  </si>
  <si>
    <t>pezzo Poseidonia</t>
  </si>
  <si>
    <t>20.58 metallo</t>
  </si>
  <si>
    <t>n.4</t>
  </si>
  <si>
    <t>cancella commento</t>
  </si>
  <si>
    <t>interrotto per maltempo</t>
  </si>
  <si>
    <t>ripreso t03 dopo 24 ore di stop per maltempo, circa 100m più avanti a ridosso delle rocce</t>
  </si>
  <si>
    <t>serpulidi e sclerattinie su roccia, tutti neri</t>
  </si>
  <si>
    <t>campione spugna coppetta peduncolata</t>
  </si>
  <si>
    <t>sclerattinie morte su roccia</t>
  </si>
  <si>
    <t>dall 11:13 standby fishline</t>
  </si>
  <si>
    <t>fishing line</t>
  </si>
  <si>
    <t>20 m avanti per evitare la lenza</t>
  </si>
  <si>
    <t>ROV sbatte contro la roccia</t>
  </si>
  <si>
    <t>interrotto per problemi tecnici, poi lenza e scarso interesse biologico</t>
  </si>
  <si>
    <t>P. ludwigi</t>
  </si>
  <si>
    <t>N. bonaparte</t>
  </si>
  <si>
    <t>ofiura su keratoisidide</t>
  </si>
  <si>
    <t>segno divergente strascico</t>
  </si>
  <si>
    <t>solchi strascico visibili su sonar</t>
  </si>
  <si>
    <t>inizio campionamento, non eseguito per Protoptilum scomparso</t>
  </si>
  <si>
    <t>video riavviato</t>
  </si>
  <si>
    <t>ROV on deck per problemi alla videocamera</t>
  </si>
  <si>
    <t xml:space="preserve">riprendiamo transetto da dove è stato interrotto </t>
  </si>
  <si>
    <t>possibile anemone (?)</t>
  </si>
  <si>
    <t>Antipathes monopodiale su roccia</t>
  </si>
  <si>
    <t>Anemone (?) su roccia</t>
  </si>
  <si>
    <t>Antipathes dicotoma</t>
  </si>
  <si>
    <t>anellide fossorio</t>
  </si>
  <si>
    <t>Pezzetto Poseidonia</t>
  </si>
  <si>
    <t>Togliere commento fango 01.27</t>
  </si>
  <si>
    <t>Ceramaster ?</t>
  </si>
  <si>
    <t>NO LENZA</t>
  </si>
  <si>
    <t>Gadella maraldi (?)</t>
  </si>
  <si>
    <t>Placogorgia sp.</t>
  </si>
  <si>
    <t>Facciolella oxyrhyncus</t>
  </si>
  <si>
    <t>ora esatta 03.06</t>
  </si>
  <si>
    <t>Cidaris cidaris</t>
  </si>
  <si>
    <t>cancella altro 1000-2000 3.56</t>
  </si>
  <si>
    <t>poco dopo aver terminato il transetto visto Dipturus oxyrinchus</t>
  </si>
  <si>
    <t xml:space="preserve"> pausa veloce (8min) per controllo al TMS</t>
  </si>
  <si>
    <t>pezzetto Posidonia morta</t>
  </si>
  <si>
    <t>Primo push corer fallito</t>
  </si>
  <si>
    <t>Push corer n.2</t>
  </si>
  <si>
    <t>Scarpata fangosa: forme di vita assenti. Ci stacchiamo dal fondo a 450mp per aumentare velocità e avanzare di 500m</t>
  </si>
  <si>
    <t>Transetto interrotto a 1197mp. Tutto fango.</t>
  </si>
  <si>
    <t>pesce non determinato</t>
  </si>
  <si>
    <t>determinato: tripode</t>
  </si>
  <si>
    <t>saliamo vicini al TMS per andare più veloci per circa 700 m e poi tornare su seabed</t>
  </si>
  <si>
    <t>Non seguiamo il transetto delineato</t>
  </si>
  <si>
    <t>Desmophyllum con idroidi</t>
  </si>
  <si>
    <t>Porifera bianco ND semi incrostante</t>
  </si>
  <si>
    <t xml:space="preserve">Tentato campionamento a stella bianca simile a Ceramaster. </t>
  </si>
  <si>
    <t>Stella bianca simile a Ceramaster</t>
  </si>
  <si>
    <t>togliere K. stelliferum</t>
  </si>
  <si>
    <t>no spugna ma conchiglia Nautilus</t>
  </si>
  <si>
    <t>stella bianca su fango</t>
  </si>
  <si>
    <t>Tubo sospeso a mezz'acqua</t>
  </si>
  <si>
    <t>transetto sospeso per recupero pH e CTD da barca vicina</t>
  </si>
  <si>
    <t>Argonauta argo shell</t>
  </si>
  <si>
    <t>P.ludwigi</t>
  </si>
  <si>
    <t>Transetto interrotto a 1536 mp, solo fango e rare piccole rocce sparse</t>
  </si>
  <si>
    <t>N.2</t>
  </si>
  <si>
    <t>Asteroideo simile Ceramaster</t>
  </si>
  <si>
    <t>Probabile macrouridae</t>
  </si>
  <si>
    <t>ND</t>
  </si>
  <si>
    <t>Ci alziamo dal fondo a 682 mp ore 02:00 (UTC) per preseguire spedite per 900m circa  lungo il transetto</t>
  </si>
  <si>
    <t>Togli lenza. Inserisci Bonellia</t>
  </si>
  <si>
    <t>Transetto interrotto a 1657mp, solo fango e scarso interesse biologico</t>
  </si>
  <si>
    <t xml:space="preserve">simil Ceramaster </t>
  </si>
  <si>
    <t>matte batterica gialla</t>
  </si>
  <si>
    <t>Lepidion</t>
  </si>
  <si>
    <t>idrozoi + zoantidei su roccia nera e gialla</t>
  </si>
  <si>
    <t>Bonellia</t>
  </si>
  <si>
    <t>600 m close to TMS to speed up on mud</t>
  </si>
  <si>
    <t>back on the seabed</t>
  </si>
  <si>
    <t>prove con pH e CTD</t>
  </si>
  <si>
    <t>niente Bonellia, è una lenza</t>
  </si>
  <si>
    <t>ci alziamo dal fondo a 424mp ore 20:53 (UTC) per proseguire spedite per circa 900m</t>
  </si>
  <si>
    <t>Dipturus oxyrhinchus</t>
  </si>
  <si>
    <t>Posidonia</t>
  </si>
  <si>
    <t>Cavo sospeso a mezz'acqua</t>
  </si>
  <si>
    <t>transetto interrotto a 1527mp, scarso interesse biologico.</t>
  </si>
  <si>
    <t>stand by per calibrazione pH</t>
  </si>
  <si>
    <t>conchiglia Argonauta</t>
  </si>
  <si>
    <t>800 m close to TMS to speed up on mud</t>
  </si>
  <si>
    <t>back to seabed</t>
  </si>
  <si>
    <t>problemi con CTD</t>
  </si>
  <si>
    <t>sclerattinie morte</t>
  </si>
  <si>
    <t>Stella bianca su tubo</t>
  </si>
  <si>
    <t>cambio orario spugna</t>
  </si>
  <si>
    <t>Risaliamo 23:27</t>
  </si>
  <si>
    <t>orario corretto 23:33. Stand by per allarme ROV collegato alla CTD</t>
  </si>
  <si>
    <t>stand by per CTD</t>
  </si>
  <si>
    <t>1° campionamento con Niskin "adesivi blu"</t>
  </si>
  <si>
    <t>2° campionamento con Niskin senza adesivi</t>
  </si>
  <si>
    <t>Fotogrammetria: acquisizione interrotta per torbidità. Secondo tentativo (?)</t>
  </si>
  <si>
    <t>N.6</t>
  </si>
  <si>
    <t>elementi filiformi allungati</t>
  </si>
  <si>
    <t>Antipathes cf. dichotoma</t>
  </si>
  <si>
    <t>Sclerattinia</t>
  </si>
  <si>
    <t>ritorno on deck perchè richiamati dal Survey per problema sonda</t>
  </si>
  <si>
    <t>ROV fermo a 8 m di profondità per richiesta Survey</t>
  </si>
  <si>
    <t>inizio discesa</t>
  </si>
  <si>
    <t xml:space="preserve">problema tecnico </t>
  </si>
  <si>
    <t>fermi dalle 3.57 attaccati al TMS</t>
  </si>
  <si>
    <t>out of TMS</t>
  </si>
  <si>
    <t xml:space="preserve">pesce nd cfr Notacanthus </t>
  </si>
  <si>
    <t xml:space="preserve">control stop - perso segnale video </t>
  </si>
  <si>
    <t xml:space="preserve">registrazione interrotta - creato di nuovo progetto </t>
  </si>
  <si>
    <t xml:space="preserve">ripreso transetto </t>
  </si>
  <si>
    <t xml:space="preserve">riprende registrazione </t>
  </si>
  <si>
    <t>cancellare Bathypterois</t>
  </si>
  <si>
    <t xml:space="preserve">pesce nd. </t>
  </si>
  <si>
    <t xml:space="preserve">Hyalonema sp. </t>
  </si>
  <si>
    <t xml:space="preserve">medusa </t>
  </si>
  <si>
    <t xml:space="preserve">Nettastoma melanurum </t>
  </si>
  <si>
    <t>Sgancio da TMS</t>
  </si>
  <si>
    <t>Hyalonema sp.</t>
  </si>
  <si>
    <t>zoom su xxx</t>
  </si>
  <si>
    <t>busta di plastica - tana di un granchio</t>
  </si>
  <si>
    <t>On TMS</t>
  </si>
  <si>
    <t>Nezumia aequalis (Cancellare bathypterois)</t>
  </si>
  <si>
    <t xml:space="preserve">Macrouridae </t>
  </si>
  <si>
    <t xml:space="preserve">transetto </t>
  </si>
  <si>
    <t xml:space="preserve">possibili emissioni geotermali </t>
  </si>
  <si>
    <t xml:space="preserve">forte pendenza </t>
  </si>
  <si>
    <t xml:space="preserve">Aristeus sp. </t>
  </si>
  <si>
    <t xml:space="preserve">pillow lava </t>
  </si>
  <si>
    <t xml:space="preserve">tanatocenosi ricoperta da lava </t>
  </si>
  <si>
    <t>tentativo campionamento Cerianthus sp. e matte batterica</t>
  </si>
  <si>
    <t xml:space="preserve">fallito </t>
  </si>
  <si>
    <t>Spugna giallastra Nd</t>
  </si>
  <si>
    <t>Scheletro argonauta</t>
  </si>
  <si>
    <t>Roccia + filamenti su fango</t>
  </si>
  <si>
    <t>Inizio test fotogrametria</t>
  </si>
  <si>
    <t>Riprendiamo transetto</t>
  </si>
  <si>
    <t>macrouridae</t>
  </si>
  <si>
    <t>Inizio secondo test di fotogrammetria</t>
  </si>
  <si>
    <t>Fine test continuazione del transetto</t>
  </si>
  <si>
    <t>Ci avviciniamo al tms per aumentare velocità su tratto piatto</t>
  </si>
  <si>
    <t>Riprendiamo il transetto sul fondo</t>
  </si>
  <si>
    <t>Chiazze bianche multiple</t>
  </si>
  <si>
    <t>cf. melanostigma atlanticum</t>
  </si>
  <si>
    <t>Recover to deck</t>
  </si>
  <si>
    <t>cf. Notacanthus bonaparte</t>
  </si>
  <si>
    <t xml:space="preserve">serpulidi ricoperti di lava </t>
  </si>
  <si>
    <t>cf. Swiftia su tanatocenosi ricoperta da Fe-Mn</t>
  </si>
  <si>
    <t xml:space="preserve">scoop net liscio </t>
  </si>
  <si>
    <t xml:space="preserve">detrito biogenico - gusci pteropodi </t>
  </si>
  <si>
    <t xml:space="preserve">polichete che fa ciambella su fango </t>
  </si>
  <si>
    <t xml:space="preserve">scoop net dentellato </t>
  </si>
  <si>
    <t xml:space="preserve">Cataetyx laticeps </t>
  </si>
  <si>
    <t xml:space="preserve">transito a 5 m dal fondo a velocità 0.5 kn - transetto interrotto </t>
  </si>
  <si>
    <t xml:space="preserve">fine transito - ripreso transetto </t>
  </si>
  <si>
    <t xml:space="preserve">spugna gialla a pallina </t>
  </si>
  <si>
    <t xml:space="preserve">concrezioni solforose a base delle rocce </t>
  </si>
  <si>
    <t>fango più compatto tumultuoso</t>
  </si>
  <si>
    <t xml:space="preserve">interrotto a 4100 mp </t>
  </si>
  <si>
    <t xml:space="preserve">detrito biogenico - gusci di pteropodi </t>
  </si>
  <si>
    <t>Tentativo di campionamento</t>
  </si>
  <si>
    <t>organismo setoloso</t>
  </si>
  <si>
    <t xml:space="preserve">siluro tipo torpedo inesploso </t>
  </si>
  <si>
    <t xml:space="preserve">munizione di cannone </t>
  </si>
  <si>
    <t xml:space="preserve">oggetto scuro nd. </t>
  </si>
  <si>
    <t xml:space="preserve">interrotto a 750 mp </t>
  </si>
  <si>
    <t>Fermi sul fondale</t>
  </si>
  <si>
    <t>Notachanthus Bonaparte</t>
  </si>
  <si>
    <t>Polichete fossorio</t>
  </si>
  <si>
    <t>In grandi quantità, formano traccia circolare sul fango</t>
  </si>
  <si>
    <t>Grandi quantità di policheti che formano traccia circolare su fango</t>
  </si>
  <si>
    <t xml:space="preserve"> </t>
  </si>
  <si>
    <t>Spugna sferica nd</t>
  </si>
  <si>
    <t>Spugna sferica giallastra nd</t>
  </si>
  <si>
    <t>accumuli di gussci di pteropodi e probablle spugna gialla, simile a quella precedentemente campionata</t>
  </si>
  <si>
    <t>detrito biogenico - gusci pteropodi</t>
  </si>
  <si>
    <t>Tanti Sipuncula (policheti con la ciambella) luungo tutto il transetto</t>
  </si>
  <si>
    <t>Accumulo di detrito biogenico</t>
  </si>
  <si>
    <t>Fondo fangoso con numerose cunutte irregolari e accumuli di detrito biogenico</t>
  </si>
  <si>
    <t>Macrouridae con probabile parassita</t>
  </si>
  <si>
    <t>Spugna (?) giallastra sferica</t>
  </si>
  <si>
    <t>Risaliamo verso il tms per velocizzare prossimo segmento del transetto</t>
  </si>
  <si>
    <t>Torniamo sul fondo</t>
  </si>
  <si>
    <t>Pesce nd</t>
  </si>
  <si>
    <t xml:space="preserve"> Sipuncula (policheti con la ciambella) </t>
  </si>
  <si>
    <t>valigia</t>
  </si>
  <si>
    <t>tentativo di campionare valigia con possibli ascidie</t>
  </si>
  <si>
    <t>altre due valigie</t>
  </si>
  <si>
    <t xml:space="preserve">standby tecnico </t>
  </si>
  <si>
    <t xml:space="preserve">necessario risalire on deck per sostituzione batteria sonda </t>
  </si>
  <si>
    <t xml:space="preserve">fine standby tecnico - ripreso transetto dopo cambio batteria ctd </t>
  </si>
  <si>
    <t xml:space="preserve">Penilpidia ludwigi </t>
  </si>
  <si>
    <t xml:space="preserve">fotogrammetria </t>
  </si>
  <si>
    <t xml:space="preserve">cf. Dicopia antirrhinum </t>
  </si>
  <si>
    <t>ROV si alza 5 m da fondo e procede a velocità 0.5 kn</t>
  </si>
  <si>
    <t xml:space="preserve">ROV ritorna sul fondo e riprende il transetto </t>
  </si>
  <si>
    <t xml:space="preserve">tentativo di campionamento gorgopnia su sclerattinia roicoperta da Fe-Mn </t>
  </si>
  <si>
    <t xml:space="preserve">parete di roccia </t>
  </si>
  <si>
    <t xml:space="preserve">tanatocenosi litistidi </t>
  </si>
  <si>
    <t xml:space="preserve">camini di roccia - possibili emissioni </t>
  </si>
  <si>
    <t>campione di Sipuncula (polichete)</t>
  </si>
  <si>
    <t>presi due esemplari</t>
  </si>
  <si>
    <t>Bottiglia infossata</t>
  </si>
  <si>
    <t>Gamberetti</t>
  </si>
  <si>
    <t>D. licha</t>
  </si>
  <si>
    <t>macrouridae con parassita</t>
  </si>
  <si>
    <t xml:space="preserve">Inizio campionamento </t>
  </si>
  <si>
    <t>Campionato framework di anellidi</t>
  </si>
  <si>
    <t>Campionamento riuscito</t>
  </si>
  <si>
    <t>Foraminiferi su anfora</t>
  </si>
  <si>
    <t>Saliamo verso tms per speed up 400 metri</t>
  </si>
  <si>
    <t>Organismo nd che rientra velocemente in buco nel fango</t>
  </si>
  <si>
    <t>p. ludwigi</t>
  </si>
  <si>
    <t>Gran numero di  Sipuncula (policheti con la ciambella) lungo tutto il transetto</t>
  </si>
  <si>
    <t>p.ludwigi</t>
  </si>
  <si>
    <t>Dipturus sp</t>
  </si>
  <si>
    <t>C. laticeps</t>
  </si>
  <si>
    <t xml:space="preserve">campionamento donut worm </t>
  </si>
  <si>
    <t>3 individui</t>
  </si>
  <si>
    <t>Bathypetorides sp. - giovanile?</t>
  </si>
  <si>
    <t>trasferimento a 5 m dal fondo</t>
  </si>
  <si>
    <t>ripreso il transetto</t>
  </si>
  <si>
    <t>rifiuti vari</t>
  </si>
  <si>
    <t>lattina</t>
  </si>
  <si>
    <t xml:space="preserve">Dipturus cf. batis </t>
  </si>
  <si>
    <t xml:space="preserve">interrotta registrazione per problema tecnico rov </t>
  </si>
  <si>
    <t xml:space="preserve">torna a 20 m per riavvio </t>
  </si>
  <si>
    <t>riprende registrazione</t>
  </si>
  <si>
    <t xml:space="preserve">Chaliodus sloani </t>
  </si>
  <si>
    <t xml:space="preserve">tentativo campionamento cnidario nd su fango </t>
  </si>
  <si>
    <t>Cnidario nd</t>
  </si>
  <si>
    <t>isidiidae spezzato</t>
  </si>
  <si>
    <t>Isidella epibiontata con zoantideo, A. dohrni, piccoli gamberi, 3 granchi</t>
  </si>
  <si>
    <t>Residuo di isidella epibiontata con spugna biancastra e granchio</t>
  </si>
  <si>
    <t>P. periphylla</t>
  </si>
  <si>
    <t>Pesce striato</t>
  </si>
  <si>
    <t>Piccolo pesce nd</t>
  </si>
  <si>
    <t>Roccia con zoantidei, stoloniferi?, spugne incrostanti, brachiopodi</t>
  </si>
  <si>
    <t>Medusa nera</t>
  </si>
  <si>
    <t>Resti di isidella + Ascidie</t>
  </si>
  <si>
    <t xml:space="preserve">Pesce </t>
  </si>
  <si>
    <t>Roccia con spugne, mollecorallium e altre specie miste</t>
  </si>
  <si>
    <t>tentativo di campionamento roccia con mollecorallium e altre specie</t>
  </si>
  <si>
    <t>Fallito</t>
  </si>
  <si>
    <t>Spugna bianca cf. P. monilifera con epibionti</t>
  </si>
  <si>
    <t>Viminella flagellum</t>
  </si>
  <si>
    <t>Spugne bianche Gepodia sp. su tanatocenosi</t>
  </si>
  <si>
    <t>Mollecorallium</t>
  </si>
  <si>
    <t>Bathyinectes</t>
  </si>
  <si>
    <t>C</t>
  </si>
  <si>
    <t>Standby per handover</t>
  </si>
  <si>
    <t xml:space="preserve">A. rissoana su V flagellum </t>
  </si>
  <si>
    <t>tentativo campionamento Parantipathes n sp</t>
  </si>
  <si>
    <t>Polymastia</t>
  </si>
  <si>
    <t xml:space="preserve">cf. Exidmonea atlantica </t>
  </si>
  <si>
    <t xml:space="preserve">A. rissoana </t>
  </si>
  <si>
    <t xml:space="preserve">Munida sp </t>
  </si>
  <si>
    <t>spugna bianca incrostante</t>
  </si>
  <si>
    <t>C. abissicola</t>
  </si>
  <si>
    <t>ramo epibiontato - zoantidei, scleractinie, idroidi</t>
  </si>
  <si>
    <t>Chauliodus solani</t>
  </si>
  <si>
    <t>mollecorallium</t>
  </si>
  <si>
    <t>A. rissoana su viminella tutta epibionata</t>
  </si>
  <si>
    <t>Sterasclerias neglecta</t>
  </si>
  <si>
    <t>picnogonide</t>
  </si>
  <si>
    <t xml:space="preserve">inizio campionamento A. dichotoma </t>
  </si>
  <si>
    <t xml:space="preserve">campione A. dichotoma </t>
  </si>
  <si>
    <t xml:space="preserve">tentativo campionamento P. carpenteri - fallito </t>
  </si>
  <si>
    <t xml:space="preserve">Loligo sp. </t>
  </si>
  <si>
    <t xml:space="preserve">segni strascico </t>
  </si>
  <si>
    <t xml:space="preserve">terminato a 730 mp </t>
  </si>
  <si>
    <t>campionamento di acqua</t>
  </si>
  <si>
    <t>A. rissoana su isidella</t>
  </si>
  <si>
    <t>tantissime isidelle</t>
  </si>
  <si>
    <t>4 H. italicus</t>
  </si>
  <si>
    <t>molti segni di strascico</t>
  </si>
  <si>
    <t>tunicato</t>
  </si>
  <si>
    <t>Donut worm + Detrito nd</t>
  </si>
  <si>
    <t>con scoopnet</t>
  </si>
  <si>
    <t>Mucillaggine verdastra nd</t>
  </si>
  <si>
    <t>Roccia con vermetidi fossili</t>
  </si>
  <si>
    <t>Ascidia?</t>
  </si>
  <si>
    <t>Idroide</t>
  </si>
  <si>
    <t>Grande presenza di "donut worms"</t>
  </si>
  <si>
    <t>Spugna biancastra</t>
  </si>
  <si>
    <t>cf. muriceides lepida</t>
  </si>
  <si>
    <t>Picnogonide</t>
  </si>
  <si>
    <t>gorgonia giallastra nd</t>
  </si>
  <si>
    <t>Antiphates + spugna biancastra nd</t>
  </si>
  <si>
    <t>Cf muriceides lepida</t>
  </si>
  <si>
    <t>idrozoi</t>
  </si>
  <si>
    <t>matte batterica?</t>
  </si>
  <si>
    <t>H. italicus?</t>
  </si>
  <si>
    <t>cf. Lepidion</t>
  </si>
  <si>
    <t>coryphaenoides mediterraneus</t>
  </si>
  <si>
    <t>N. malanurum</t>
  </si>
  <si>
    <t>Antiphates morta</t>
  </si>
  <si>
    <t>cf. bathynectes maravigna</t>
  </si>
  <si>
    <t>Lepidion sp.</t>
  </si>
  <si>
    <t xml:space="preserve">on TMS - transito in acqua </t>
  </si>
  <si>
    <t xml:space="preserve">grande densità Antipathes sp. </t>
  </si>
  <si>
    <t xml:space="preserve">Acanthogorgia sp. </t>
  </si>
  <si>
    <t xml:space="preserve">Placogorgia sp. </t>
  </si>
  <si>
    <t xml:space="preserve">L. glaberrima </t>
  </si>
  <si>
    <t xml:space="preserve">tanatocenosi serpulidi e sclerattinie su roccia </t>
  </si>
  <si>
    <t xml:space="preserve">foraminiferi/vermi che formano tracce circolarii su fango </t>
  </si>
  <si>
    <t xml:space="preserve">Dicopia anthirrinum </t>
  </si>
  <si>
    <t>balani</t>
  </si>
  <si>
    <t xml:space="preserve">spugna bianca incrostante </t>
  </si>
  <si>
    <t xml:space="preserve">donut worms </t>
  </si>
  <si>
    <t xml:space="preserve">Ceramaster sp. </t>
  </si>
  <si>
    <t>ROV si alza per scavallare pendenza e ripercorrela a ritroso da batimetrica maggiore - transetto interrotto</t>
  </si>
  <si>
    <t xml:space="preserve">ROV di nuvo sul fondo - riprende transetto </t>
  </si>
  <si>
    <t xml:space="preserve">slope di fango </t>
  </si>
  <si>
    <t>parete verticale con tanatocenosi serpulidii e sclerattinie ricoperti da Fe-Mn</t>
  </si>
  <si>
    <t>Dicopia antirrhinum</t>
  </si>
  <si>
    <t xml:space="preserve">Ligur ensiferus </t>
  </si>
  <si>
    <t xml:space="preserve">canyon profondo sulla cima del monte - non riportato dalle batimetriche </t>
  </si>
  <si>
    <t xml:space="preserve">proviamo ad esplorarlo scendendo </t>
  </si>
  <si>
    <t>Out of TMS</t>
  </si>
  <si>
    <t>Coryphenoides sp.</t>
  </si>
  <si>
    <t>Egagropila</t>
  </si>
  <si>
    <t>Svariati donut worms</t>
  </si>
  <si>
    <t>egagropila</t>
  </si>
  <si>
    <t>N. melanurun</t>
  </si>
  <si>
    <t>Polichete nd</t>
  </si>
  <si>
    <t>matrice batterica</t>
  </si>
  <si>
    <t>munida sp</t>
  </si>
  <si>
    <t>gorgonia bianca nd</t>
  </si>
  <si>
    <t>Elevato numero di antiphates sp.</t>
  </si>
  <si>
    <t>Spugna bianca nd</t>
  </si>
  <si>
    <t>Parete lavica con gran numero di antiphates sp.</t>
  </si>
  <si>
    <t>Dypturus sp.</t>
  </si>
  <si>
    <t>Fondale fangoso con concavità irregolari</t>
  </si>
  <si>
    <t>1026mp</t>
  </si>
  <si>
    <t xml:space="preserve">standby per spinning out prolungato (50 minunti - dalle 5:25) </t>
  </si>
  <si>
    <t xml:space="preserve">serpulidi e Desmophyllum ricoperti da Fe-Mn </t>
  </si>
  <si>
    <t xml:space="preserve">tubi di sedimento agglutinato </t>
  </si>
  <si>
    <t xml:space="preserve">Gracilechinus sp. </t>
  </si>
  <si>
    <t xml:space="preserve">Metaverruca imbricata </t>
  </si>
  <si>
    <t>Serpulida</t>
  </si>
  <si>
    <t>vermi che lasciano traccia circolare (donut worm)</t>
  </si>
  <si>
    <t>Lepidion lepidion</t>
  </si>
  <si>
    <t>2 indivdui</t>
  </si>
  <si>
    <t>cf. Dicopia sp.</t>
  </si>
  <si>
    <t>Asteroideo</t>
  </si>
  <si>
    <t>gorgonia? nd</t>
  </si>
  <si>
    <t xml:space="preserve">mucillagine batterica </t>
  </si>
  <si>
    <t>Recover on deck per batterie sonda scariche</t>
  </si>
  <si>
    <t>Donut worm</t>
  </si>
  <si>
    <t>on tms</t>
  </si>
  <si>
    <t xml:space="preserve">out of tms </t>
  </si>
  <si>
    <t xml:space="preserve">Geryon longipes </t>
  </si>
  <si>
    <t xml:space="preserve">agglomerati di sedimento </t>
  </si>
  <si>
    <t xml:space="preserve">con isopode parassita </t>
  </si>
  <si>
    <t>Trachyrinchus sp.</t>
  </si>
  <si>
    <t xml:space="preserve">tanatocenosi serpulidi e desmophyllum ricoperti di Fe-Mn </t>
  </si>
  <si>
    <t xml:space="preserve">ci alziamo 5 m da fondo per procedere a velocità 0.5 kn per 800 m </t>
  </si>
  <si>
    <t xml:space="preserve">riprendiamo transetto sul fondo </t>
  </si>
  <si>
    <t xml:space="preserve">slope con detrito </t>
  </si>
  <si>
    <t xml:space="preserve">tanatocenosi serpulidi e desmophyllum ricoperti di Fe-Mn su parete verticale </t>
  </si>
  <si>
    <t xml:space="preserve">spugna bianca massiva con tanatocenosi </t>
  </si>
  <si>
    <t xml:space="preserve">Dicopia antirrhinum </t>
  </si>
  <si>
    <t xml:space="preserve">Ceramaster cf. grenadensis </t>
  </si>
  <si>
    <t>inizio campionamento - T4</t>
  </si>
  <si>
    <t>cf. muriceides</t>
  </si>
  <si>
    <t xml:space="preserve">riposizionamento tms - fermi </t>
  </si>
  <si>
    <t>tagliamo curva del transetto</t>
  </si>
  <si>
    <t>roccia con lollipop sponges</t>
  </si>
  <si>
    <t xml:space="preserve">Telestula sp. </t>
  </si>
  <si>
    <t xml:space="preserve">pezzo di roccia con stoloniferi e ottocorallo nd. </t>
  </si>
  <si>
    <t xml:space="preserve">transetto terminato a 420 mp </t>
  </si>
  <si>
    <t xml:space="preserve">Gambero </t>
  </si>
  <si>
    <t>Polistirolo</t>
  </si>
  <si>
    <t>Periphylla periphylla</t>
  </si>
  <si>
    <t>Donut worms presenti</t>
  </si>
  <si>
    <t>Notacanthus</t>
  </si>
  <si>
    <t>Granchio</t>
  </si>
  <si>
    <t>Granchio su materiale nd</t>
  </si>
  <si>
    <t>Pesce nd (caudale nera cf N. melanurum)</t>
  </si>
  <si>
    <t xml:space="preserve">Dicopia sp. </t>
  </si>
  <si>
    <t>Anemone nd</t>
  </si>
  <si>
    <t>Possibile anfora con coralliti sopra</t>
  </si>
  <si>
    <t>Anfora con granchio</t>
  </si>
  <si>
    <t>Anfora con granchio (P. cuvieri</t>
  </si>
  <si>
    <t>Anfora con cf Nettastoma, granchio bianco e foraminiferi</t>
  </si>
  <si>
    <t>Anfora con granchio bianco che mangia foraminiferi</t>
  </si>
  <si>
    <t>Frammento di anfora</t>
  </si>
  <si>
    <t>Rifiuto nd</t>
  </si>
  <si>
    <t>Ascidia nd</t>
  </si>
  <si>
    <t>cf Mora moro</t>
  </si>
  <si>
    <t>Pesce nd cf Notacanthus</t>
  </si>
  <si>
    <t>200 m a 10 m dal fondo</t>
  </si>
  <si>
    <t>Trachyscorpia echinata</t>
  </si>
  <si>
    <t>Dipturus sp.</t>
  </si>
  <si>
    <t xml:space="preserve">Cerianthus </t>
  </si>
  <si>
    <t>Isididae</t>
  </si>
  <si>
    <t>isididae</t>
  </si>
  <si>
    <t>(dalla b&amp;w)</t>
  </si>
  <si>
    <t>campionamento fallito Parantipathes</t>
  </si>
  <si>
    <t>Anfora e frammenti con foraminiferi e cnidari</t>
  </si>
  <si>
    <t xml:space="preserve">on tms </t>
  </si>
  <si>
    <t>out of tms</t>
  </si>
  <si>
    <t xml:space="preserve">Epizoanthus sp. su M. oculata </t>
  </si>
  <si>
    <t xml:space="preserve">Epizoanthus sp. su roccia </t>
  </si>
  <si>
    <t>stella piccola bianca nd.</t>
  </si>
  <si>
    <t xml:space="preserve">Placogorgia sp. su blocco di roccia </t>
  </si>
  <si>
    <t xml:space="preserve">Trachyscorpia echinata </t>
  </si>
  <si>
    <t>Parantipathes larix</t>
  </si>
  <si>
    <t>Fotogrammetria blocco di coralli in cima al monte</t>
  </si>
  <si>
    <t xml:space="preserve">fine acquisizione </t>
  </si>
  <si>
    <t xml:space="preserve">procediamo a 5 m dal fondo a velocità 0.5 kn - sorvoliamo isididi su fango per 600 m </t>
  </si>
  <si>
    <t xml:space="preserve">torniamo vicini al fondale a velocità ridotta </t>
  </si>
  <si>
    <t xml:space="preserve">grande quantità di detrito sparso su sedimento </t>
  </si>
  <si>
    <t xml:space="preserve">Epizoanthus sp. su D. dianthus </t>
  </si>
  <si>
    <t>coral rubble di M. oculata e D. pertusum</t>
  </si>
  <si>
    <t xml:space="preserve">Anamanthia rissoana su L. glaberrima </t>
  </si>
  <si>
    <t xml:space="preserve">fine habitat </t>
  </si>
  <si>
    <t xml:space="preserve">asse placogorgia con idroidi </t>
  </si>
  <si>
    <t xml:space="preserve">Epizoanthus sp. su scheletro corallo nero </t>
  </si>
  <si>
    <t xml:space="preserve">tanatocenosi di Dendrophyllia e coralli bianchi </t>
  </si>
  <si>
    <t xml:space="preserve">Placogorgia più densa </t>
  </si>
  <si>
    <t xml:space="preserve">Batinectes maravigna </t>
  </si>
  <si>
    <t>Coral rubble con Placogorgia</t>
  </si>
  <si>
    <t xml:space="preserve">stella bianca </t>
  </si>
  <si>
    <t>colonie leiopthes arancioni e rossicce</t>
  </si>
  <si>
    <t>procediamo a 4 m dal fondo a velocità 0.4 kn - sorvoliamo foresta di Placogorgia su tanatocenosi e l. glaberrima</t>
  </si>
  <si>
    <t>fine habitat - continua fango con colonie sparse di Placogorgia sp. su coral rubble</t>
  </si>
  <si>
    <t xml:space="preserve">isididi su roccia </t>
  </si>
  <si>
    <t xml:space="preserve">spugne grige massive </t>
  </si>
  <si>
    <t>Neopicnodonte zibrowii</t>
  </si>
  <si>
    <t>P. larix rossa</t>
  </si>
  <si>
    <t xml:space="preserve">A. rissoana su L. glaberrima  </t>
  </si>
  <si>
    <t>Out of tms</t>
  </si>
  <si>
    <t>Fondo</t>
  </si>
  <si>
    <t xml:space="preserve">tanti Loligo sp. </t>
  </si>
  <si>
    <t>C. sloani presenti in grande numero</t>
  </si>
  <si>
    <t>Solmissus sp</t>
  </si>
  <si>
    <t>Aggregazione di sedimento</t>
  </si>
  <si>
    <t>Anfora con H. dactylopterus</t>
  </si>
  <si>
    <t>Dicopia sp.</t>
  </si>
  <si>
    <t xml:space="preserve">Solmissus sp. </t>
  </si>
  <si>
    <t>cf. Galeorhinus galeus (Triakidae)</t>
  </si>
  <si>
    <t>Piccole spugne bianche</t>
  </si>
  <si>
    <t>Asteroidea</t>
  </si>
  <si>
    <t>Loligo sp</t>
  </si>
  <si>
    <t>Speed un di 10 metri dal fondale per 300 metri</t>
  </si>
  <si>
    <t>ripreso il transetto in prossimità del fondo</t>
  </si>
  <si>
    <t>A. rissoana sopra antipathes</t>
  </si>
  <si>
    <t>Piccole spugne gialle incrostanti distribuite sulle rocce</t>
  </si>
  <si>
    <t>Presenza di varie solmissus sp.</t>
  </si>
  <si>
    <t>Octopus sp.</t>
  </si>
  <si>
    <t>Da cercare ()</t>
  </si>
  <si>
    <t>Spugna viola</t>
  </si>
  <si>
    <t>Gracilechinus sp</t>
  </si>
  <si>
    <t>Arrivati al fondo e fatto lo spinning</t>
  </si>
  <si>
    <t>Tazza di ceramica</t>
  </si>
  <si>
    <t>Zooantari su scheletro di cnidario nd</t>
  </si>
  <si>
    <t>cf polichete</t>
  </si>
  <si>
    <t>Stand by (non funziona la camera del manipolatore)</t>
  </si>
  <si>
    <t>Riprendendo il transetto</t>
  </si>
  <si>
    <t xml:space="preserve">Recover </t>
  </si>
  <si>
    <t xml:space="preserve">risalita temporanea -  per riscendere e riprendere parte finale del transetto </t>
  </si>
  <si>
    <t xml:space="preserve">riprende a ridosso dell'ultima parete </t>
  </si>
  <si>
    <t xml:space="preserve">carota n° 8 </t>
  </si>
  <si>
    <t xml:space="preserve">fondale strascicato </t>
  </si>
  <si>
    <t>Mesothuria intestinalis</t>
  </si>
  <si>
    <t xml:space="preserve">zoantidei su asse isidide </t>
  </si>
  <si>
    <t>zoantidei su ramo isidide ?</t>
  </si>
  <si>
    <t xml:space="preserve">ci alziamo di 4 m dal fondale per procedere a 0.5 kn </t>
  </si>
  <si>
    <t>segni di strascico meno recenti</t>
  </si>
  <si>
    <t>fine fondo strascicato</t>
  </si>
  <si>
    <t>stylocidaris affinis</t>
  </si>
  <si>
    <t xml:space="preserve">Batynectes maravigna </t>
  </si>
  <si>
    <t xml:space="preserve">Sclerasterias neglecta </t>
  </si>
  <si>
    <t xml:space="preserve">Parantipathes n. sp. </t>
  </si>
  <si>
    <t xml:space="preserve">gia staccata per terra </t>
  </si>
  <si>
    <t xml:space="preserve">Parantipathes </t>
  </si>
  <si>
    <t xml:space="preserve">una sola fila di pinnule </t>
  </si>
  <si>
    <t>pezzo di anfora</t>
  </si>
  <si>
    <t xml:space="preserve">ci alziamo di 4 m per procedere a velocità 0.5 kn </t>
  </si>
  <si>
    <t>Sul fondo</t>
  </si>
  <si>
    <t>Presenza di varie solmissus sp</t>
  </si>
  <si>
    <t>Salpa</t>
  </si>
  <si>
    <t>Ancora presenza di varie solmissus sp.</t>
  </si>
  <si>
    <t>Balanidi</t>
  </si>
  <si>
    <t>cf. Hexancus griseus</t>
  </si>
  <si>
    <t>Grande presenza di balanidi</t>
  </si>
  <si>
    <t>Interrotto a 1171 mp</t>
  </si>
  <si>
    <t>Bidone con serpulide, sclerattinie e balanidi</t>
  </si>
  <si>
    <t>bidone</t>
  </si>
  <si>
    <t>rifiuto</t>
  </si>
  <si>
    <t>ramo di corallo nero ricoperto di zooantari su fango  e gamberetto</t>
  </si>
  <si>
    <t>Rifiuti vari con sopra Munida sp.</t>
  </si>
  <si>
    <t>J13 bottiglia o contenitore plastica, contenitori, buste</t>
  </si>
  <si>
    <t>Rifiuti con ramo di corallo nero</t>
  </si>
  <si>
    <t>Ostriche morte su roccia, coperte da sedimento</t>
  </si>
  <si>
    <t xml:space="preserve">Spugna circolare, bianca, con osculo grande </t>
  </si>
  <si>
    <t>Valva di ostrica</t>
  </si>
  <si>
    <t>Mucillagine batterica</t>
  </si>
  <si>
    <t>Grande presenza di H. italicus</t>
  </si>
  <si>
    <t>K. stelliferum</t>
  </si>
  <si>
    <t>1257 mp</t>
  </si>
  <si>
    <t xml:space="preserve">Lepidorhombus wiffhiagonis </t>
  </si>
  <si>
    <t>cidaridi sparsi</t>
  </si>
  <si>
    <t>Plesionika sp.</t>
  </si>
  <si>
    <t xml:space="preserve">Sabella spallanzani </t>
  </si>
  <si>
    <t xml:space="preserve">fotogrammetria blocco </t>
  </si>
  <si>
    <t>fine acquisizione</t>
  </si>
  <si>
    <t xml:space="preserve">Acanthogorgia hirsuta </t>
  </si>
  <si>
    <t>Acanthogorgia hirsuta</t>
  </si>
  <si>
    <t xml:space="preserve">Raja sp. </t>
  </si>
  <si>
    <t xml:space="preserve">ritornati sul fondo </t>
  </si>
  <si>
    <t xml:space="preserve">campionamento acqua con niskin </t>
  </si>
  <si>
    <t>abortito</t>
  </si>
  <si>
    <t xml:space="preserve">Standby tecnico per problemi con heading, transetto non ancora iniziato </t>
  </si>
  <si>
    <t xml:space="preserve">Isidella impigliata in tessuto </t>
  </si>
  <si>
    <t>Inizio effettivo transetto</t>
  </si>
  <si>
    <t>Trachyrinchus sp./Coelorinchus labiatus</t>
  </si>
  <si>
    <t>Cfr Scaeurgus unicirrhus</t>
  </si>
  <si>
    <t>Transetto interrotto</t>
  </si>
  <si>
    <t>Trasferimento on deck verso il 01_T06</t>
  </si>
  <si>
    <t>Teleosteo anguilliforme ND</t>
  </si>
  <si>
    <t>Notacanthus bonapartei</t>
  </si>
  <si>
    <t>Hymenochepalus italicus</t>
  </si>
  <si>
    <t>Facciolella oxyrhyrinca</t>
  </si>
  <si>
    <t>Myctophidae</t>
  </si>
  <si>
    <t>Prova campionamento</t>
  </si>
  <si>
    <t>Togliere carpenteri</t>
  </si>
  <si>
    <t>Isididae divelto</t>
  </si>
  <si>
    <t>Prova campionamento Protoptilum bianco</t>
  </si>
  <si>
    <t>Myctophide</t>
  </si>
  <si>
    <t>Trasferimento on deck verso il 01_T05</t>
  </si>
  <si>
    <t>Stop tecnico survey</t>
  </si>
  <si>
    <t>Dipturus cf. nidarosiensis</t>
  </si>
  <si>
    <t>Chimaera monstrosa</t>
  </si>
  <si>
    <t>Stella bianca ND</t>
  </si>
  <si>
    <t>Orario indicativo. Trasferimento on deck verso il 01_T18</t>
  </si>
  <si>
    <t>Javania cailleti</t>
  </si>
  <si>
    <t>cf Cidaris cidaris</t>
  </si>
  <si>
    <t>Tanatocenosi coralli bianchi</t>
  </si>
  <si>
    <t>Spugne bianche piccole globose</t>
  </si>
  <si>
    <t>Spugna bianca piccola globosa</t>
  </si>
  <si>
    <t>Spugna bianca piccola globosa a forma di ampolla</t>
  </si>
  <si>
    <t>Gorgonia (Placogorgia coronata)</t>
  </si>
  <si>
    <t>Medusa con ombrello nero (cfr Peryphylla)</t>
  </si>
  <si>
    <t>Trasferimento on deck verso il 01_T01</t>
  </si>
  <si>
    <t>Coral rubble madrepora</t>
  </si>
  <si>
    <t>Ligur ensiferus</t>
  </si>
  <si>
    <t>Coral rubble Desmophyllum pertusum</t>
  </si>
  <si>
    <t>Coral rubble Dendrophyllia sp. morta</t>
  </si>
  <si>
    <t>Oloturide cfr Parastichopus regalis</t>
  </si>
  <si>
    <t>Leiopathes e non Antipathella</t>
  </si>
  <si>
    <t>Cambiare H. falcula con il corrispondente 100-500 m</t>
  </si>
  <si>
    <t>Filograna/Salmacina complex su Leiopathes morta epibiontata</t>
  </si>
  <si>
    <t>Cancellare spugna 100-500</t>
  </si>
  <si>
    <t>Madrepora morta</t>
  </si>
  <si>
    <t>Anamathia rissoana su L. glaberrima morta epibiontata</t>
  </si>
  <si>
    <t>Octopus salutii</t>
  </si>
  <si>
    <t>Cancella Hoplostetus</t>
  </si>
  <si>
    <t>ON TMS</t>
  </si>
  <si>
    <t>Trasferimento con TMS per campionamento acqua al flare</t>
  </si>
  <si>
    <t>OFF TMS</t>
  </si>
  <si>
    <t>Squalus blainville</t>
  </si>
  <si>
    <t>Lepidorhombus boscii</t>
  </si>
  <si>
    <t>Cancellare Hoplostetus</t>
  </si>
  <si>
    <t>Togliere bebryce</t>
  </si>
  <si>
    <t>Macroraphosus scolopax</t>
  </si>
  <si>
    <t>Inizio campionamento niskin</t>
  </si>
  <si>
    <t>Trasferimento on deck verso il 01_T10</t>
  </si>
  <si>
    <t xml:space="preserve">Prova campionamento Antipathes </t>
  </si>
  <si>
    <t>Riuscito</t>
  </si>
  <si>
    <t>Fondale mobile bioperturbato con numerosissime tane di (presunti) crostacei</t>
  </si>
  <si>
    <t>Hymenochephalus italicus</t>
  </si>
  <si>
    <t>Spugne bianche puntiformi</t>
  </si>
  <si>
    <t>Spugne bianche globose e circolari</t>
  </si>
  <si>
    <t>Spugne bianche su roccia</t>
  </si>
  <si>
    <t>Cnidario da identificare</t>
  </si>
  <si>
    <t>Blocco di madrepora oculata morta</t>
  </si>
  <si>
    <t>Madrepora oculata morta</t>
  </si>
  <si>
    <t>Stella simil Ceramaster appuntita</t>
  </si>
  <si>
    <t>Munizioni</t>
  </si>
  <si>
    <t>Isidella abbattuta</t>
  </si>
  <si>
    <t>Tanat a Dendrophylla</t>
  </si>
  <si>
    <t>Plessionika sp.</t>
  </si>
  <si>
    <t>A.antennatus</t>
  </si>
  <si>
    <t>coral rubble D. cornigera</t>
  </si>
  <si>
    <t>togliere funiculina</t>
  </si>
  <si>
    <t>Solenogaster su Acanthogorgia</t>
  </si>
  <si>
    <t>Cancellare Chlorophthalmus</t>
  </si>
  <si>
    <t xml:space="preserve"> numerose Mesothuria intestinalis</t>
  </si>
  <si>
    <t>Spugne globose piccole bianche</t>
  </si>
  <si>
    <t>Spugna bianca incrostante su Madrepora morta</t>
  </si>
  <si>
    <t>Spugne gaille e bianche su tanatocenosi</t>
  </si>
  <si>
    <t>Spugne incrostanti bianche su tanatocenosi</t>
  </si>
  <si>
    <t>Spugne globosebianche su tanatocenosi</t>
  </si>
  <si>
    <t>Hymenocephalus itralicus</t>
  </si>
  <si>
    <t>M. oculata morta</t>
  </si>
  <si>
    <t>Spugne un paio di minuti prima, cfr Pachastrella monilifera</t>
  </si>
  <si>
    <t>Trasferimento on deck verso il 01_T20</t>
  </si>
  <si>
    <t>Vari segni di strascico</t>
  </si>
  <si>
    <t>Campionamento sedimento in pockmark  con push corer n. 5</t>
  </si>
  <si>
    <t>Non andato a buon fine e ripetuto</t>
  </si>
  <si>
    <t>Campionamento sedimento in pockmark  con push corer n. 4</t>
  </si>
  <si>
    <t>Trasferimento on deck verso il 01_T16</t>
  </si>
  <si>
    <t>Cancellare habitat</t>
  </si>
  <si>
    <t>Medusa con ombrello nero</t>
  </si>
  <si>
    <t>Antipathes dichotoma</t>
  </si>
  <si>
    <t>S. pallida rossa alcuni minuti prima (h 05:14:31)</t>
  </si>
  <si>
    <t>Spugne globose bianche</t>
  </si>
  <si>
    <t>Piiù spugne globose bianche</t>
  </si>
  <si>
    <t>Spugna globosa bianca con scoopnet</t>
  </si>
  <si>
    <t>Coral rubbles</t>
  </si>
  <si>
    <t>Spugne bianche circolari con osculo centrale</t>
  </si>
  <si>
    <t>Coral rubble a Madrepora e Lophelia</t>
  </si>
  <si>
    <t>Inizio campionamento presunto Parantipathes n. sp.</t>
  </si>
  <si>
    <t>Parantipathes n. sp.</t>
  </si>
  <si>
    <t>Coral rubble a Dendrophyllia e Madrepora</t>
  </si>
  <si>
    <t>Dendrophyllia morta</t>
  </si>
  <si>
    <t>Desmophyllum morto</t>
  </si>
  <si>
    <t>Parantipathes nd.</t>
  </si>
  <si>
    <t>Placogorgia cf. massiliensis</t>
  </si>
  <si>
    <t>Inizio campionamento P. massiliensis</t>
  </si>
  <si>
    <t>Spugna bianca irregolare</t>
  </si>
  <si>
    <t>Calibrazione laser 36 cm. Trasferimento on deck al 01_T04</t>
  </si>
  <si>
    <t>K. stelliferrum</t>
  </si>
  <si>
    <t>Mesothuria intestinalis e fecal pellets</t>
  </si>
  <si>
    <t>Pennilpidia ludwigi</t>
  </si>
  <si>
    <t>Serpulidi su secchio di metallo</t>
  </si>
  <si>
    <t>rov fermo e riavvio DVR per motivi tecnici</t>
  </si>
  <si>
    <t>Riprendiamo</t>
  </si>
  <si>
    <t>Invertebrato serpentiforme bianco (simil Pennilpidia ma più lungo)</t>
  </si>
  <si>
    <t>Spugna irregolare bianca</t>
  </si>
  <si>
    <t>970 m in risalita cefalopode</t>
  </si>
  <si>
    <t>rov ritorna a bordo per problemi tecnici</t>
  </si>
  <si>
    <t>Spugna bianca globosa</t>
  </si>
  <si>
    <t>Prelevato sedimento (fango) con push corer n. 5</t>
  </si>
  <si>
    <t>Trachyrincus sp.</t>
  </si>
  <si>
    <t>Campionata lollipop sponge Rhizaxinella sp.</t>
  </si>
  <si>
    <t>Transetto tagliato, trasferimento più alto dal fondo per velocizzare</t>
  </si>
  <si>
    <t>tracce fecali di Mesothuria intestinalis</t>
  </si>
  <si>
    <t>Ritornati sulla traccia del transetto circa 7 minuti prima</t>
  </si>
  <si>
    <t>Standby da survey per batterie scariche della CTD</t>
  </si>
  <si>
    <t>Interrotto transetto 160 m prima della fine teorica</t>
  </si>
  <si>
    <t>Risalita del ROV per cambio batterie</t>
  </si>
  <si>
    <t>Cambio batterie CTD</t>
  </si>
  <si>
    <t>Ridiscesa e piccola tratta percorsa per registrazione parametri CTD</t>
  </si>
  <si>
    <t>Inizio percorso per registrazione parametri CTD</t>
  </si>
  <si>
    <t>Fine del tratto ripercorso per rilevamento dati CTD</t>
  </si>
  <si>
    <t>Trasferimento on deck al 30_T06</t>
  </si>
  <si>
    <t>Inizio campionamento Push corer</t>
  </si>
  <si>
    <t>5 minuti prima</t>
  </si>
  <si>
    <t>Trasferimento on TMS al 30_T05</t>
  </si>
  <si>
    <t>Raggiungiamo il nuovo transetto 30_T05 con il ROV in acqua attaccati al TMS. Alle ore 11&gt;17 la nave [ in posizione, ma sul punto di fine transetto e continua il trasferimento sul punto di inizio transetto corretto. alle 12&gt; 44 la nave [ di nuovo in posizione e il rov si stacca dal TMS .</t>
  </si>
  <si>
    <t>cfr N. aequalis</t>
  </si>
  <si>
    <t>Facciolella o Nettastoma</t>
  </si>
  <si>
    <t>cfr Etmopterus spinax</t>
  </si>
  <si>
    <t>cfr Ceramaster</t>
  </si>
  <si>
    <t>F. oxhyrinchus</t>
  </si>
  <si>
    <t>Nicchi argonauta</t>
  </si>
  <si>
    <t>Scaergus unicirrhus</t>
  </si>
  <si>
    <t>Nicchio argonauta</t>
  </si>
  <si>
    <t>Spugna bianca globosa su roccia</t>
  </si>
  <si>
    <t>Spugna bianca grande</t>
  </si>
  <si>
    <t>Geodia sp.</t>
  </si>
  <si>
    <t>Spugne globose bianche su roccia</t>
  </si>
  <si>
    <t xml:space="preserve">Spugna cfr Pachastrella </t>
  </si>
  <si>
    <t>Serpulidi</t>
  </si>
  <si>
    <t>Spugna bianca grande su roccia</t>
  </si>
  <si>
    <t>Spugna bianca grande su roccia cf Geodia</t>
  </si>
  <si>
    <t>Opisthoteuthis calypso</t>
  </si>
  <si>
    <t>Numerose Mesothuria intestinalis</t>
  </si>
  <si>
    <t>Qualche minuto prima anfora (vedi "materiale")</t>
  </si>
  <si>
    <t>Trasferimento on deck verso T11</t>
  </si>
  <si>
    <t>Cfr Aristaeus</t>
  </si>
  <si>
    <t>cfr. Coelorinchus alle 03:28:28</t>
  </si>
  <si>
    <t>Pesce nd cf,</t>
  </si>
  <si>
    <t>cfr rifiuto da riguardare</t>
  </si>
  <si>
    <t>cfr Penilpidia</t>
  </si>
  <si>
    <t>Campionate con scoopnet due spugne piccole bianche globose su substrato indefinito</t>
  </si>
  <si>
    <t>Trasferimento on deck al 30_T02</t>
  </si>
  <si>
    <t>Aristomorpha foliacea</t>
  </si>
  <si>
    <t>Fondo leggermente bioperturbato</t>
  </si>
  <si>
    <t>Opisthotetis/Grimpoteuthis</t>
  </si>
  <si>
    <t>Roccia con matte batterica e due filetti bianchi</t>
  </si>
  <si>
    <t>ripple marks</t>
  </si>
  <si>
    <t>gryphus vitreus</t>
  </si>
  <si>
    <t>cfr. Geodia sp.</t>
  </si>
  <si>
    <t>zona ad elevata densità di corallo nero di piccole dimensioni</t>
  </si>
  <si>
    <t>Serpulidi su roccia</t>
  </si>
  <si>
    <t>cfr. Geodia</t>
  </si>
  <si>
    <t>cancella pachastrella e metti cfr geodia</t>
  </si>
  <si>
    <t>cfr Geodia</t>
  </si>
  <si>
    <t>Trasferimento on deck al 30_08</t>
  </si>
  <si>
    <t>Corallo nd 5 minuti prima</t>
  </si>
  <si>
    <t>Nicchio Argonauta</t>
  </si>
  <si>
    <t>Lampada led</t>
  </si>
  <si>
    <t>Tentativo fotogrammetria su insieme di tane in fango</t>
  </si>
  <si>
    <t>Fotogrammetria su insieme di tane in fango dalle h 21:20 alle 21:32</t>
  </si>
  <si>
    <t>Trasferimento on deck al 30_T01</t>
  </si>
  <si>
    <t xml:space="preserve">Nicchio Argonauta </t>
  </si>
  <si>
    <t>Rametto 10 sec prima</t>
  </si>
  <si>
    <t>Nichhio Argonauta</t>
  </si>
  <si>
    <t xml:space="preserve">  Pesce nd chiaro due minuti prima vicino al litter hotspot</t>
  </si>
  <si>
    <t>Rivedere crostaceo?</t>
  </si>
  <si>
    <t>Pesce nd chiaro</t>
  </si>
  <si>
    <t>Anemone rosa</t>
  </si>
  <si>
    <t>Tentativo di campionamento anemone su roccia abortito</t>
  </si>
  <si>
    <t>Spugne incrostanti gialle e a palline bianche</t>
  </si>
  <si>
    <t>Spugna bianca incrostante</t>
  </si>
  <si>
    <t>ROV on TMS trasferimento non registrato, manca il video del traferimento TMS)</t>
  </si>
  <si>
    <t>Trasferimento on TMS al 30_T13</t>
  </si>
  <si>
    <t>Trachyrrinchus</t>
  </si>
  <si>
    <t>inizio campionamento pezzetto di roccia</t>
  </si>
  <si>
    <t>campionamento completato</t>
  </si>
  <si>
    <t>cfr. Etmopterus sp.</t>
  </si>
  <si>
    <t xml:space="preserve">Campionato blocco di roccia con pallini bianchi </t>
  </si>
  <si>
    <t>S. unicirrhus</t>
  </si>
  <si>
    <t>Faciolella oxyrhynchus</t>
  </si>
  <si>
    <t>porifero forse</t>
  </si>
  <si>
    <t>Trasferimento on deck al 59_T06</t>
  </si>
  <si>
    <t>registrazione avviata alle 22:40</t>
  </si>
  <si>
    <t>Forse rizoma di Posidonia</t>
  </si>
  <si>
    <t>Oloturia vedi</t>
  </si>
  <si>
    <t>Foglia Posidonia</t>
  </si>
  <si>
    <t>Avannotto Bathypterois</t>
  </si>
  <si>
    <t>Probabili resti vegetali (ramo)</t>
  </si>
  <si>
    <t>al posto di altro mettere Spugna nd</t>
  </si>
  <si>
    <t>Roccia con ascidia qualche minuto prima (h 02:03)</t>
  </si>
  <si>
    <t>Togliere Isidella elongata</t>
  </si>
  <si>
    <t>Egagropila. Sostituisci commento con "altro"</t>
  </si>
  <si>
    <t>Salpe/Sifonofori</t>
  </si>
  <si>
    <t>Cfr animale tana</t>
  </si>
  <si>
    <t>Rhizaxinella sp.</t>
  </si>
  <si>
    <t>Vedi stella</t>
  </si>
  <si>
    <t>Cambiare D. pertusum in D. dianthus</t>
  </si>
  <si>
    <t>Due A. rissoana epibionti su Parantipathes</t>
  </si>
  <si>
    <t>Zoanthidei</t>
  </si>
  <si>
    <t>Trasferimento on deck al 59_T05</t>
  </si>
  <si>
    <t>piede di isidella divelta</t>
  </si>
  <si>
    <t>oloturia</t>
  </si>
  <si>
    <t>M. intestinalis fecal pellets</t>
  </si>
  <si>
    <t>piede isidella</t>
  </si>
  <si>
    <t>Possibile reperto archeologico</t>
  </si>
  <si>
    <t>N bonapartei</t>
  </si>
  <si>
    <t>porifero palletta bianca campionato ieri</t>
  </si>
  <si>
    <t>Antipathes dichotoma monopodiale</t>
  </si>
  <si>
    <t>roccia infangata</t>
  </si>
  <si>
    <t>Faciolella oxyrincha</t>
  </si>
  <si>
    <t>Trasferimento nel TMS</t>
  </si>
  <si>
    <r>
      <rPr>
        <sz val="11"/>
        <color rgb="FF000000"/>
        <rFont val="Calibri"/>
        <scheme val="minor"/>
      </rPr>
      <t xml:space="preserve">Ci spostiamo verso il transetto 59_T04 attaccati al TMS. </t>
    </r>
    <r>
      <rPr>
        <b/>
        <sz val="11"/>
        <color rgb="FF000000"/>
        <rFont val="Calibri"/>
        <scheme val="minor"/>
      </rPr>
      <t>Trasferimento on TMS al 59_T04</t>
    </r>
  </si>
  <si>
    <t>Polyacanthonotus rissoanus</t>
  </si>
  <si>
    <t xml:space="preserve">Balani </t>
  </si>
  <si>
    <t xml:space="preserve">Placogorgia morta? </t>
  </si>
  <si>
    <t>Placolorgia morta?</t>
  </si>
  <si>
    <t>Haliclona bioxeata</t>
  </si>
  <si>
    <t>Antipathes monopodiale</t>
  </si>
  <si>
    <t>Anemone/Munida sp.</t>
  </si>
  <si>
    <t>Roccia con Antipathes dichotoma</t>
  </si>
  <si>
    <t xml:space="preserve">Geodia sp. </t>
  </si>
  <si>
    <t>Cfr Muriceides lepida</t>
  </si>
  <si>
    <t>D. dianthus</t>
  </si>
  <si>
    <t>Ramo nero vedi</t>
  </si>
  <si>
    <t>foglia Posidonia</t>
  </si>
  <si>
    <t>Togliere Poliprion . Vedi Antipathes</t>
  </si>
  <si>
    <t>Togli cnidari 1000 2000</t>
  </si>
  <si>
    <t>Facciolella oxyrhinchus</t>
  </si>
  <si>
    <t>CTD scaricata a 261 m, necessario ulteriore immersione per riprendere i dati</t>
  </si>
  <si>
    <t>Breakdown dalle 02:49 alle 03:40</t>
  </si>
  <si>
    <t>Off deck per riscesa per registrazione dati CTD da 271m alla superficie causa esaurimento batterie (registrazione video nella cartella 59_T04_1)</t>
  </si>
  <si>
    <t>Trasferimento on deck al 59_T03</t>
  </si>
  <si>
    <t>porifero bianco forse Polymastia</t>
  </si>
  <si>
    <t>inizio campionamento plasticone</t>
  </si>
  <si>
    <t>Echinoideo ND su marine litter</t>
  </si>
  <si>
    <t>Periphylla dp.</t>
  </si>
  <si>
    <t>Trasferimento on deck al 62_T08</t>
  </si>
  <si>
    <t>Mesothuria instestinalis</t>
  </si>
  <si>
    <t>Prova campionamento Isidella elongata</t>
  </si>
  <si>
    <t>Prova campionamento fallita</t>
  </si>
  <si>
    <t>Lollipop sponge cfr. Sympagella delauzei</t>
  </si>
  <si>
    <t>Zoantidei su sheletro</t>
  </si>
  <si>
    <t>Lollipop sponge cfr. Sympagella delauzei/Rhizaxinella</t>
  </si>
  <si>
    <t>Possibile I. elongata morta</t>
  </si>
  <si>
    <t>Numerose colonie molto sottili simili a Isidella non identificata che verranno segnalati come Cnidari 600 1000</t>
  </si>
  <si>
    <t>Mesothuria instestinalis/ Fecal pellet</t>
  </si>
  <si>
    <t>Trachiryncus sp.</t>
  </si>
  <si>
    <t>cfr. Nezumia aequalis</t>
  </si>
  <si>
    <t>Cancellare dal file tutte le annotazioni dei Cnidari 600 1000 e 100 2000</t>
  </si>
  <si>
    <t>cfr. H. italicus</t>
  </si>
  <si>
    <t>P. rissoanus</t>
  </si>
  <si>
    <t>Egagropilo</t>
  </si>
  <si>
    <t>Rivedere</t>
  </si>
  <si>
    <t>Aristaeomoprha foliacea</t>
  </si>
  <si>
    <t>Zoom qualche minuto prima su spicole di Lollipop sponge</t>
  </si>
  <si>
    <t>Lollipop sponge in fango con scoopnet</t>
  </si>
  <si>
    <t>Aristaeomorpha foliacea</t>
  </si>
  <si>
    <t>Spicole di Lollipop sponge</t>
  </si>
  <si>
    <t>Sedimento fango</t>
  </si>
  <si>
    <t>Rizoma Posidonia</t>
  </si>
  <si>
    <t>Nicchio di argonauta</t>
  </si>
  <si>
    <t xml:space="preserve">ROV on TMS </t>
  </si>
  <si>
    <t>Trasferimento on TMS al 62_T06</t>
  </si>
  <si>
    <t>ROV off TMS</t>
  </si>
  <si>
    <t>Numerose spicole di lollipop sponge</t>
  </si>
  <si>
    <t xml:space="preserve">Rhizaxinella sp. </t>
  </si>
  <si>
    <t>Litter hotspot vetro</t>
  </si>
  <si>
    <t>Rivedere tana animale in movimento</t>
  </si>
  <si>
    <t>Rhizaxinella sp. rosa</t>
  </si>
  <si>
    <t>Lollipop sponge molto allungata</t>
  </si>
  <si>
    <t>Lollipop sponge molto lunga</t>
  </si>
  <si>
    <t>Togliere due "altro" e mettere nicchio Argonauta</t>
  </si>
  <si>
    <t xml:space="preserve">Epibionti (spugne? Brachiopodi?) su spicole di Rhizaxinella sp. </t>
  </si>
  <si>
    <t>Fallito: persi in superficie</t>
  </si>
  <si>
    <t>Rhizaxinella sp.  corta tonda</t>
  </si>
  <si>
    <t xml:space="preserve">Rhizaxinella sp.  </t>
  </si>
  <si>
    <t>Copia impatto e metti fine transetto</t>
  </si>
  <si>
    <t>ROV on TMS</t>
  </si>
  <si>
    <t>Trasferimento on TMS al 62_T04</t>
  </si>
  <si>
    <t>Periphylla periphylla durante trasferimento on TMS</t>
  </si>
  <si>
    <t>ROV out of TMS</t>
  </si>
  <si>
    <t>Rhizaxinella spp.</t>
  </si>
  <si>
    <t>Vedi se pennatulaceo</t>
  </si>
  <si>
    <t>Rhizaxinella spp. molto corta e tonda</t>
  </si>
  <si>
    <t>togliere spugne</t>
  </si>
  <si>
    <t>Trasferimento on deck al 62_T09</t>
  </si>
  <si>
    <t>lollipop sponge</t>
  </si>
  <si>
    <t>inizio campionamento A. dichotoma</t>
  </si>
  <si>
    <t>A. dichotoma</t>
  </si>
  <si>
    <t>il campione di dichotoma è in filameto singolo ma era accanto ad una colonia abbastanza grande e ramificata</t>
  </si>
  <si>
    <t>dall'inizio del transetto sono stati osservati numerosi steli di lollipop senza pop</t>
  </si>
  <si>
    <t>isidella divelte</t>
  </si>
  <si>
    <t>Trasferimento on deck al 62_T07</t>
  </si>
  <si>
    <t>Spicole di lollipop sponge</t>
  </si>
  <si>
    <t>Rizoma</t>
  </si>
  <si>
    <t>Tentativo di campionamento ceriantide fallito</t>
  </si>
  <si>
    <t>Cancella metallo</t>
  </si>
  <si>
    <t>Pezzo di anfora</t>
  </si>
  <si>
    <t>Uova nd su pezzo di anfora</t>
  </si>
  <si>
    <t>Spugna bianca su pezzo di anfora</t>
  </si>
  <si>
    <t>Foglia di Posidonia</t>
  </si>
  <si>
    <t>Ceriantario</t>
  </si>
  <si>
    <t>Trasferimento on deck</t>
  </si>
  <si>
    <t>Foglia posidonia</t>
  </si>
  <si>
    <t>Rami legno</t>
  </si>
  <si>
    <t>Nocantidae</t>
  </si>
  <si>
    <t>Lollipop  sponge corta</t>
  </si>
  <si>
    <t>F. oxyrhynchus</t>
  </si>
  <si>
    <t>Numerose spicole lollipop senza spugna</t>
  </si>
  <si>
    <t>Gomma</t>
  </si>
  <si>
    <t>Copertone auto</t>
  </si>
  <si>
    <t>Trasferimento On deck verso 62_T05</t>
  </si>
  <si>
    <t>cefalopode sul fondo</t>
  </si>
  <si>
    <t>Spugna bianca ND</t>
  </si>
  <si>
    <t>stoloniferi</t>
  </si>
  <si>
    <t>numerose lollipop senza pop</t>
  </si>
  <si>
    <t xml:space="preserve">cfr. Nicella granifera </t>
  </si>
  <si>
    <t>periphilla</t>
  </si>
  <si>
    <t>spugna bianca su roccia</t>
  </si>
  <si>
    <t>bonellia viridis</t>
  </si>
  <si>
    <t>polyacanthonotus/notacanthus</t>
  </si>
  <si>
    <t>a. foliacea</t>
  </si>
  <si>
    <t>base di isidella divelta</t>
  </si>
  <si>
    <t>Faciolella oxyrincha vista poco prima inizio transetto</t>
  </si>
  <si>
    <t>lollipop</t>
  </si>
  <si>
    <t>inizio campionamento lollipop senza pop</t>
  </si>
  <si>
    <t>stelo lollipop</t>
  </si>
  <si>
    <t>A  foliacea</t>
  </si>
  <si>
    <t>Galeus melasthomus</t>
  </si>
  <si>
    <t>Falso allarme</t>
  </si>
  <si>
    <t>Transetto abortito per condizioni meteo avverse</t>
  </si>
  <si>
    <t>lollipop rettangolare (gia campionata)</t>
  </si>
  <si>
    <t>ceramaster</t>
  </si>
  <si>
    <t>munida</t>
  </si>
  <si>
    <t xml:space="preserve">cerianthus sp. </t>
  </si>
  <si>
    <t>pachycerianthus</t>
  </si>
  <si>
    <t>la registrazione è stata interrotta e ripresa perche il dvr si è bloccato</t>
  </si>
  <si>
    <t>porifero bianco</t>
  </si>
  <si>
    <t>cerianthus sp.</t>
  </si>
  <si>
    <t>Segni strascico</t>
  </si>
  <si>
    <t>Cfr Chauliodus sloani</t>
  </si>
  <si>
    <t>Nezumia aequalis (Togli altro 600-1000)</t>
  </si>
  <si>
    <t>Due egagropile</t>
  </si>
  <si>
    <t>Alcune isidelle morte</t>
  </si>
  <si>
    <t>Togliere P. verrucosa</t>
  </si>
  <si>
    <t>Numerose egagropile</t>
  </si>
  <si>
    <t>Rizomi ed egagropile e Fusinus rostratus</t>
  </si>
  <si>
    <t>Cnidari nd</t>
  </si>
  <si>
    <t>Ramo nd morto</t>
  </si>
  <si>
    <t xml:space="preserve">Segni di strascico </t>
  </si>
  <si>
    <t>Coral ruble</t>
  </si>
  <si>
    <t>Anfora rotta</t>
  </si>
  <si>
    <t>cfr Aristaeomorpha foliacea</t>
  </si>
  <si>
    <t>Zona già percorsa in precedenza, ritorno al transetto dopo breve deviazione</t>
  </si>
  <si>
    <t>Togliere plastica</t>
  </si>
  <si>
    <t>cfr Facciolella oxyrincha</t>
  </si>
  <si>
    <t>Viminella abbattuta</t>
  </si>
  <si>
    <t>Munida tenuimana</t>
  </si>
  <si>
    <t>Gryphus vitreus</t>
  </si>
  <si>
    <t>Inserisci ad uno dei due pesci Chlorophtalmus e all'altro Chauliodus</t>
  </si>
  <si>
    <t>Gasteropode cfr Galeodea echinophora</t>
  </si>
  <si>
    <t>Ripple su fango</t>
  </si>
  <si>
    <t>Rombo/Solea</t>
  </si>
  <si>
    <t>Numerosissimi cidaridi</t>
  </si>
  <si>
    <t>Numerosi cidaridi</t>
  </si>
  <si>
    <t>Polpo nd</t>
  </si>
  <si>
    <t xml:space="preserve">Plesionika narval </t>
  </si>
  <si>
    <t>Numerosi cidaridi anche in cluster</t>
  </si>
  <si>
    <t>Elimina fango</t>
  </si>
  <si>
    <t>Canella il fine transetto di 20 secondi prima</t>
  </si>
  <si>
    <t>renella</t>
  </si>
  <si>
    <t>hylinoecia tubicola</t>
  </si>
  <si>
    <t>tante hylinoecia tubicola</t>
  </si>
  <si>
    <t>bonellia</t>
  </si>
  <si>
    <t>neopycnodonthe sp</t>
  </si>
  <si>
    <t>coral rubble a Debdrophyllia</t>
  </si>
  <si>
    <t>parete interamente biogenica</t>
  </si>
  <si>
    <t>stella tipo hacelia pero bianca</t>
  </si>
  <si>
    <t>coral rubble piccoli mucchietti sparsi</t>
  </si>
  <si>
    <t>ramo corallo morto</t>
  </si>
  <si>
    <t>inizio campiopnamento</t>
  </si>
  <si>
    <t>2 gamberi diversi</t>
  </si>
  <si>
    <t>campionamento fallito</t>
  </si>
  <si>
    <t>blocco coperto di spugne bianche</t>
  </si>
  <si>
    <t>spugne piccole sferiche gialle</t>
  </si>
  <si>
    <t>uovo di razza</t>
  </si>
  <si>
    <t xml:space="preserve"> esoscheletro di spatangus?</t>
  </si>
  <si>
    <t>D. cornigera morta</t>
  </si>
  <si>
    <t xml:space="preserve">Vari Callanthias </t>
  </si>
  <si>
    <t>Fermi per problemi tecnici</t>
  </si>
  <si>
    <t>Fine problemi tecnici</t>
  </si>
  <si>
    <t>Holoyhuria poli</t>
  </si>
  <si>
    <t>2 seppie</t>
  </si>
  <si>
    <t>tanatocenosi a cornigera</t>
  </si>
  <si>
    <t>spatangus ?</t>
  </si>
  <si>
    <t>inizio campionamento a 262 m</t>
  </si>
  <si>
    <t>ramo dendro morta e un corallitre piccolo vivo (forse)</t>
  </si>
  <si>
    <t>Inizio campionamento acqua</t>
  </si>
  <si>
    <t xml:space="preserve">A. anthias </t>
  </si>
  <si>
    <t>C. ruber</t>
  </si>
  <si>
    <t>facies a l. glaberrima</t>
  </si>
  <si>
    <t>Holothuria poli</t>
  </si>
  <si>
    <t>epizoanthus su leiopathes morta</t>
  </si>
  <si>
    <t>nel video alla fine del T_05 è stata inserito nella stringa il numero del tr_12 ma è lo 05</t>
  </si>
  <si>
    <t>myctophidae</t>
  </si>
  <si>
    <t>isidella abbattuta</t>
  </si>
  <si>
    <t>h. italicus</t>
  </si>
  <si>
    <t>segno di strascico</t>
  </si>
  <si>
    <t>cerianthus</t>
  </si>
  <si>
    <t>cfr. Nezumia</t>
  </si>
  <si>
    <t>M. poutassou</t>
  </si>
  <si>
    <t>ripple</t>
  </si>
  <si>
    <t xml:space="preserve">segno di strascico </t>
  </si>
  <si>
    <t>Numerosi segni di strascico</t>
  </si>
  <si>
    <t>Tentativo di campionamento di ceriantario fallito</t>
  </si>
  <si>
    <t>Cidaride su plastica</t>
  </si>
  <si>
    <t>Aristaeomorpha</t>
  </si>
  <si>
    <t xml:space="preserve">Spugna bianca cfr Haliclona sp. </t>
  </si>
  <si>
    <t>Due egagropili</t>
  </si>
  <si>
    <t>Cfr Lepidorhombus</t>
  </si>
  <si>
    <t>Spune piccole globose bianche</t>
  </si>
  <si>
    <t>Gasteropode nd</t>
  </si>
  <si>
    <t>Spugne traslucide incrostanti</t>
  </si>
  <si>
    <t>Pezzo di terracotta</t>
  </si>
  <si>
    <t>Plesionika gigliolii</t>
  </si>
  <si>
    <t>Al posto di Viminella lenza</t>
  </si>
  <si>
    <t>Gambero nd</t>
  </si>
  <si>
    <t>Viminella morta epibiontata?</t>
  </si>
  <si>
    <t xml:space="preserve">Masso con lenza </t>
  </si>
  <si>
    <t xml:space="preserve">Eliminare </t>
  </si>
  <si>
    <t>Segni di pesca sul fondo</t>
  </si>
  <si>
    <t>Eliminare</t>
  </si>
  <si>
    <t>Cfr Gadella maraldi</t>
  </si>
  <si>
    <t>Vedi pteropode durante la discesa del ROV</t>
  </si>
  <si>
    <t>P. americanus</t>
  </si>
  <si>
    <t>Numerose spugne bianche globose piccole, togliere 4 G. vitreus</t>
  </si>
  <si>
    <t>Stella nd</t>
  </si>
  <si>
    <t>Biocostruzione reef ad ostriche</t>
  </si>
  <si>
    <t>Decapode nd</t>
  </si>
  <si>
    <t>Hexanchus griseus</t>
  </si>
  <si>
    <t>Cancella hoplostetus</t>
  </si>
  <si>
    <t>Coral rubble continuo per numerosi metri</t>
  </si>
  <si>
    <t>Coral rubble diffusi</t>
  </si>
  <si>
    <t>Banco di Pagellus bogaraveo</t>
  </si>
  <si>
    <t>Calamaro da rivedere</t>
  </si>
  <si>
    <t>elimina fango</t>
  </si>
  <si>
    <t>Sifonofori</t>
  </si>
  <si>
    <t>Cancella merluccius</t>
  </si>
  <si>
    <t>Spugna gialla incrostante</t>
  </si>
  <si>
    <t>Lepidorhombus wiffiagonis</t>
  </si>
  <si>
    <t>Numerose Plesionika</t>
  </si>
  <si>
    <t>Deviazione per andare sul punto dei flares</t>
  </si>
  <si>
    <t>Ci dirigiamo in diagonale rispetto alla linea del transetto per raggiungere il secondo Flare</t>
  </si>
  <si>
    <t>c. sloani</t>
  </si>
  <si>
    <t>c. coelorhinchus</t>
  </si>
  <si>
    <t>numerose agagropile sparse</t>
  </si>
  <si>
    <t>segno strascico vecchio</t>
  </si>
  <si>
    <t>inizio campionamento del fondo</t>
  </si>
  <si>
    <t xml:space="preserve">sedimento bioclastico </t>
  </si>
  <si>
    <t>pezzo di roccia con dicothoma</t>
  </si>
  <si>
    <t>clorophtalmus gia inserito sulla maschera</t>
  </si>
  <si>
    <t>lollopop sponge</t>
  </si>
  <si>
    <t xml:space="preserve">neopichnodonte </t>
  </si>
  <si>
    <t>spugna bianca globosa</t>
  </si>
  <si>
    <t>Dendrophyllia cornigera morta</t>
  </si>
  <si>
    <t xml:space="preserve"> cfr Galiodea echinophora</t>
  </si>
  <si>
    <t>gasteropode gigante</t>
  </si>
  <si>
    <t>c. bicolor</t>
  </si>
  <si>
    <t>togliere altro</t>
  </si>
  <si>
    <t>sclerastherias sp.</t>
  </si>
  <si>
    <t>Ramo di dendrophylla morta</t>
  </si>
  <si>
    <t>A. rissoana su Leiopathes</t>
  </si>
  <si>
    <t>Benthocometes robustus su Leiopathes</t>
  </si>
  <si>
    <t>H. griseus</t>
  </si>
  <si>
    <t>inserito prima commento spugna per quella roba gialla strana</t>
  </si>
  <si>
    <t>sclerattinie solitarie bianche piccole , molto</t>
  </si>
  <si>
    <t>togli 2 hoplostethus</t>
  </si>
  <si>
    <t>sclerattinie bianche singole</t>
  </si>
  <si>
    <t>porifero bianco su d. cornigera morta</t>
  </si>
  <si>
    <t>inizio campionamento cfr. Cariophyllia sp.</t>
  </si>
  <si>
    <t>Sclerattinia viva solitaria con scoop-net</t>
  </si>
  <si>
    <t>Pagurus sp.</t>
  </si>
  <si>
    <t>Tornichetto nave</t>
  </si>
  <si>
    <t>Sclerattinie solitarie su roccia</t>
  </si>
  <si>
    <t>Molti Epigonus sp.</t>
  </si>
  <si>
    <t>Egagropila 3</t>
  </si>
  <si>
    <t>corallo morto con balani epibionti</t>
  </si>
  <si>
    <t>Stoloniferi su filamento vicino corallo morto</t>
  </si>
  <si>
    <t>campione corallo morto con balani epibionti</t>
  </si>
  <si>
    <t>campione stoloniferi su filamento vicino corallo morto</t>
  </si>
  <si>
    <t>Stoloniferi</t>
  </si>
  <si>
    <t>Coralli a frusta morti</t>
  </si>
  <si>
    <t>Tubicini gialli nd</t>
  </si>
  <si>
    <t>Corallo a frusta morto con stoloniferi</t>
  </si>
  <si>
    <t>Inizio campionamento tubicini gialli nd</t>
  </si>
  <si>
    <t>Fine tentativo di campionamento tubicini gialli nd - eliminare questo commento</t>
  </si>
  <si>
    <t>Inizio campionamento Viminella flagellum</t>
  </si>
  <si>
    <t>Epizoanthus sp. su scheletro viminella</t>
  </si>
  <si>
    <t>Diversi scheletri di viminella epibiontati da Epizoanthus sp.</t>
  </si>
  <si>
    <t>Sympagella delauzei</t>
  </si>
  <si>
    <t>V. flagellum</t>
  </si>
  <si>
    <t>Togli pesci 100-500 e metti Ricciola cfr Centrolophus niger</t>
  </si>
  <si>
    <t xml:space="preserve">Ricciola di prima </t>
  </si>
  <si>
    <t>Numerosi scheletri V. flagellum epibiontati da epizoanthus sp.</t>
  </si>
  <si>
    <t>Stella bianca su fango</t>
  </si>
  <si>
    <t xml:space="preserve">Due Viminella che si uniscono </t>
  </si>
  <si>
    <t>Foresta di Viminella con tutte le colonie epibiontate da Epizoanthus sp.</t>
  </si>
  <si>
    <t>Zoanthidei su V. flagellum morta</t>
  </si>
  <si>
    <t>V. flagellum con necrosi</t>
  </si>
  <si>
    <t>Ceramaster placenta</t>
  </si>
  <si>
    <t>cf. mollecorallium? Segnare campione</t>
  </si>
  <si>
    <t>Daniela nd</t>
  </si>
  <si>
    <t>Rivedi cnidario</t>
  </si>
  <si>
    <t>Spugna massiva</t>
  </si>
  <si>
    <t>Coral rubble epibiontato</t>
  </si>
  <si>
    <t>Balani nd</t>
  </si>
  <si>
    <t>Tentativo di campionamento di Protoptilum carpenteri</t>
  </si>
  <si>
    <t>D. pertusum morto</t>
  </si>
  <si>
    <t>sclerattinie singole gialline</t>
  </si>
  <si>
    <t>Stomias boa/ C. sloani</t>
  </si>
  <si>
    <t>A. rissoani su Viminella flagellum</t>
  </si>
  <si>
    <t>stiamo riprendendo il transetto passando su un tratto gia descritto</t>
  </si>
  <si>
    <t>si riprende transetto parte nuova</t>
  </si>
  <si>
    <t xml:space="preserve">Antipathes forse </t>
  </si>
  <si>
    <t>rivedi Ombra filiforme</t>
  </si>
  <si>
    <t>coral rubble m. oculata</t>
  </si>
  <si>
    <t>coral rubble d. pertusum</t>
  </si>
  <si>
    <t>Spostamento su punto più profondo del transetto sul TMS</t>
  </si>
  <si>
    <t>Ripresa transetto dal punto più profondo</t>
  </si>
  <si>
    <t>zoantidei</t>
  </si>
  <si>
    <t>zoantideo</t>
  </si>
  <si>
    <t>d. pertusum</t>
  </si>
  <si>
    <t>b. maravigna</t>
  </si>
  <si>
    <t>d. pertusum e M. oculata morti</t>
  </si>
  <si>
    <t>sclerattinie gialle singole</t>
  </si>
  <si>
    <t>LASER DISTANCE 36</t>
  </si>
  <si>
    <t>INIZIO CAMPIONAMENTO ROCCIA</t>
  </si>
  <si>
    <t>CAMPIONAMENTO FALLITO, la roccia era il semount</t>
  </si>
  <si>
    <t>Mollecorallium sp.</t>
  </si>
  <si>
    <t>gaseropode gigante</t>
  </si>
  <si>
    <t>N aequalis</t>
  </si>
  <si>
    <t>mesothuria</t>
  </si>
  <si>
    <t>mosouthuria intestinalis</t>
  </si>
  <si>
    <t>imenocephalus</t>
  </si>
  <si>
    <t>mollecorallium tanto</t>
  </si>
  <si>
    <t xml:space="preserve">coral rubble in parete </t>
  </si>
  <si>
    <t>mellecoralliun sp.</t>
  </si>
  <si>
    <t>coralliti in recruitment D.cornigera</t>
  </si>
  <si>
    <t>Faciolella oxyrincha taglia piccola</t>
  </si>
  <si>
    <t>nezumia</t>
  </si>
  <si>
    <t>inizio campionamento spugna</t>
  </si>
  <si>
    <t>mesoturia intestinalis</t>
  </si>
  <si>
    <t>3 pezzi di corallo *2 madrepora e 1 Dendrophyllia</t>
  </si>
  <si>
    <t>Fotogrammetria terminata</t>
  </si>
  <si>
    <t>gracilechinus</t>
  </si>
  <si>
    <t>Chauliodus/Stomias</t>
  </si>
  <si>
    <t>Cavo di acciaio</t>
  </si>
  <si>
    <t>Medusa con obrello nero</t>
  </si>
  <si>
    <t>Togli un hoplostetus</t>
  </si>
  <si>
    <t xml:space="preserve">Hotspot di egagropile </t>
  </si>
  <si>
    <t>Penilpidi ludwigi</t>
  </si>
  <si>
    <t>Sclerattinie solitarie bianche</t>
  </si>
  <si>
    <t>Polpo rivedere</t>
  </si>
  <si>
    <t>cfr Pachycerianthus</t>
  </si>
  <si>
    <t>Rivedi animale infossato</t>
  </si>
  <si>
    <t>Stella da rivedere</t>
  </si>
  <si>
    <t>Cavo continuo Gianna Wind 3 Sardegna-Sicilia</t>
  </si>
  <si>
    <t>Cavo continuo</t>
  </si>
  <si>
    <t>J80 pezzo plastica &gt;50cm</t>
  </si>
  <si>
    <t>Pesce rivedere poco prima</t>
  </si>
  <si>
    <t>Cancella plastica. Qui vicino Lepidorhombus whiffiagonis</t>
  </si>
  <si>
    <t>Numerosi Cerianthus sp.</t>
  </si>
  <si>
    <t>Rete</t>
  </si>
  <si>
    <t>Vasetto yogurt</t>
  </si>
  <si>
    <t>Cima sfilacciata</t>
  </si>
  <si>
    <t>Bicchiere</t>
  </si>
  <si>
    <t xml:space="preserve">Egagropilo con spignette sopra </t>
  </si>
  <si>
    <t>Lattina cocacola</t>
  </si>
  <si>
    <t>Sacchetto plastica</t>
  </si>
  <si>
    <t>Sclerattinia solitaria</t>
  </si>
  <si>
    <t>Antipathes dichotoma - campionamento fallito: campione perso durante risalita del ROV</t>
  </si>
  <si>
    <t>Possibile piccolo MDAC</t>
  </si>
  <si>
    <t>Cfr Aristaeus antennatus</t>
  </si>
  <si>
    <t>Bottiglia plastica</t>
  </si>
  <si>
    <t>Viminella su coral rubble</t>
  </si>
  <si>
    <t xml:space="preserve">Plastica </t>
  </si>
  <si>
    <t xml:space="preserve">diversi bicchieri di plastica </t>
  </si>
  <si>
    <t>J62* galleggiante per rete pesca</t>
  </si>
  <si>
    <t>Bidone con rete intorno</t>
  </si>
  <si>
    <t>Rete plastica sacco patate</t>
  </si>
  <si>
    <t>Coral rubble Madrepora</t>
  </si>
  <si>
    <t>cassetta di metallo</t>
  </si>
  <si>
    <t>nezumia aequalis</t>
  </si>
  <si>
    <t xml:space="preserve">mesothuria </t>
  </si>
  <si>
    <t>scerattinia</t>
  </si>
  <si>
    <t>nezumia/Coelorinchus</t>
  </si>
  <si>
    <t>coral rubble infangato</t>
  </si>
  <si>
    <t>Notacanthus bonapartei/Polyacanthonotus</t>
  </si>
  <si>
    <t>cfr. Geryon longipes</t>
  </si>
  <si>
    <t>il rov risale per problemi tecnici ma scende senza salire on deck</t>
  </si>
  <si>
    <t>cefalopode (cfr Sepia orbignyana)</t>
  </si>
  <si>
    <t>Solea solea</t>
  </si>
  <si>
    <t>cefalopodi</t>
  </si>
  <si>
    <t>2 cefalopodi (cfr Sepia orbignyana)</t>
  </si>
  <si>
    <t>1 cefalopodi (cfr Sepia orbignyana)</t>
  </si>
  <si>
    <t>Cefalopode (cfr Sepia orbignyana)</t>
  </si>
  <si>
    <t>S. bleinville</t>
  </si>
  <si>
    <t>Cefalopode nd</t>
  </si>
  <si>
    <t>vetro</t>
  </si>
  <si>
    <t>nuvola di capros aper</t>
  </si>
  <si>
    <t>inizio campionamento roccia</t>
  </si>
  <si>
    <t>pezzo di roccia</t>
  </si>
  <si>
    <t xml:space="preserve">                                                                                                                                                                                                                                                                                                                                                                                                                                                                                                                                                                                                                                                                                                                          </t>
  </si>
  <si>
    <t>epigonus</t>
  </si>
  <si>
    <t>2 capsule di razza</t>
  </si>
  <si>
    <t>tante plesionika</t>
  </si>
  <si>
    <t>M scolopax</t>
  </si>
  <si>
    <t>Lepidorombus sp</t>
  </si>
  <si>
    <t>elasmobranco</t>
  </si>
  <si>
    <t xml:space="preserve">Ci acccingiamo con difficoltà a raggiungere il punto del Flares </t>
  </si>
  <si>
    <t>campione prelevato bottiglia blu</t>
  </si>
  <si>
    <t>Laccetto blu</t>
  </si>
  <si>
    <t>plesionika sp</t>
  </si>
  <si>
    <t>Videocassetta plastica</t>
  </si>
  <si>
    <t>Nettastomidae</t>
  </si>
  <si>
    <t>Pezzo di Leiopathes</t>
  </si>
  <si>
    <t>Oloturia</t>
  </si>
  <si>
    <t>Standby per problemi tecnici alla HD camera</t>
  </si>
  <si>
    <t>Fine standby</t>
  </si>
  <si>
    <t xml:space="preserve">Holothuria </t>
  </si>
  <si>
    <t>diverse colonie di L. glaberrima morte epibionrate</t>
  </si>
  <si>
    <t>Ricerca del flare per campionamento di acqua</t>
  </si>
  <si>
    <t>Campionata acqua di mare con Niskin</t>
  </si>
  <si>
    <t>Tappo rosso</t>
  </si>
  <si>
    <t xml:space="preserve"> Raja clavata</t>
  </si>
  <si>
    <t xml:space="preserve">Leiopathes morta </t>
  </si>
  <si>
    <t>Numerose L. glaberrima morte</t>
  </si>
  <si>
    <t>Cancellare L. glaberrima</t>
  </si>
  <si>
    <t>Banco di B. bogaraveo</t>
  </si>
  <si>
    <t>Possibile MDAC</t>
  </si>
  <si>
    <t>Himenocephalus italicus</t>
  </si>
  <si>
    <t>Seppia</t>
  </si>
  <si>
    <t>Plesionika  assembramento</t>
  </si>
  <si>
    <t>Epigonus sp. invece di Chlorophtalmus</t>
  </si>
  <si>
    <t>Pesci invece che commento: Epigonus sp.</t>
  </si>
  <si>
    <t>H. italicus ed Epigonus</t>
  </si>
  <si>
    <t>FINE VIII LEG</t>
  </si>
  <si>
    <t>togliere Isidella</t>
  </si>
  <si>
    <t xml:space="preserve">Protoptilum sp. </t>
  </si>
  <si>
    <t>Neopycnodonte zibrowii</t>
  </si>
  <si>
    <t>morte</t>
  </si>
  <si>
    <t>3 spugne pallina bianca nd</t>
  </si>
  <si>
    <t>Antipathes sp. su lamiera ferro</t>
  </si>
  <si>
    <t>spugne pallina nd</t>
  </si>
  <si>
    <t>Mesothuria</t>
  </si>
  <si>
    <t>Chlorophthalmus</t>
  </si>
  <si>
    <t>cancellare commento</t>
  </si>
  <si>
    <t>Parantipathes sp. x5</t>
  </si>
  <si>
    <t>spugne pallina bainca x2</t>
  </si>
  <si>
    <t>spugna pallina bianca</t>
  </si>
  <si>
    <t>Stop video e tutto sistema</t>
  </si>
  <si>
    <t>Aristeomorpha foliacea</t>
  </si>
  <si>
    <t xml:space="preserve">Chlorophthalmus agasizzi </t>
  </si>
  <si>
    <t>A.folliacea</t>
  </si>
  <si>
    <t xml:space="preserve">Narcomedusa </t>
  </si>
  <si>
    <t xml:space="preserve">Piccola roccia colonizzata da organismi non identificati </t>
  </si>
  <si>
    <t xml:space="preserve">Pezzi di un oggetto non identificato  </t>
  </si>
  <si>
    <t xml:space="preserve">Lattina </t>
  </si>
  <si>
    <t>egagropilo</t>
  </si>
  <si>
    <t xml:space="preserve">Tappeto </t>
  </si>
  <si>
    <t>spazzatura plastica</t>
  </si>
  <si>
    <t xml:space="preserve">                                               </t>
  </si>
  <si>
    <t>pezzo cima</t>
  </si>
  <si>
    <t>pezzi di metallo?</t>
  </si>
  <si>
    <t>rocce con policheti morti</t>
  </si>
  <si>
    <t>stella bianca</t>
  </si>
  <si>
    <t>pezzo di cima</t>
  </si>
  <si>
    <t>spugna incrostante bianca</t>
  </si>
  <si>
    <t>cubetto ceramica</t>
  </si>
  <si>
    <t>n. 5</t>
  </si>
  <si>
    <t>Hymaenodiscus coronata</t>
  </si>
  <si>
    <t>Cf Geodia</t>
  </si>
  <si>
    <t>Verme Donut</t>
  </si>
  <si>
    <t>Confronta Geodia</t>
  </si>
  <si>
    <t>Tubo di plastica</t>
  </si>
  <si>
    <r>
      <rPr>
        <b/>
        <sz val="11"/>
        <rFont val="Calibri"/>
        <family val="2"/>
      </rPr>
      <t>J241</t>
    </r>
    <r>
      <rPr>
        <sz val="11"/>
        <rFont val="Calibri"/>
        <family val="2"/>
      </rPr>
      <t xml:space="preserve"> oggetto plastica rigida</t>
    </r>
  </si>
  <si>
    <t>Cancella commento</t>
  </si>
  <si>
    <t>Anemone</t>
  </si>
  <si>
    <t>Aristaeomorpha folicea</t>
  </si>
  <si>
    <t>Rocce coperte da sclerattinie morte</t>
  </si>
  <si>
    <t>Pesce tipo phycis</t>
  </si>
  <si>
    <t>Campionamento balani fallito</t>
  </si>
  <si>
    <t xml:space="preserve">Coryphaenoides sp. </t>
  </si>
  <si>
    <t>Coryphaenoides</t>
  </si>
  <si>
    <t xml:space="preserve"> pezzo plastica &gt;50cm</t>
  </si>
  <si>
    <t>Spugna</t>
  </si>
  <si>
    <t>Numerosi</t>
  </si>
  <si>
    <t xml:space="preserve">ritorno al TMS per spostamento di 1000 metri lungo il transetto </t>
  </si>
  <si>
    <t xml:space="preserve">Ripresa transetto </t>
  </si>
  <si>
    <t>Trasferimento al prossimo transetto con il ROV nel TMS</t>
  </si>
  <si>
    <t xml:space="preserve">Trasferimento </t>
  </si>
  <si>
    <t>Tornati subito on deck per problema ai video</t>
  </si>
  <si>
    <t>Foglia Posidonia morta</t>
  </si>
  <si>
    <t xml:space="preserve">Registrazione interrotta per transfer in TMS, poi invece transfer on deck </t>
  </si>
  <si>
    <t>Rocce coperte da sclerattinie e policheti morti</t>
  </si>
  <si>
    <t>Egagropile</t>
  </si>
  <si>
    <t>telo plastica</t>
  </si>
  <si>
    <t>Telo plastica</t>
  </si>
  <si>
    <t>Argonauta</t>
  </si>
  <si>
    <t>Fine del trasferimento al transetto con il Rov sul TMS</t>
  </si>
  <si>
    <t>nicchio Argonauta</t>
  </si>
  <si>
    <t xml:space="preserve">Vortice di sabbia </t>
  </si>
  <si>
    <t>Rocce con sclerattinie morte</t>
  </si>
  <si>
    <t>Tubi di serpulidi</t>
  </si>
  <si>
    <t>cancella inizio transetto</t>
  </si>
  <si>
    <t>tubetto dentifricio</t>
  </si>
  <si>
    <t>facciamo circa 900 m vicino al TMS per velocizzare un po' visto che non c'è niente</t>
  </si>
  <si>
    <t>segnarne 3</t>
  </si>
  <si>
    <t>Vermi Donut sparsi</t>
  </si>
  <si>
    <t>spugna Lithistidae</t>
  </si>
  <si>
    <t>spugna incrostante gialla</t>
  </si>
  <si>
    <t>cf. Geodia</t>
  </si>
  <si>
    <t>Geologico</t>
  </si>
  <si>
    <t>roccia a calice nera</t>
  </si>
  <si>
    <t>Campionato lo strato superficiale del fondo con lo scoopnet, conchiglie pteropodi</t>
  </si>
  <si>
    <t>rocce con sclerattinie morte</t>
  </si>
  <si>
    <t>tante</t>
  </si>
  <si>
    <t>rocce con sclerattinie</t>
  </si>
  <si>
    <t>legno</t>
  </si>
  <si>
    <t>push corer n.6</t>
  </si>
  <si>
    <t>stop video per qualche istante</t>
  </si>
  <si>
    <t>pezzetto di Posidonia</t>
  </si>
  <si>
    <t>Transetto</t>
  </si>
  <si>
    <t>Ora</t>
  </si>
  <si>
    <t>Profondità</t>
  </si>
  <si>
    <t>Lat</t>
  </si>
  <si>
    <t>Long</t>
  </si>
  <si>
    <t>Codice  campione</t>
  </si>
  <si>
    <t>Tipo di campione</t>
  </si>
  <si>
    <t xml:space="preserve">Fissativo </t>
  </si>
  <si>
    <t>Specie</t>
  </si>
  <si>
    <t>Contenitore</t>
  </si>
  <si>
    <r>
      <rPr>
        <b/>
        <sz val="11"/>
        <color rgb="FF000000"/>
        <rFont val="Calibri"/>
      </rPr>
      <t>foto</t>
    </r>
    <r>
      <rPr>
        <sz val="11"/>
        <color rgb="FF000000"/>
        <rFont val="Calibri"/>
      </rPr>
      <t xml:space="preserve"> </t>
    </r>
  </si>
  <si>
    <t>note</t>
  </si>
  <si>
    <t>BIO_25SIC_08_T01_1a_UniBA</t>
  </si>
  <si>
    <t>alcool</t>
  </si>
  <si>
    <t>Isidella (box grigio)</t>
  </si>
  <si>
    <t>BIO_25SIC_08_T01_1b_ISPRA</t>
  </si>
  <si>
    <t>BIO_25SIC_08_T01_1c_UniGE</t>
  </si>
  <si>
    <t>BIO_25SIC_08_T01_1d_ISPRA</t>
  </si>
  <si>
    <t>secco</t>
  </si>
  <si>
    <t>BIO_25SIC_08_T02_1a_UniBA</t>
  </si>
  <si>
    <t>Gorgonia su fango (Box blu)</t>
  </si>
  <si>
    <t>BIO_25SIC_08_T02_1b_ISPRA</t>
  </si>
  <si>
    <t>BIO_25SIC_08_T02_1c_UniGE</t>
  </si>
  <si>
    <t>BIO_25SIC_08_T02_2_UniBA</t>
  </si>
  <si>
    <t>Nudibranco</t>
  </si>
  <si>
    <t>su B. mollis</t>
  </si>
  <si>
    <t>SED_25_SIC_08_T10_1_ISPRA</t>
  </si>
  <si>
    <t>In prossimità di Isidella elongata</t>
  </si>
  <si>
    <t>Liner</t>
  </si>
  <si>
    <t>BIO_25SIC_54_T13_1a_ISPRA</t>
  </si>
  <si>
    <t>A. hirsuta</t>
  </si>
  <si>
    <t>Campionamento acantogorgide e substrato con spugna Litistidae</t>
  </si>
  <si>
    <t>BIO_25SIC_54_T13_1b_UniBA</t>
  </si>
  <si>
    <t>BIO_25SIC_54_T13_1c_UniGe</t>
  </si>
  <si>
    <t>BIO_25SIC_54_T13_1d_ISPRA</t>
  </si>
  <si>
    <t>Secco</t>
  </si>
  <si>
    <t>BIO_25SIC_54_T13_2a_ISPRA</t>
  </si>
  <si>
    <t>Spugna Litistidae</t>
  </si>
  <si>
    <t>BIO_25SIC_54_T13_2b_UniBA</t>
  </si>
  <si>
    <t>BIO_25SIC_54_T13_2c_UniGe</t>
  </si>
  <si>
    <t>BIO_25SIC_54_T13_2d_UniGe</t>
  </si>
  <si>
    <t>BIO_25_SIC_54_T05_1a_UniBa</t>
  </si>
  <si>
    <t>E. verrucosa</t>
  </si>
  <si>
    <t>BIO_25_SIC_54_T05_1b_UniGE</t>
  </si>
  <si>
    <t>BIO_25_SIC_54_T05_1c_ISPRA</t>
  </si>
  <si>
    <t>H2O_25_SIC_54_T01_1a_ISPRA</t>
  </si>
  <si>
    <t>Congelato</t>
  </si>
  <si>
    <t>Isotopi</t>
  </si>
  <si>
    <t>1  filtro GFF 500cl</t>
  </si>
  <si>
    <t>H2O_25_SIC_54_T01_1b_ISPRA</t>
  </si>
  <si>
    <t>DOC</t>
  </si>
  <si>
    <t>2 falcon 50 cl</t>
  </si>
  <si>
    <t>H2O_25_SIC_54_T01_1c_INGV</t>
  </si>
  <si>
    <t>Gas disciolti</t>
  </si>
  <si>
    <t xml:space="preserve">3 bottiglie vetro </t>
  </si>
  <si>
    <t>BIO_25_SIC_54_T14_1a_ISPRA</t>
  </si>
  <si>
    <t>BIO_25_SIC_54_T14_1b_UniBA</t>
  </si>
  <si>
    <t>BIO_25_SIC_54_T14_1c_UniGEe</t>
  </si>
  <si>
    <t>BIO_25_SIC_54_T14_2a_ISPRA</t>
  </si>
  <si>
    <t>BIO_25_SIC_54_T14_2b_UniBA</t>
  </si>
  <si>
    <t>BIO_25_SIC_54_T14_2c_UniGE</t>
  </si>
  <si>
    <t>54_Tind</t>
  </si>
  <si>
    <t>BIO_25_SIC_54_Tind_1a_ISPRA</t>
  </si>
  <si>
    <t xml:space="preserve">Idrozooo </t>
  </si>
  <si>
    <t>campionamento casuale</t>
  </si>
  <si>
    <t>BIO_25_SIC_54_Tind_1b_UniGE</t>
  </si>
  <si>
    <t>Idrozooo conn roccia</t>
  </si>
  <si>
    <t>H2O_25_SIC_54_T08_1a_ISPRA</t>
  </si>
  <si>
    <t>H2O_25_SIC_54_T08_1b_ISPRA</t>
  </si>
  <si>
    <t>H2O_25_SIC_54_T08_1c_INGV</t>
  </si>
  <si>
    <t>Circa 800</t>
  </si>
  <si>
    <t>BIO_25_SIC_39_T02_1a_ISPRA</t>
  </si>
  <si>
    <t>Specie miste</t>
  </si>
  <si>
    <t>Campioni cresciuti o impigliati in lenza incagliata nel TMS</t>
  </si>
  <si>
    <t>BIO_25_SIC_39_T02_1b_UNIBA</t>
  </si>
  <si>
    <t>BIO_25_SIC_39_T02_1c_UNIGE</t>
  </si>
  <si>
    <t>SED_25_SIC_39_T04_1_ISPRA</t>
  </si>
  <si>
    <t xml:space="preserve">In prossimità di campo a Isidella </t>
  </si>
  <si>
    <t>BIO_25_SIC_39_T05_1a_ISPRA</t>
  </si>
  <si>
    <t>non ramificata - In area completamente strascicata</t>
  </si>
  <si>
    <t>BIO_25_SIC_39_T05_1b_UNIBA</t>
  </si>
  <si>
    <t>BIO_25_SIC_39_T05_1c_UNIGE</t>
  </si>
  <si>
    <t>SED_25_SIC_39_T06_1_ISPRA</t>
  </si>
  <si>
    <t>In prossimità di Isidella campionata</t>
  </si>
  <si>
    <t>BIO_25_SIC_39_T06_1a_ISPRA</t>
  </si>
  <si>
    <t>BIO_25_SIC_39_T06_1b_UNIBA</t>
  </si>
  <si>
    <t>BIO_25_SIC_39_T06_1c_UNIGE</t>
  </si>
  <si>
    <t>BIO_25_SIC_39_T06_1d_ISPRA</t>
  </si>
  <si>
    <t>campione secco rotto</t>
  </si>
  <si>
    <t>scrivere su etichetta ISPRA</t>
  </si>
  <si>
    <t>BIO_25_SIC_39_T03_1_ISPRA</t>
  </si>
  <si>
    <t>Roccia</t>
  </si>
  <si>
    <t>BIO_25_SIC_39_T01_2a_UNIBA</t>
  </si>
  <si>
    <t>C.rubrum</t>
  </si>
  <si>
    <t>Campione 1a della dive non c'è (P. carpenteri)</t>
  </si>
  <si>
    <t>BIO_25_SIC_39_T01_2b_UNICA</t>
  </si>
  <si>
    <t>040_LINOSA_II_SEAMOUNT</t>
  </si>
  <si>
    <t>BIO_25_SIC_40_T03_1a_ISPRA</t>
  </si>
  <si>
    <t>BIO_25_SIC_40_T03_1b_UNIBA</t>
  </si>
  <si>
    <t>BIO_25_SIC_40_T03_1c_UNIGE</t>
  </si>
  <si>
    <t>BIO_25_SIC_40_T03_2_ISPRA</t>
  </si>
  <si>
    <t>Sedimenti con tubi</t>
  </si>
  <si>
    <t>Raccolto con Scoopnet</t>
  </si>
  <si>
    <t>BIO_25_SIC_40_T13_1a_ISPRA</t>
  </si>
  <si>
    <t>BIO_25_SIC_40_T13_1b_UNIBA</t>
  </si>
  <si>
    <t>BIO_25_SIC_40_T13_1c_UNIGE</t>
  </si>
  <si>
    <t>BIO_25_SIC_40_T19_1_ISPRA</t>
  </si>
  <si>
    <t>Sedimento</t>
  </si>
  <si>
    <t>BIO_25_SIC_40_T19_2_UNIGE</t>
  </si>
  <si>
    <t>BIO_25TM_22_T05_1a_ISPRA</t>
  </si>
  <si>
    <t>T4</t>
  </si>
  <si>
    <t>ok</t>
  </si>
  <si>
    <t>BIO_25TM_22_T05_1b_UNIBA</t>
  </si>
  <si>
    <t>BIO_25TM_22_T05_1c_UNIGE</t>
  </si>
  <si>
    <t>BIO_25TM_22_T05_1d_UNIGE</t>
  </si>
  <si>
    <t>BIO_25TM_22_T05_2a_UNICA</t>
  </si>
  <si>
    <t>BIO_25TM_22_T05_2b_UNIGE</t>
  </si>
  <si>
    <t>BIO_25TM_22_T05_2c_UNIBA</t>
  </si>
  <si>
    <t>BIO_25TM_22_T17_1a_UNIGE</t>
  </si>
  <si>
    <t>D. koreni</t>
  </si>
  <si>
    <t>BIO_25TM_22_T17_1b_ISPRA</t>
  </si>
  <si>
    <t>GEO_25TM_22_T17_1b_UNIROMA</t>
  </si>
  <si>
    <t xml:space="preserve">Secco </t>
  </si>
  <si>
    <t>roccia</t>
  </si>
  <si>
    <t>BIO_25TM_22_T15_1a_UNIBA</t>
  </si>
  <si>
    <t>BIO_25TM_22_T15_1b_UNIGE</t>
  </si>
  <si>
    <t>BIO_25TM_22_T15_2_UNIGE</t>
  </si>
  <si>
    <t>Parantipathes  sp.</t>
  </si>
  <si>
    <t>H2O_25_TM_22_T13_INGV</t>
  </si>
  <si>
    <t>1 bottiglia di vetro</t>
  </si>
  <si>
    <t>BIO_25SIC_29_T03_1a_UNIBA</t>
  </si>
  <si>
    <t xml:space="preserve">Acanthogorgia cf hirsuta </t>
  </si>
  <si>
    <t>T4. Campione con Solenogaster</t>
  </si>
  <si>
    <t>BIO_25SIC_29_T03_1b_UNIGE</t>
  </si>
  <si>
    <t>Acanthogorgia cf hirsuta</t>
  </si>
  <si>
    <t>BIO_25_SIC_29_T10_1_UNIGE</t>
  </si>
  <si>
    <t>Balani giganti</t>
  </si>
  <si>
    <t>T4. Campione con granchio nd</t>
  </si>
  <si>
    <t>BIO_25_SIC_29_T10_2_UNIGE</t>
  </si>
  <si>
    <t>BIO_25_SIC_29_T10_3_UNIGE</t>
  </si>
  <si>
    <t>Litistide</t>
  </si>
  <si>
    <t>T4. Piccolo pezzo</t>
  </si>
  <si>
    <t>BIO_25_SIC_29_T11_1_UNIBA</t>
  </si>
  <si>
    <t>BIO_25_SIC_29_T08_1a_UNIBA</t>
  </si>
  <si>
    <t>BIO_25_SIC_29_T08_1b_UNIGE</t>
  </si>
  <si>
    <t>BIO_25_SIC_29_T08_2_UNIGE</t>
  </si>
  <si>
    <t>BIO_25_SIC_29_T04_1a_UNIBA</t>
  </si>
  <si>
    <t>BIO_25_SIC_29_T04_1b_UNIGE</t>
  </si>
  <si>
    <t>T4 Campione con Pseudosimnia</t>
  </si>
  <si>
    <t>BIO_25_SIC_29_T04_1c_UNIBA</t>
  </si>
  <si>
    <t>SED_25_SIC_29_T06_1_ISPRA</t>
  </si>
  <si>
    <t>BIO_25_SIC_29_T06_1_UNIBA</t>
  </si>
  <si>
    <t>Biologico</t>
  </si>
  <si>
    <t>F. quadrangularis</t>
  </si>
  <si>
    <t>Scoopnet</t>
  </si>
  <si>
    <t>BIO_25_SIC_29_T01_1a_UNIGE</t>
  </si>
  <si>
    <t>BIO_25_SIC_29_T01_1b_UNIGE</t>
  </si>
  <si>
    <t>Tanatocenosi</t>
  </si>
  <si>
    <t>BIO_25_SIC_29_T01_1c_ISPRA</t>
  </si>
  <si>
    <t>BIO_25_SIC_29_T01_2a_UNIGE</t>
  </si>
  <si>
    <t xml:space="preserve">T4 - isolata da pezzo di tanatocenosi campionato </t>
  </si>
  <si>
    <t>SED_25_SIC_53_T03_1_ISPRA</t>
  </si>
  <si>
    <t>BIO_25_SIC_53_T02_1a_UNIBA</t>
  </si>
  <si>
    <t>Isidide a 1070 m</t>
  </si>
  <si>
    <t>BIO_25_SIC_53_T02_1b_UNIGE</t>
  </si>
  <si>
    <t>BIO_25_SIC_68_T02_1_UNIBA</t>
  </si>
  <si>
    <t>BIO_25_SIC_68_T03_1a_UNIBA</t>
  </si>
  <si>
    <t xml:space="preserve">T4 </t>
  </si>
  <si>
    <t>BIO_25_SIC_68_T03_1b_UNIGE</t>
  </si>
  <si>
    <t>T4 - con nudibranco</t>
  </si>
  <si>
    <t>68_T07new</t>
  </si>
  <si>
    <t>BIO_25_SIC_68_T07NEW_1a_UNIGE</t>
  </si>
  <si>
    <t>BIO_25_SIC_68_T07NEW_1b_UNIBA</t>
  </si>
  <si>
    <t>BIO_25_SIC_68_T07NEW_1c_UNIGE</t>
  </si>
  <si>
    <t>BIO_25_SIC_68_T07NEW_2_UNIGE</t>
  </si>
  <si>
    <t>BIO_25_SIC_68_T07NEW_3_UNIGE</t>
  </si>
  <si>
    <t>BIO_25_SIC_68_T07NEW_4_UNIGE</t>
  </si>
  <si>
    <t>Callogorgia</t>
  </si>
  <si>
    <t>BIO_25SIC_68_T07NEW_5a_UNIGE</t>
  </si>
  <si>
    <t>BIO_25SIC_68_T07NEW_5b_UNIBA</t>
  </si>
  <si>
    <t>BIO_25SIC_68_T07NEW_5c_UNIBA</t>
  </si>
  <si>
    <t>BIO_25TM_22_T14_1_UNIGE</t>
  </si>
  <si>
    <t>BIO_25TM_22_T16_1a_UNIGE</t>
  </si>
  <si>
    <t>BIO_25TM_22_T16_1b_UNIBA</t>
  </si>
  <si>
    <t>BIO_25TM_22_T16_1c_ISPRA</t>
  </si>
  <si>
    <t>BIO_25TM_22_T16_2a_UNIGE</t>
  </si>
  <si>
    <t>BIO_25TM_22_T16_2b_UNIBA</t>
  </si>
  <si>
    <t>BIO_25TM_22_T16_2c_ISPRA</t>
  </si>
  <si>
    <t>BIO_25TM_22_T16_3a_UNIGE</t>
  </si>
  <si>
    <t>Dendrophylia, tanat e stoloniferi</t>
  </si>
  <si>
    <t>BIO_25TM_22_T16_3b_UNIBA</t>
  </si>
  <si>
    <t>Dendrophylia, tanat</t>
  </si>
  <si>
    <t>BIO_25TM_22_T16_3c_ISPRA</t>
  </si>
  <si>
    <t>Dendrophylia</t>
  </si>
  <si>
    <t>BIO_25TM_22_T16_3d_ISPRA</t>
  </si>
  <si>
    <t>Tanat a Dendrophylia</t>
  </si>
  <si>
    <t>BIO_25TM_22_T11_1_UNIGE</t>
  </si>
  <si>
    <t>Zoantideo nd</t>
  </si>
  <si>
    <t>SED_25TM_22_T11_1_ISPRA</t>
  </si>
  <si>
    <t>BIO_25_TM_28_T04_1a_UNIGE</t>
  </si>
  <si>
    <t>cf. Farrea bowerbanki</t>
  </si>
  <si>
    <t>BIO_25_TM_28_T04_1b_UNIGE</t>
  </si>
  <si>
    <t>SED_25_TM_69_T06_1_ISPRA</t>
  </si>
  <si>
    <t>BIO_25_TM_69_T03_1_UNIBA</t>
  </si>
  <si>
    <t>BIO_25_TM_69_T03_2a_ISPRA</t>
  </si>
  <si>
    <t>BIO_25_TM_69_T03_2b_UNIGE</t>
  </si>
  <si>
    <t>BIO_25_TM_69_T03_3a_UNIGE</t>
  </si>
  <si>
    <t>BIO_25_TM_69_T03_3b_UNIGE</t>
  </si>
  <si>
    <t>BIO_25_TM_69_T03_3c_ISPRA</t>
  </si>
  <si>
    <t>BIO_25_TM_69_T03_3d_UNIBA</t>
  </si>
  <si>
    <t>BIO_25_TM_69_T03_3e_ISPRA</t>
  </si>
  <si>
    <t>BIO_25_TM_69_T03_4a_ISPRA</t>
  </si>
  <si>
    <t>Swiftia</t>
  </si>
  <si>
    <t>BIO_25_TM_69_T03_4b_UNIBA</t>
  </si>
  <si>
    <t>BIO_25_TM_69_T03_4c_UNIGE</t>
  </si>
  <si>
    <t>BIO_25_TM_69_T04_1a_UNIGE</t>
  </si>
  <si>
    <t>BIO_25_TM_69_T04_1b_UNIBA</t>
  </si>
  <si>
    <t>BIO_25_TM_69_T05_1a_UNIGE</t>
  </si>
  <si>
    <t>Daniela k.</t>
  </si>
  <si>
    <t>BIO_25_TM_69_T05_1b_ISPRA</t>
  </si>
  <si>
    <t>BIO_25_TM_69_T02_3a_UNIGE</t>
  </si>
  <si>
    <t>Porifera nd. (cf. Geodia)</t>
  </si>
  <si>
    <t>T4 - C. aurantiaca cresaceva sopra</t>
  </si>
  <si>
    <t>BIO_25_TM_69_T02_3b_UNIGE</t>
  </si>
  <si>
    <t>BIO_25_TM_69_T02_3c_ISPRA</t>
  </si>
  <si>
    <t>Chelidonisis aurantiaca</t>
  </si>
  <si>
    <t xml:space="preserve">T4 - cresceva su spugna </t>
  </si>
  <si>
    <t>BIO_25_TM_69_T02_3d_UNIBA</t>
  </si>
  <si>
    <t>BIO_25_TM_69_T02_3e_ISPRA</t>
  </si>
  <si>
    <t>BIO_25_TM_69_T02_2_UNIGE</t>
  </si>
  <si>
    <t>BIO_25_TM_69_T02_1a_UNIGE</t>
  </si>
  <si>
    <t>cf P. coronata</t>
  </si>
  <si>
    <t>BIO_25_TM_69_T02_1b_UNIBA</t>
  </si>
  <si>
    <t>BIO_25_TM_69_T02_1c_ISPRA</t>
  </si>
  <si>
    <t>BIO_25_TM_69_T02_1d_UNIGE</t>
  </si>
  <si>
    <t>BIO_25_TM_69_T02_4a_UNIGE</t>
  </si>
  <si>
    <t>BIO_25_TM_69_T02_4b_UNIBA</t>
  </si>
  <si>
    <t>BIO_25_TM_69_T02_4c_ISPRA</t>
  </si>
  <si>
    <t>BIO_25_TM_69_T02_4d_UNIGE</t>
  </si>
  <si>
    <t>BIO_25_TM_69_T02_5a_UNIGE</t>
  </si>
  <si>
    <t>Porifera nd. (cf. Characella)</t>
  </si>
  <si>
    <t xml:space="preserve">T4 - Muriceides cresceva sopra </t>
  </si>
  <si>
    <t>BIO_25_TM_69_T02_5b_UNIGE</t>
  </si>
  <si>
    <t>BIO_25_TM_69_T02_5c_UNIBA</t>
  </si>
  <si>
    <t>BIO_25_TM_69_T15_1a_UNIGE</t>
  </si>
  <si>
    <t>BIO_25_TM_69_T15_1b_UNIBA</t>
  </si>
  <si>
    <t>SED_25_TM_58_T04_1_ISPRA</t>
  </si>
  <si>
    <t>BIO_25_TM_69_T01_1a_UNIBA</t>
  </si>
  <si>
    <t xml:space="preserve">Leiopathes sp. </t>
  </si>
  <si>
    <t>BIO_25_TM_69_T01_1b_UNIGE</t>
  </si>
  <si>
    <t>BIO_25_TM_69_T01_1c_UNIBA</t>
  </si>
  <si>
    <t xml:space="preserve">secco </t>
  </si>
  <si>
    <t>BIO_25_TM_69_T09_1_UNIGE</t>
  </si>
  <si>
    <t xml:space="preserve">Stolonifero nd. </t>
  </si>
  <si>
    <t>BIO_25_TM_69_T09_2a_UNIGE</t>
  </si>
  <si>
    <t xml:space="preserve">Acantogorgia cf. armata </t>
  </si>
  <si>
    <t>BIO_25_TM_69_T09_2b_UNIBA</t>
  </si>
  <si>
    <t>BIO_25_TM_69_T09_3a_UNIGE</t>
  </si>
  <si>
    <t xml:space="preserve">roccia con policheti </t>
  </si>
  <si>
    <t>BIO_25_TM_69_T09_3b_UNIGE</t>
  </si>
  <si>
    <t>BIO_25_TM_69_T09_4a_UNIGE</t>
  </si>
  <si>
    <t>BIO_25_TM_69_T09_4b_UNIGE</t>
  </si>
  <si>
    <t>BIO_25_TM_69_T09_5a_UNIGE</t>
  </si>
  <si>
    <t xml:space="preserve">Antipathes sp. </t>
  </si>
  <si>
    <t>BIO_25_TM_69_T09_5b_UNIBA</t>
  </si>
  <si>
    <t>SED_25_TM_07_T12_1_ISPRA</t>
  </si>
  <si>
    <t>BIO_25_TM_07_T12_1_UNIGE</t>
  </si>
  <si>
    <t>spugna coppetta peduncolata</t>
  </si>
  <si>
    <t>BIO_25_TM_07_T14_1a_UNIGE</t>
  </si>
  <si>
    <t>BIO_25_TM_07_T14_1b_UNIGE</t>
  </si>
  <si>
    <t>BIO_25_TM_07_T14_1c_UNIBA</t>
  </si>
  <si>
    <t>BIO_25_TM_07_T14_2a_UNIGE</t>
  </si>
  <si>
    <t>cf. Placogorgia sp.</t>
  </si>
  <si>
    <t>BIO_25_TM_07_T14_2b_UNIGE</t>
  </si>
  <si>
    <t>BIO_25_TM_07_T14_2c_UNIBA</t>
  </si>
  <si>
    <t>BIO_25_TM_07_T09_1a_UNIGE</t>
  </si>
  <si>
    <t xml:space="preserve">Spunga bianca digitata </t>
  </si>
  <si>
    <t>BIO_25_TM_07_T09_1b_UNIGE</t>
  </si>
  <si>
    <t>Spugna trasparente spinosa</t>
  </si>
  <si>
    <t>BIO_25_TM_07_T09_1c_UNIGE</t>
  </si>
  <si>
    <t>ramo di tanatocenosi D. cornigera</t>
  </si>
  <si>
    <t>BIO_25_TM_07_T09_1d_UNIGE</t>
  </si>
  <si>
    <t>D. bonsai adesa a tanatocenosi</t>
  </si>
  <si>
    <t>BIO_25_TM_07_T09_1e_UNIGE</t>
  </si>
  <si>
    <t>Sclerattinie e zibrowius</t>
  </si>
  <si>
    <t>BIO_25_TM_07_T09_1f_UNIGE</t>
  </si>
  <si>
    <t>frammenti di cf. Geodia sp.</t>
  </si>
  <si>
    <t>BIO_25_TM_07_T09_1g_UNIGE</t>
  </si>
  <si>
    <t>cf. Geodia sp.</t>
  </si>
  <si>
    <t>BIO_25TM_07_T10_1_UNIGE</t>
  </si>
  <si>
    <t>Zoantharia</t>
  </si>
  <si>
    <t>BIO_25TM_07_T10_2a_UNIGE</t>
  </si>
  <si>
    <t>BIO_25TM_07_T10_2b_UNIGE</t>
  </si>
  <si>
    <t>Alcool</t>
  </si>
  <si>
    <t>BIO_25TM_07_T10_3_UNIGE</t>
  </si>
  <si>
    <t>BIO_25TM_07_T10_4_UNIGE_CASUALE</t>
  </si>
  <si>
    <t>frammento di corallo nero e giovanile di Macropodia sp.</t>
  </si>
  <si>
    <t>BIO_25TM_07_T03_1_UNIGE</t>
  </si>
  <si>
    <t>BIO_25TM_07_T03_2a_UNIGE</t>
  </si>
  <si>
    <t xml:space="preserve">Isidella </t>
  </si>
  <si>
    <t>T4     base di isidella</t>
  </si>
  <si>
    <t>BIO_25TM_07_T03_2b_UNIGE</t>
  </si>
  <si>
    <t>T4     isidella apicale</t>
  </si>
  <si>
    <t>BIO_25TM_07_T03_2c_UNIGE</t>
  </si>
  <si>
    <t xml:space="preserve">T4     </t>
  </si>
  <si>
    <t>BIO_25TM_07_T03_3_UNIGE</t>
  </si>
  <si>
    <t xml:space="preserve">Antipathes monopodiale con base </t>
  </si>
  <si>
    <t>BIO_25TM_07_T04_1a_UNIGE</t>
  </si>
  <si>
    <t>Paranthipathes sp.</t>
  </si>
  <si>
    <t>BIO_25TM_07_T04_1b_UNIGE</t>
  </si>
  <si>
    <t>BIO_25TM_07_T04_2a_UNIGE</t>
  </si>
  <si>
    <t>BIO_25TM_07_T04_2b_UNIGE</t>
  </si>
  <si>
    <t>BIO_25TM_07_T04_3_UNIGE</t>
  </si>
  <si>
    <t xml:space="preserve">sclerattinie morte ricoperte di Fe-Mn </t>
  </si>
  <si>
    <t>BIO_25TM_07_T07_1_UNIGE</t>
  </si>
  <si>
    <t>spugna bianca pallina</t>
  </si>
  <si>
    <t>SED_25_TM_70_T02_1_ISPRA</t>
  </si>
  <si>
    <t>BIO_25_TM_70_T03_1_UNIGE</t>
  </si>
  <si>
    <t>BIO_25_TM_70_T03_2a_UNIGE</t>
  </si>
  <si>
    <t>Barattolo 500 mL</t>
  </si>
  <si>
    <t>BIO_25_TM_70_T03_2b_UNICA</t>
  </si>
  <si>
    <t>Barattolo 50 mL</t>
  </si>
  <si>
    <t>BIO_25_TM_70_T03_2c_ISPRA</t>
  </si>
  <si>
    <t>BIO_25_TM_07_T02_ 3_UNIGE</t>
  </si>
  <si>
    <t xml:space="preserve">T4  </t>
  </si>
  <si>
    <t>BIO_25_TM_07_T02_2_UNIGE</t>
  </si>
  <si>
    <t>Anemone  su roccia</t>
  </si>
  <si>
    <t>GEO_25_TM_07_T02_UNIROMA</t>
  </si>
  <si>
    <t>BIO_25_TM_07_T02_ 1a_UNIGE</t>
  </si>
  <si>
    <t>BIO_25_TM_07_T02_ 1b_UNIGE</t>
  </si>
  <si>
    <t>SED_25_TM_19_06_1_ISPRA</t>
  </si>
  <si>
    <t>n.2</t>
  </si>
  <si>
    <t>BIO_25_TM_19_T04_1_UNIGE</t>
  </si>
  <si>
    <t>Idrozoi su tanatocenosi sclerattinie</t>
  </si>
  <si>
    <t>Scoopnet + T4</t>
  </si>
  <si>
    <t>BIO_25_TM_19_T04_2a_UNIGE</t>
  </si>
  <si>
    <t>Frammento spugna bianca semi incrostante su tanatocenosi</t>
  </si>
  <si>
    <t>BIO_25_TM_19_T04_2b_UNIGE</t>
  </si>
  <si>
    <t>BIO_25_TM_19_T04_3_UNIGE</t>
  </si>
  <si>
    <t>Falcon 50 mL</t>
  </si>
  <si>
    <t>SED_25_TM_79_T04_ISPRA</t>
  </si>
  <si>
    <t>BIO_25_TM_79_T01_1a_UNIGE</t>
  </si>
  <si>
    <t>matte batterica</t>
  </si>
  <si>
    <t>BIO_25_TM_79_T01_1b_UNIGE</t>
  </si>
  <si>
    <t>congelato in freezer cucina</t>
  </si>
  <si>
    <t>BIO_25_TM_79_T01_1c_UNIGE</t>
  </si>
  <si>
    <t>Barattolo1 L</t>
  </si>
  <si>
    <t>BIO_25_TM_79_T01_2a_UNIGE</t>
  </si>
  <si>
    <t>idrozoi + zoantidei</t>
  </si>
  <si>
    <t>BIO_25_TM_79_T03_1_UNIGE</t>
  </si>
  <si>
    <t>Barattolo 1L</t>
  </si>
  <si>
    <t>BIO_25_TM_79_T03_2_UNIGE</t>
  </si>
  <si>
    <t>Falcon 50ml</t>
  </si>
  <si>
    <t>H2O_25_TM_79_T01_1a_ISPRA</t>
  </si>
  <si>
    <t>altro</t>
  </si>
  <si>
    <t>capovolte in scatola con acqua</t>
  </si>
  <si>
    <t>Bottiglietta vetro</t>
  </si>
  <si>
    <t>H2O_25_TM_79_T01_1b_ISPRA</t>
  </si>
  <si>
    <t>H2O_25_TM_79_T01_1c_ISPRA</t>
  </si>
  <si>
    <t>H2O_25_TM_79_T01_2a_ISPRA</t>
  </si>
  <si>
    <t>congelato</t>
  </si>
  <si>
    <t>H2O_25_TM_79_T01_2b_ISPRA</t>
  </si>
  <si>
    <t>H2O_25_TM_79_T01_3_ISPRA</t>
  </si>
  <si>
    <t>Filtro (filtrati 450 mL)</t>
  </si>
  <si>
    <t>H2O_25_TM_79_T01_4a_ISPRA</t>
  </si>
  <si>
    <t>H2O_25_TM_79_T01_4b_ISPRA</t>
  </si>
  <si>
    <t>H2O_25_TM_79_T01_4c_ISPRA</t>
  </si>
  <si>
    <t>H2O_25_TM_79_T01_5a_ISPRA</t>
  </si>
  <si>
    <t>H2O_25_TM_79_T01_5b_ISPRA</t>
  </si>
  <si>
    <t>H2O_25_TM_79_T01_6_ISPRA</t>
  </si>
  <si>
    <t>Filtro (filtrati 500 mL)</t>
  </si>
  <si>
    <t>SED_25_TM_76_T05_1_ISPRA</t>
  </si>
  <si>
    <t>BIO_25_TM_76_T05_2_UNIGE</t>
  </si>
  <si>
    <t>BIO_25_TM_76_T03_1_UNIGE</t>
  </si>
  <si>
    <t>Esattinellide ?</t>
  </si>
  <si>
    <t>scoopnet</t>
  </si>
  <si>
    <t>BIO_25_TM_76_T03_2_ISPRA</t>
  </si>
  <si>
    <t>SED_25_TM_76_T01_1_ISPRA</t>
  </si>
  <si>
    <t>SED_25_TM_09_T01_1_ISPRA</t>
  </si>
  <si>
    <t>BIO_25_TM_09_T01_1_ISPRA</t>
  </si>
  <si>
    <t>Residui setaccio fango</t>
  </si>
  <si>
    <t>GEO_25_TM_09_T01_1_ISPRA</t>
  </si>
  <si>
    <t>BIO_25_TM_09_T01_2_ISPRA</t>
  </si>
  <si>
    <t>sclerattinie ricoperte da Fe-Mn</t>
  </si>
  <si>
    <t>BIO_25_TM_09_T01_3a_UNIGE</t>
  </si>
  <si>
    <t xml:space="preserve">polichete </t>
  </si>
  <si>
    <t xml:space="preserve">scoopnet - separato da fango </t>
  </si>
  <si>
    <t>BIO_25_TM_09_T01_3b_ISPRA</t>
  </si>
  <si>
    <t xml:space="preserve">scoopnet </t>
  </si>
  <si>
    <t>BIO_25_TM_09_T02_1_UNIGE</t>
  </si>
  <si>
    <t xml:space="preserve">idroidi su legno </t>
  </si>
  <si>
    <t xml:space="preserve">falcon </t>
  </si>
  <si>
    <t>SED_25_TM_74_T01_1_ISPRA</t>
  </si>
  <si>
    <t>BIO_25_TM_74_T02_1a_UNIGE</t>
  </si>
  <si>
    <t>Sipuncula - polichete 1</t>
  </si>
  <si>
    <t>scoopnet - campionati due esemplari - conservato in alcool assoluto</t>
  </si>
  <si>
    <t>falcon</t>
  </si>
  <si>
    <t>BIO_25_TM_74_T02_1b_UNIGE</t>
  </si>
  <si>
    <t>Sipuncula - polichete 2</t>
  </si>
  <si>
    <t>scoopnet - campionati due esemplari</t>
  </si>
  <si>
    <t>BIO_25_TM_41_T01_1_ISPRA</t>
  </si>
  <si>
    <t xml:space="preserve">serpulidi tubi </t>
  </si>
  <si>
    <t>SED_25_TM_41_T02_1_ISPRA</t>
  </si>
  <si>
    <t>BIO_25_TM_41_T02_1a_UNIGE</t>
  </si>
  <si>
    <t>scoopnet - due esemplari di 3 campionati - conservato in alcool 96</t>
  </si>
  <si>
    <t>BIO_25_TM_41_T02_1b_UNIGE</t>
  </si>
  <si>
    <t>scoopnet - un esemplari di 3 campionati  - conservato in alcool assoluto</t>
  </si>
  <si>
    <t>BIO_25_TM_22_T08_1a_UNIGE</t>
  </si>
  <si>
    <t>Chladoriza abyssicola</t>
  </si>
  <si>
    <t>BIO_25_TM_22_T08_1b_ISPRA</t>
  </si>
  <si>
    <t>Anellide nd</t>
  </si>
  <si>
    <t>SED_25_TM_22_T08_1_ISPRA</t>
  </si>
  <si>
    <t>BIO_25_TM_22_T10_1a_ISPRA</t>
  </si>
  <si>
    <t>Resti di Isidella</t>
  </si>
  <si>
    <t>BIO_25_TM_22_T10_1b_UNIBA</t>
  </si>
  <si>
    <t>Dicopia cf. anthirrinum</t>
  </si>
  <si>
    <t>BIO_25_TM_22_T18_1_ISPRA</t>
  </si>
  <si>
    <t>BIO_25_TM_22_T18_2_UNIGE</t>
  </si>
  <si>
    <t>ramo isidella coon epibionti vari</t>
  </si>
  <si>
    <t>Barattolo 250 ml</t>
  </si>
  <si>
    <t>BIO_25_TM_22_T18_3a_ISPRA</t>
  </si>
  <si>
    <t xml:space="preserve"> A. dichotoma</t>
  </si>
  <si>
    <t>T4 - presi da colonia</t>
  </si>
  <si>
    <t>BIO_25_TM_22_T18_3b_UNIGE</t>
  </si>
  <si>
    <t>BIO_25_TM_22_T18_3c_ISPRA</t>
  </si>
  <si>
    <t xml:space="preserve">Zoantideo nd. </t>
  </si>
  <si>
    <t>T4 - su ramo colonia</t>
  </si>
  <si>
    <t>BIO_25_TM_22_T18_3d_UNIGE</t>
  </si>
  <si>
    <t>T4 - su base colonia</t>
  </si>
  <si>
    <t>BIO_25_TM_22_T18_3e_ISPRA</t>
  </si>
  <si>
    <t>T4 - colonia intera</t>
  </si>
  <si>
    <t>H2O_25_TM_22_T01_1A_ISPRA</t>
  </si>
  <si>
    <t>H2O_25_TM_22_T01_1B_ISPRA</t>
  </si>
  <si>
    <t>H2O_25_TM_22_T01_1C_ISPRA</t>
  </si>
  <si>
    <t>H2O_25_TM_22_T01_2A_ISPRA</t>
  </si>
  <si>
    <t>H2O_25_TM_22_T01_2B_ISPRA</t>
  </si>
  <si>
    <t>H2O_25_TM_22_T01_3_500cc_ISPRA</t>
  </si>
  <si>
    <t>filtro</t>
  </si>
  <si>
    <t>BIO_25_TM_56_T07_1a_ISPRA</t>
  </si>
  <si>
    <t>Acanthogorgia</t>
  </si>
  <si>
    <t>BIO_25_TM_56_T07_1b_ISPRA</t>
  </si>
  <si>
    <t>BIO_25_TM_56_T07_1c_UNIGE</t>
  </si>
  <si>
    <t>Acanthogorgia + Solenogaster</t>
  </si>
  <si>
    <t>BIO_25_TM_56_T07_2a_ISPRA</t>
  </si>
  <si>
    <t>BIO_25_TM_56_T07_2b_ISPRA</t>
  </si>
  <si>
    <t>BIO_25_TM_56_T07_2c_UNIGE</t>
  </si>
  <si>
    <t>BIO_25_TM_56_T07_3a_ISPRA</t>
  </si>
  <si>
    <t>L.glaberrima</t>
  </si>
  <si>
    <t>BIO_25_TM_56_T07_3b_UNIGE</t>
  </si>
  <si>
    <t>BIO_25_TM_56_T07_3c_ISPRA</t>
  </si>
  <si>
    <t>BIO_25_TM_56_T06_1_UNIGE</t>
  </si>
  <si>
    <t xml:space="preserve">sedimento </t>
  </si>
  <si>
    <t>BIO_25_TM_56_T06_3a_ISPRA</t>
  </si>
  <si>
    <t>NON TROVATA</t>
  </si>
  <si>
    <t>BIO_25_TM_56_T06_3b_UNIGE</t>
  </si>
  <si>
    <t>BIO_25_TM_56_T06_2a_ISPRA</t>
  </si>
  <si>
    <t>BIO_25_TM_56_T06_2b_UNIGE</t>
  </si>
  <si>
    <t>BIO_25_TM_56_T06_4_UNIGE</t>
  </si>
  <si>
    <t>Antiphates sp.</t>
  </si>
  <si>
    <t xml:space="preserve">barattolo </t>
  </si>
  <si>
    <t>SED_25_TM_56_T06_1_ISPRA</t>
  </si>
  <si>
    <t>BIO_25_TM_56_T06_5_ISPRA</t>
  </si>
  <si>
    <t>BIO_25_TM_56_T05_1_UNIGE</t>
  </si>
  <si>
    <t>BIO_25_TM_56_T03_1_UNIGE</t>
  </si>
  <si>
    <t>verme che lascia traccia circolare nel fango</t>
  </si>
  <si>
    <t>scoopnet - alcol 100</t>
  </si>
  <si>
    <t>SED_25_TM_56_T03_1_ISPRA</t>
  </si>
  <si>
    <t>liner</t>
  </si>
  <si>
    <t>BIO_25_TM_56_T02_1a_UNIGE</t>
  </si>
  <si>
    <t>sclerattinie morte fori clionidi con Geodia sp.</t>
  </si>
  <si>
    <t>Barattolo 500 ml</t>
  </si>
  <si>
    <t>BIO_25_TM_56_T02_1b_ISPRA</t>
  </si>
  <si>
    <t>barattolo 250 ml</t>
  </si>
  <si>
    <t>BIO_25_TM_56_T02_2_UNIGE</t>
  </si>
  <si>
    <t>T4 - su roccia</t>
  </si>
  <si>
    <t xml:space="preserve">barattolo 250 ml </t>
  </si>
  <si>
    <t>BIO_25_TM_56_T02_3a_ISPRA</t>
  </si>
  <si>
    <t>BIO_25_TM_56_T02_3b_UNIGE</t>
  </si>
  <si>
    <t xml:space="preserve">blocco con stoloniferi </t>
  </si>
  <si>
    <t xml:space="preserve">T4 - con pezzo di roccia </t>
  </si>
  <si>
    <t>barattolo 2l</t>
  </si>
  <si>
    <t>BIO_25_TM_56_T01_1a_ISPRA</t>
  </si>
  <si>
    <t>BIO_25_TM_56_T01_1b_ISPRA</t>
  </si>
  <si>
    <t>Altro</t>
  </si>
  <si>
    <t>Sedimento+metallo</t>
  </si>
  <si>
    <t>BIO_25_TM_56_T01_2a_UNIGE</t>
  </si>
  <si>
    <t>BIO_25_TM_56_T01_2b_ISPRA</t>
  </si>
  <si>
    <t>BIO_25_TM_01_T12_1a_ISPRA</t>
  </si>
  <si>
    <t>isidide</t>
  </si>
  <si>
    <t>BIO_25_TM_01_T12_1b_UNIGE</t>
  </si>
  <si>
    <t>BIO_25_TM_01_T15_1a_ISPRA</t>
  </si>
  <si>
    <t>BIO_25_TM_01_T15_1b_UNIGE</t>
  </si>
  <si>
    <t>BIO_25_TM_01_T15_1c_ISPRA</t>
  </si>
  <si>
    <t>BIO_25_TM_01_T15_1d_UNIGE</t>
  </si>
  <si>
    <t>BIO_25_TM_01_T15_1e_ISPRA</t>
  </si>
  <si>
    <t>BIO_25_TM_01_T15_1f_UNIGE</t>
  </si>
  <si>
    <t>BIO_25_TM_01_T15_1g_UNIGE</t>
  </si>
  <si>
    <t xml:space="preserve">stella nd. </t>
  </si>
  <si>
    <t>GEO_25_TM_01_T15_1a_ISPRA</t>
  </si>
  <si>
    <t xml:space="preserve">blocco carbonatico </t>
  </si>
  <si>
    <t>BIO_25_TM_01_T15_2a_ISPRA</t>
  </si>
  <si>
    <t>BIO_25_TM_01_T15_2b_UNIGE</t>
  </si>
  <si>
    <t>BIO_25_TM_01_T15_3a_UNIGE</t>
  </si>
  <si>
    <t>idroidi su ramo gorgonia morta</t>
  </si>
  <si>
    <t>BIO_25_TM_01_T15_3b_ISPRA</t>
  </si>
  <si>
    <t>BIO_25_TM_01_T15_4a_UNIGE</t>
  </si>
  <si>
    <t>BIO_25_TM_01_T15_4b_UNIGE</t>
  </si>
  <si>
    <t>BIO_25_TM_01_T15_4c_ISPRA</t>
  </si>
  <si>
    <t>BIO_25_TM_01_T15_4d_ISPRA</t>
  </si>
  <si>
    <t>BIO_25_TM_01_T15_5a_ISPRA</t>
  </si>
  <si>
    <t>BIO_25_TM_01_T15_5b_UNIGE</t>
  </si>
  <si>
    <t>BIO_25_TM_01_T15_5c_UNIGE</t>
  </si>
  <si>
    <t xml:space="preserve">blocco tanatocenosi </t>
  </si>
  <si>
    <t>BIO_25_TM_01_T15_5d_ISPRA</t>
  </si>
  <si>
    <t>BIO_25_TM_01_T15_5e_ISPRA</t>
  </si>
  <si>
    <t xml:space="preserve">Chladorhiza abyssicola </t>
  </si>
  <si>
    <t>nd.</t>
  </si>
  <si>
    <t>BIO_25_TM_01_T15_casuale_ISPRA</t>
  </si>
  <si>
    <t>polichete nd.</t>
  </si>
  <si>
    <t>BIO_25_TM_01_T15_6_UNIGE</t>
  </si>
  <si>
    <t xml:space="preserve">Neopicnodonte sp. </t>
  </si>
  <si>
    <t>SED_25_TM_01_T17_1_ISPRA</t>
  </si>
  <si>
    <t>BIO_25_TM_01_T19_1a_ISPRA</t>
  </si>
  <si>
    <t>scoopnet - Colonia piccola su sedimento strascicato</t>
  </si>
  <si>
    <t>BIO_25_TM_01_T19_1b_ISPRA</t>
  </si>
  <si>
    <t>BIO_25_TM_01_T19_2a_UNIGE</t>
  </si>
  <si>
    <t>BIO_25_TM_01_T19_2b_UNIGE</t>
  </si>
  <si>
    <t>BIO_25_TM_01_T11_2a_UNIGE</t>
  </si>
  <si>
    <t>Kophobelemnon stelliferum</t>
  </si>
  <si>
    <t>BIO_25_TM_01_T11_2b_UNIGE</t>
  </si>
  <si>
    <t>sedimento setacciato</t>
  </si>
  <si>
    <t>BIO_25_TM_01_T11_3_UNIGE</t>
  </si>
  <si>
    <t xml:space="preserve">lollipop sponge </t>
  </si>
  <si>
    <t>BIO_25_TM_01_T11_1_ISPRA</t>
  </si>
  <si>
    <t>Valva di ostrica con spugna bianca e spugna gialla incrostanti</t>
  </si>
  <si>
    <t>BIO_25_TM_01_T02_1a_UNIGE</t>
  </si>
  <si>
    <t>T4 - con Solenogater</t>
  </si>
  <si>
    <t>BIO_25_TM_01_T02_1b_UNIGE</t>
  </si>
  <si>
    <t>BIO_25_TM_01_T02_2a_ISPRA</t>
  </si>
  <si>
    <t>BIO_25_TM_01_T02_2b_ISPRA</t>
  </si>
  <si>
    <t>H2O_25_TM_01_T02_1a_ISPRA</t>
  </si>
  <si>
    <t>H2O_25_TM_01_T02_1b_ISPRA</t>
  </si>
  <si>
    <t>H2O_25_TM_01_T02_2a_ISPRA</t>
  </si>
  <si>
    <t>H2O_25_TM_01_T02_2b_ISPRA</t>
  </si>
  <si>
    <t>H2O_25_TM_01_T02_3_500_ISPRA</t>
  </si>
  <si>
    <t>stagnola</t>
  </si>
  <si>
    <t>BIO_25_TM_01_T06_1a_UNIGE</t>
  </si>
  <si>
    <t>Eppendorf grande</t>
  </si>
  <si>
    <t>BIO_25_TM_01_T06_1b_ISPRA</t>
  </si>
  <si>
    <t>BIO_25_TM_01_T06_1c_UNICA</t>
  </si>
  <si>
    <t>BIO_25_TM_01_T18_1a_UNIGE</t>
  </si>
  <si>
    <t>Gorgonia (Placogorgia) con ectopleura</t>
  </si>
  <si>
    <t>BIO_25_TM_01_T18_1b_UNIBA</t>
  </si>
  <si>
    <t>Gorgonia (Placogorgia)</t>
  </si>
  <si>
    <t>Falcon</t>
  </si>
  <si>
    <t>BIO_25_TM_01_T18_1c_ISPRA</t>
  </si>
  <si>
    <t>BIO_26_TM_01_T10_1a_UNIGE</t>
  </si>
  <si>
    <t>BIO_26_TM_01_T10_1b_UNIBA</t>
  </si>
  <si>
    <t>Falcon da 50 ml</t>
  </si>
  <si>
    <t>BIO_26_TM_01_T10_1c_ISPRA</t>
  </si>
  <si>
    <t>H2O_26_TM_01_T01_1a_ISPRA</t>
  </si>
  <si>
    <t>H2O_26_TM_01_T01_1b_ISPRA</t>
  </si>
  <si>
    <t>H2O_26_TM_01_T01_1c_ISPRA</t>
  </si>
  <si>
    <t>H2O_26_TM_01_T01_2a_ISPRA</t>
  </si>
  <si>
    <t>H2O_26_TM_01_T01_2b_ISPRA</t>
  </si>
  <si>
    <t>H2O_26_TM_01_T01_3_500_ISPRA</t>
  </si>
  <si>
    <t>BIO_26_TM_01_T16_1a_UNIGE</t>
  </si>
  <si>
    <t>BIO_26_TM_01_T16_1b_UNIBA</t>
  </si>
  <si>
    <t>BIO_26_TM_01_T16_1c_ISPRA</t>
  </si>
  <si>
    <t>BIO_26_TM_01_T16_2_UNIGE</t>
  </si>
  <si>
    <t>BIO_26_TM_01_T16_3a_UNIGE</t>
  </si>
  <si>
    <t>BIO_26_TM_01_T16_3b_ISPRA</t>
  </si>
  <si>
    <t>SED_26_TM_01_T09_2_ISPRA</t>
  </si>
  <si>
    <t>BIO_26_TM_01_T09_1_UNIGE</t>
  </si>
  <si>
    <t xml:space="preserve">Lollipop sponge Rhizaxinella sp. </t>
  </si>
  <si>
    <t>SED_26_TM_30_T06_1_ISPRA</t>
  </si>
  <si>
    <t>BIO_26_TM_30_T11_1a_UNIGE</t>
  </si>
  <si>
    <t>Campione da identificare</t>
  </si>
  <si>
    <t>BIO_26_TM_30_T02_1a_UNIGE</t>
  </si>
  <si>
    <t>BIO_26_TM_30_T02_1b_UNIBA</t>
  </si>
  <si>
    <t>BIO_26_TM_30_T02_1c_ISPRA</t>
  </si>
  <si>
    <t>BIO_26_TM_30_T02_2a_UNIGE</t>
  </si>
  <si>
    <t>BIO_26_TM_30_T02_2b_UNIBA</t>
  </si>
  <si>
    <t>BIO_26_TM_30_T02_2c_ISPRA</t>
  </si>
  <si>
    <t>BIO_26_TM_30_T02_3a_UNIGE</t>
  </si>
  <si>
    <t>BIO_26_TM_30_T02_3b_UNIBA</t>
  </si>
  <si>
    <t>BIO_26_TM_30_T02_3c_ISPRA</t>
  </si>
  <si>
    <t>BIO_26_TM_30_T01_1a_UNIGE</t>
  </si>
  <si>
    <t>BIO_26_TM_30_T01_1b_UNIBA</t>
  </si>
  <si>
    <t>BIO_26_TM_30_T01_1c_UNICA</t>
  </si>
  <si>
    <t>BIO_26_TM_30_T01_1d_ISPRA</t>
  </si>
  <si>
    <t>GEO_26_TM_30_T13_1_ISPRA</t>
  </si>
  <si>
    <t xml:space="preserve">Roccia </t>
  </si>
  <si>
    <t>GEO_26_TM_30_T13_2_ISPRA</t>
  </si>
  <si>
    <t>No contenitore</t>
  </si>
  <si>
    <t>BIO_26_TM_30_T13_1a_ISPRA SZN</t>
  </si>
  <si>
    <t>Spugnette bianche a cipollina</t>
  </si>
  <si>
    <t>BIO_26_TM_30_T13_1b_UNIGE</t>
  </si>
  <si>
    <t>BIO_26_TM_30_T13_1c_UNIGE</t>
  </si>
  <si>
    <t>Sclerattinie</t>
  </si>
  <si>
    <t>BIO_26_TM_30_T13_1d_UNIGE</t>
  </si>
  <si>
    <t>Barattolo 250 ml + Eppendorf piccola</t>
  </si>
  <si>
    <t>BIO_26_TM_30_T13_1e_UNIGE</t>
  </si>
  <si>
    <t>Spugne pelose bianche</t>
  </si>
  <si>
    <t>BIO_26_TM_30_T13_1f_UNIGE</t>
  </si>
  <si>
    <t>Vermetto</t>
  </si>
  <si>
    <t xml:space="preserve">Eppendorf </t>
  </si>
  <si>
    <t>BIO_26_TM_30_T13_1g_UNIGE</t>
  </si>
  <si>
    <t>Scifopolipo/Vermetide</t>
  </si>
  <si>
    <t>Tirreno centrale</t>
  </si>
  <si>
    <t>GEO_26_TC_59_T06_1_ISPRA</t>
  </si>
  <si>
    <t>BIO_26_TC_59_T06_1a_UNIBA</t>
  </si>
  <si>
    <t>Ascidia nd.</t>
  </si>
  <si>
    <t>BIO_26_TC_59_T06_1b_UNIGE</t>
  </si>
  <si>
    <t>BIO_26_TC_59_T06_2a_UNIGE</t>
  </si>
  <si>
    <t>BIO_26_TC_59_T06_2b_UNIBA</t>
  </si>
  <si>
    <t>BIO_26_TC_59_T06_2c_UNICA</t>
  </si>
  <si>
    <t>BIO_26_TC_59_T06_2d_ISPRA</t>
  </si>
  <si>
    <t>BIO_26_TC_59_T06_2e_UNIGE</t>
  </si>
  <si>
    <t>cfr Inachus sp.</t>
  </si>
  <si>
    <t>BIO_26_TC_59_T06_3a_UNIGE</t>
  </si>
  <si>
    <t>BIO_26_TC_59_T06_3b_UNIBA</t>
  </si>
  <si>
    <t>GEO_26_TC_59_T05_1_ISPRA</t>
  </si>
  <si>
    <t>GEO_26_TC_59_T05_2_ISPRA</t>
  </si>
  <si>
    <t>BIO_26_TC_59_T05_1a_UNIGE</t>
  </si>
  <si>
    <t>BIO_26_TC_59_T05_1b_UNIBA</t>
  </si>
  <si>
    <t>BIO_26_TC_59_T04_1a_UNIGE</t>
  </si>
  <si>
    <t>BIO_26_TC_59_T04_1b_ISPRA</t>
  </si>
  <si>
    <t>BIO_26_TC_59_T04_2_UNIBA</t>
  </si>
  <si>
    <t>BIO_26_TC_59_T04_3a_UNIGE</t>
  </si>
  <si>
    <t>cf Placogorgia sp.</t>
  </si>
  <si>
    <t>BIO_26_TC_59_T04_3b_UNIBA</t>
  </si>
  <si>
    <t>BIO_26_TC_59_T04_3c_UNICA</t>
  </si>
  <si>
    <t>BIO_26_TC_59_T04_3d_ISPRA</t>
  </si>
  <si>
    <t>BIO_26_TC_59_T04_4a_UNIGE</t>
  </si>
  <si>
    <t>Antipathes dichotoma (base ramificata) + roccia</t>
  </si>
  <si>
    <t>BIO_26_TC_59_T04_4b_UNIBA</t>
  </si>
  <si>
    <t>Antipathes dichotoma (base ramificata)</t>
  </si>
  <si>
    <t>BIO_26_TC_59_T04_4c_ISPRA</t>
  </si>
  <si>
    <t>BIO_26_TC_59_T04_5a_UNIGE</t>
  </si>
  <si>
    <t>Roccia con M. lepida</t>
  </si>
  <si>
    <t>BIO_26_TC_59_T04_5b_UNIBA</t>
  </si>
  <si>
    <t>M. lepida</t>
  </si>
  <si>
    <t>BIO_26_TC_59_T04_5a_UNICA</t>
  </si>
  <si>
    <t>BIO_26_TC_59_T04_6_UNIGE</t>
  </si>
  <si>
    <t>BIO_26_TC_59_T03_1_UNICA</t>
  </si>
  <si>
    <t>Echiuride ND</t>
  </si>
  <si>
    <t>BIO_26_TC_62_T08_1_UNIGE</t>
  </si>
  <si>
    <t xml:space="preserve">Lollipop sponge cfr Rhizaxinella sp. </t>
  </si>
  <si>
    <t>SED_26_TC_62_T08_1_ISPRA</t>
  </si>
  <si>
    <t>BIO_26_TC_62_T06_1_UNIGE</t>
  </si>
  <si>
    <t xml:space="preserve">Lollipop sponge lunga ND </t>
  </si>
  <si>
    <t>BIO_26_TC_62_T09_1a_ISPRA</t>
  </si>
  <si>
    <t>Falcon alcol 96%</t>
  </si>
  <si>
    <t>BIO_26_TC_62_T09_1b_UNICA</t>
  </si>
  <si>
    <t>Falcon alcol 70%</t>
  </si>
  <si>
    <t>BIO_26_TC_62_T09_1c_UNIGE</t>
  </si>
  <si>
    <t>BIO_26_TC_62_T09_1d_UNIBA</t>
  </si>
  <si>
    <t>BIO_26_TC_62_T05_1a_ISPRA</t>
  </si>
  <si>
    <t>Falcon 100%</t>
  </si>
  <si>
    <t>BIO_26_TC_62_T05_1c_UNICA</t>
  </si>
  <si>
    <t>Falcon 70%</t>
  </si>
  <si>
    <t>BIO_26_TC_62_T05_1b_UNIGE</t>
  </si>
  <si>
    <t>BIO_26_TC_62_T05_1d_UNIBA</t>
  </si>
  <si>
    <t>Falcon 96%</t>
  </si>
  <si>
    <t>BIO_26_TC_62_T05_2_ISPRA</t>
  </si>
  <si>
    <t>10:35.37</t>
  </si>
  <si>
    <t>BIO_26_TC_62_T05_3a_UNIGE</t>
  </si>
  <si>
    <t>cfr Nicella granifera</t>
  </si>
  <si>
    <t>BIO_26_TC_62_T05_3b_ISPRA</t>
  </si>
  <si>
    <t>SED_26_TC_62_T05_1_ISPRA</t>
  </si>
  <si>
    <t>BIO_26_TC_62_T01_1_UNIBA</t>
  </si>
  <si>
    <t>BIO_26_TC_62_T01_2_UNIGE</t>
  </si>
  <si>
    <t>Spugna bianca cfr. Geodia</t>
  </si>
  <si>
    <t>BIO_26_TM_35_T08_1a_UNICA</t>
  </si>
  <si>
    <t>Acanella/Isidella elongata</t>
  </si>
  <si>
    <t>Barattolo stella 500 ml alcol 70%</t>
  </si>
  <si>
    <t>BIO_26_TM_35_T08_1b_UNIGE</t>
  </si>
  <si>
    <t>Falcon alcol 95%</t>
  </si>
  <si>
    <t>BIO_26_TM_35_T08_1c_UNIBA</t>
  </si>
  <si>
    <t>BIO_26_TM_35_T08_1d_ISPRA</t>
  </si>
  <si>
    <t>BIO_26_TM_35_T05_1_ISPRA</t>
  </si>
  <si>
    <t>Coral rubble Dendrophyllia</t>
  </si>
  <si>
    <t>BIO_26_TM_35_T05_2a_ISPRA</t>
  </si>
  <si>
    <t>BIO_26_TM_35_T05_2b_ISPRA</t>
  </si>
  <si>
    <t>Dendrophyllia e coralliti</t>
  </si>
  <si>
    <t>BIO_26_TM_35_T05_2c_UNIGE</t>
  </si>
  <si>
    <t>Cnidare strisciante su Dendrophyllia</t>
  </si>
  <si>
    <t>Falcon 95%</t>
  </si>
  <si>
    <t>BIO_26_TM_35_T05_3a_UNICA</t>
  </si>
  <si>
    <t>BIO_26_TM_35_T05_3b_ISPRA</t>
  </si>
  <si>
    <t>BIO_26_TM_35_T05_3c_UNIGE</t>
  </si>
  <si>
    <t>BIO_26_TM_35_T05_3d_UNIBA</t>
  </si>
  <si>
    <t>H2O_26_TM_35_T05_1a_ISPRA</t>
  </si>
  <si>
    <t>H2O_26_TM_35_T05_1b_ISPRA</t>
  </si>
  <si>
    <t>H2O_26_TM_35_T05_1c_ISPRA</t>
  </si>
  <si>
    <t>H2O_26_TM_35_T05_2a_ISPRA</t>
  </si>
  <si>
    <t>H2O_26_TM_35_T05_2b_ISPRA</t>
  </si>
  <si>
    <t>H2O_26_TM_35_T05_3_500_ISPRA</t>
  </si>
  <si>
    <t>Stagnola</t>
  </si>
  <si>
    <t>BIO_26_TM_35_T12_1_UNICA</t>
  </si>
  <si>
    <t>Acanella/Isidella elongata con crostaceo</t>
  </si>
  <si>
    <t>SED_26_TM_35_T12_1_ISPRA</t>
  </si>
  <si>
    <t>SED_26_TM_35_T20_2a_ISPRA</t>
  </si>
  <si>
    <t>Sedimento biogenico</t>
  </si>
  <si>
    <t>Ai campioni è stato assegnato il numero 2 SED erroneamente, nonostantte fosse il primo campionamento e nonostante appartenesse al codice GEO</t>
  </si>
  <si>
    <t>SED_26_TM_35_T20_2b_ISPRA</t>
  </si>
  <si>
    <t>SED_26_TM_35_T20_2c_ISPRA</t>
  </si>
  <si>
    <t>SED_26_TM_35_T20_2d_ISPRA</t>
  </si>
  <si>
    <t>GEO_26_TM_35_T20_2a_ISPRA</t>
  </si>
  <si>
    <t>Roccia con sopra Antipathes dichotoma</t>
  </si>
  <si>
    <t>GEO_26_TM_35_T20_2b_UNIGE</t>
  </si>
  <si>
    <t>Stenocyathus vermiformis su Roccia con sopra Antipathes dichotoma</t>
  </si>
  <si>
    <t>BIO_26_TM_35_T20_2a_UNIGE</t>
  </si>
  <si>
    <t>Antipathes dichotoma su roccia</t>
  </si>
  <si>
    <t>BIO_26_TM_35_T20_2b_UNIBA</t>
  </si>
  <si>
    <t>BIO_26_TM_35_T20_2c_ISPRA</t>
  </si>
  <si>
    <t>BIO_26_TM_35_T20_1_ISPRA</t>
  </si>
  <si>
    <t>BIO_26_TM_35_T20_3a_UNICA</t>
  </si>
  <si>
    <t>Barattolo 250 ml alcol 70%</t>
  </si>
  <si>
    <t>BIO_26_TM_35_T20_3b_ISPRA</t>
  </si>
  <si>
    <t>BIO_26_TM_35_T20_3c_UNIBA</t>
  </si>
  <si>
    <t>BIO_26_TM_35_T20_3d_UNIGE</t>
  </si>
  <si>
    <t>BIO_26_TM_35_T20_4a_UNICA</t>
  </si>
  <si>
    <t>BIO_26_TM_35_T20_4b_ISPRA</t>
  </si>
  <si>
    <t>BIO_26_TM_35_T20_4c_UNIBA</t>
  </si>
  <si>
    <t>BIO_26_TM_35_T20_4d_UNIGE</t>
  </si>
  <si>
    <t>BIO_26_TM_35_T18_1_ISPRA</t>
  </si>
  <si>
    <t>Da verificare cos'è, quando preso, come?</t>
  </si>
  <si>
    <t>BIO_26_TM_35_T18_2_UNIGE</t>
  </si>
  <si>
    <t>Sclerattinia nd cf. D. dianthus</t>
  </si>
  <si>
    <t>BIO_26_TM_35_T19_1_UNIGE</t>
  </si>
  <si>
    <t xml:space="preserve">Campione corallo morto con balano e lepade epibionti </t>
  </si>
  <si>
    <t>BIO_26_TM_35_T19_2_UNIGE</t>
  </si>
  <si>
    <t>Campione corallo morto con stoloniferi</t>
  </si>
  <si>
    <t>BIO_26_TM_35_T19_3a_ISPRA</t>
  </si>
  <si>
    <t>Cfr Antipathozoanthus</t>
  </si>
  <si>
    <t>Eppendorf 96%</t>
  </si>
  <si>
    <t>BIO_26_TM_35_T19_3b_UNIGE</t>
  </si>
  <si>
    <t>BIO_26_TM_35_T19_3c_UNIBA</t>
  </si>
  <si>
    <t>BIO_26_TM_35_T19_3d_ISPRA</t>
  </si>
  <si>
    <t>Roccia su cui cresceva Antipathozoanthus</t>
  </si>
  <si>
    <t>Barattolo 250 ml - secco</t>
  </si>
  <si>
    <t>dovrebbe essere GEO</t>
  </si>
  <si>
    <t>BIO_26_TM_35_T19_4a_ISPRA</t>
  </si>
  <si>
    <t>BIO_26_TM_35_T19_4b_UNIGE</t>
  </si>
  <si>
    <t>BIO_26_TM_35_T19_4d_UNIBA</t>
  </si>
  <si>
    <t>BIO_26_TM_35_T19_5_UNIBA</t>
  </si>
  <si>
    <t>Viminella flagellum ramificata</t>
  </si>
  <si>
    <t>BIO_26_TM_35_T19_6a_ISPRA</t>
  </si>
  <si>
    <t>Anemoni su V. flagellum morta</t>
  </si>
  <si>
    <t>BIO_26_TM_35_T19_6b_UNIGE</t>
  </si>
  <si>
    <t>BIO_26_TM_35_T19_6c_UNIBA</t>
  </si>
  <si>
    <t>BIO_26_TM_35_T01_1_UNIGE</t>
  </si>
  <si>
    <t>BIO_26_TM_35_T01_2a_ISPRA</t>
  </si>
  <si>
    <t>BIO_26_TM_35_T01_2b_UNICA</t>
  </si>
  <si>
    <t>BIO_26_TM_35_T01_2c_UNIBA</t>
  </si>
  <si>
    <t>BIO_26_TM_35_T01_2d_UNIGE</t>
  </si>
  <si>
    <t>BIO_26_TM_35_T01_3_UNIGE</t>
  </si>
  <si>
    <t>Falcon100%</t>
  </si>
  <si>
    <t>BIO_26_TM_35_T02_1a_ISPRA</t>
  </si>
  <si>
    <t>Coral rubble madrepora bianca</t>
  </si>
  <si>
    <t>Barattolo 500 ml a secco</t>
  </si>
  <si>
    <t>BIO_26_TM_35_T02_1b_ISPRA</t>
  </si>
  <si>
    <t>Coral rubble madrepora nera</t>
  </si>
  <si>
    <t>BIO_26_TM_35_T02_1c_UNIGE</t>
  </si>
  <si>
    <t>Coral rubble madrepora bianca e Stenocyathus vermiformis</t>
  </si>
  <si>
    <t>Eppendorf grande secco</t>
  </si>
  <si>
    <t>BIO_26_TM_35_T02_2a_ISPRA</t>
  </si>
  <si>
    <t>Coral rubble D. cornigera</t>
  </si>
  <si>
    <t>BIO_26_TM_35_T02_2b_UNIBA</t>
  </si>
  <si>
    <t>Polichete</t>
  </si>
  <si>
    <t>Eppendorf piccola 96%</t>
  </si>
  <si>
    <t>BIO_26_TM_35_T02_2c_UNIGE</t>
  </si>
  <si>
    <t>Chitone</t>
  </si>
  <si>
    <t>BIO_26_TM_35_T02_2d_UNIBA</t>
  </si>
  <si>
    <t>BIO_26_TM_35_T15_1a_UNIGE</t>
  </si>
  <si>
    <t>Coral rubble Madrepora e Lophelia con Mollecorallium</t>
  </si>
  <si>
    <t>Barattolo 250 ml Alcol 96%</t>
  </si>
  <si>
    <t>BIO_26_TM_35_T15_1b_UNIGE</t>
  </si>
  <si>
    <t>Coral rubble Madrepora e Lophelia con attinia, foraminifero da verificare e sclerattinia solitaria</t>
  </si>
  <si>
    <t>Barattolo 250 ml Alcol 70%</t>
  </si>
  <si>
    <t>BIO_26_TM_35_T15_1c_UNIBA</t>
  </si>
  <si>
    <t>Coral rubble Madrepora e Lophelia epibiontato mentolo</t>
  </si>
  <si>
    <t>BIO_26_TM_35_T15_1d_ISPRA</t>
  </si>
  <si>
    <t>Coral rubble Madrepora e Lophelia</t>
  </si>
  <si>
    <t>BIO_26_TM_35_T15_2a_ISPRA</t>
  </si>
  <si>
    <t>Eppendorf grande 96%</t>
  </si>
  <si>
    <t>BIO_26_TM_35_T15_2b_UNIBA</t>
  </si>
  <si>
    <t>I. elongata mentolo</t>
  </si>
  <si>
    <t>BIO_26_TM_35_T15_2c_UNICA</t>
  </si>
  <si>
    <t>GEO_26_TM_35_T06_1_ISPRA</t>
  </si>
  <si>
    <t>H2O_26_TM_35_T06_1a_ISPRA</t>
  </si>
  <si>
    <t>H2O_26_TM_35_T06_1b_ISPRA</t>
  </si>
  <si>
    <t>H2O_26_TM_35_T06_1c_ISPRA</t>
  </si>
  <si>
    <t>H2O_26_TM_35_T06_2a_ISPRA</t>
  </si>
  <si>
    <t>H2O_26_TM_35_T06_2b_ISPRA</t>
  </si>
  <si>
    <t>H2O_26_TM_35_T06_3_500_ISPRA</t>
  </si>
  <si>
    <t>H2O_26_TM_35_T06_4a_ISPRA</t>
  </si>
  <si>
    <t>H2O_26_TM_35_T06_4b_ISPRA</t>
  </si>
  <si>
    <t>H2O_26_TM_35_T06_4c_ISPRA</t>
  </si>
  <si>
    <t>H2O_26_TM_35_T06_5a_ISPRA</t>
  </si>
  <si>
    <t>H2O_26_TM_35_T06_5b_ISPRA</t>
  </si>
  <si>
    <t>H2O_26_TM_35_T06_6_500_ISPRA</t>
  </si>
  <si>
    <t>Falcon Stagnola</t>
  </si>
  <si>
    <t>BIO_26_TM_35_T06_1a_UNICA</t>
  </si>
  <si>
    <t>Barattolo 500 ml alcool 70%</t>
  </si>
  <si>
    <t>BIO_26_TM_35_T06_1b_UNIBA</t>
  </si>
  <si>
    <t>Barattolo 250 ml tappo a stella alcol 96%</t>
  </si>
  <si>
    <t>BIO_26_TM_35_T06_1c_UNIGE</t>
  </si>
  <si>
    <t>BIO_26_TM_35_T06_1d_ISPRA</t>
  </si>
  <si>
    <t>BIO_26_TM_35_T10_1a_ISPRA</t>
  </si>
  <si>
    <t>BIO_26_TM_35_T10_1b_UNICA</t>
  </si>
  <si>
    <t>BIO_26_TM_35_T10_1c_UNICA</t>
  </si>
  <si>
    <t>busta</t>
  </si>
  <si>
    <t>BIO_26_TM_35_T10_1d_ISPRA</t>
  </si>
  <si>
    <t>BIO_26_TM_17_T03_1a_ISPRA</t>
  </si>
  <si>
    <t>Barattolo 500 ml alcol 96%</t>
  </si>
  <si>
    <t>SED_26_TM_17_T02_1_ISPRA</t>
  </si>
  <si>
    <t>n.5</t>
  </si>
  <si>
    <t>BIO_26_TM_17_T05_1a_ISPRA</t>
  </si>
  <si>
    <t xml:space="preserve">Scleractinie </t>
  </si>
  <si>
    <t>Barattolo tappo stella 1L</t>
  </si>
  <si>
    <t>BIO_26_TM_17_T05_1b_Unige</t>
  </si>
  <si>
    <t>Barattolo tappo stella 250 mL</t>
  </si>
  <si>
    <t>BIO_26_TM_17_T05_1c_Unica</t>
  </si>
  <si>
    <t>BIO_26_TM_17_T05_2_Unige</t>
  </si>
  <si>
    <t>Eppendorf</t>
  </si>
  <si>
    <t>BIO_26_TM_60_T01a_Unige</t>
  </si>
  <si>
    <t>BIO_26_TM_60_T01b_Unige</t>
  </si>
  <si>
    <t>BIO_26_TM_60_T01c_Ispra</t>
  </si>
  <si>
    <t>BIO_26_TM_60_T01d_Ispra</t>
  </si>
  <si>
    <t>GEO_26_TM_60_T01_1_ISPRA</t>
  </si>
  <si>
    <t>BIO_26_TM_60_T02_1a_ISPRA</t>
  </si>
  <si>
    <t xml:space="preserve">Strato superficiale fondo </t>
  </si>
  <si>
    <t>GEO_26_TM_60_T02_1b_ISPRA</t>
  </si>
  <si>
    <t xml:space="preserve">roccia </t>
  </si>
  <si>
    <t>SED_26_TM_60_T02_1_ISPRA</t>
  </si>
  <si>
    <t>n.6</t>
  </si>
  <si>
    <t>00000000000000000000000000,,,,,,,,,,,,,,,,,,,,,,,,,,,,,,,,,,,,,,,,,,,,,,00000000000000000000000000000000000000000000000000000000000000000000000000000000000000000000,,,,,,,,,,,,,,,,,,,,,,,,,,,,,,,,,,,,,,,,,,,,,,,,,,,,,,,,,,,,,,,,,,,,,,,,,,,,,,,,,,,,,,,,,,,,,,,,,,,,,,,,,,,,,,,,,,,,,,,,,,,,,,,,,,,,,,,,,,,,,,,,,,,,,,,,,,,,,,,,,,,,,,,,,,,,,,,,,,,,,,,,,,,,,,,,,,,,,,,,,,,,,,,,,,,,,,,,,,,,,,,,,,,,,,,,,,,,,,,,,,,,,,,,,,,,,,,,,,,,,,,,,,,,,,,,,,,,,,,,000</t>
  </si>
  <si>
    <t>Operazione</t>
  </si>
  <si>
    <t>Lista specie</t>
  </si>
  <si>
    <t>LASER</t>
  </si>
  <si>
    <r>
      <t xml:space="preserve">Acanella </t>
    </r>
    <r>
      <rPr>
        <sz val="11"/>
        <rFont val="Calibri"/>
        <family val="2"/>
      </rPr>
      <t>spp.</t>
    </r>
  </si>
  <si>
    <r>
      <rPr>
        <b/>
        <sz val="11"/>
        <rFont val="Calibri"/>
        <family val="2"/>
      </rPr>
      <t>T370</t>
    </r>
    <r>
      <rPr>
        <sz val="11"/>
        <rFont val="Calibri"/>
        <family val="2"/>
      </rPr>
      <t xml:space="preserve"> sacchetto spazzatura</t>
    </r>
  </si>
  <si>
    <t>codice seamount _ nome transetto</t>
  </si>
  <si>
    <t>002_ADVENT_PANT_TALBOT_BANKS</t>
  </si>
  <si>
    <t>Acanthogorgia armata</t>
  </si>
  <si>
    <r>
      <rPr>
        <b/>
        <sz val="11"/>
        <rFont val="Calibri"/>
        <family val="2"/>
      </rPr>
      <t xml:space="preserve">J13 </t>
    </r>
    <r>
      <rPr>
        <sz val="11"/>
        <rFont val="Calibri"/>
        <family val="2"/>
      </rPr>
      <t>bottiglia o contenitore plastica</t>
    </r>
  </si>
  <si>
    <t>003_ALBANO_SEAMOUNT</t>
  </si>
  <si>
    <r>
      <rPr>
        <b/>
        <sz val="11"/>
        <rFont val="Calibri"/>
        <family val="2"/>
      </rPr>
      <t>J18</t>
    </r>
    <r>
      <rPr>
        <sz val="11"/>
        <rFont val="Calibri"/>
        <family val="2"/>
      </rPr>
      <t xml:space="preserve"> cassetta o cesta plastica</t>
    </r>
  </si>
  <si>
    <t>Mar Ligure</t>
  </si>
  <si>
    <t>004_ALBATROS_CICERONE_SEAMOUNT</t>
  </si>
  <si>
    <t xml:space="preserve">Acantholabrus palloni </t>
  </si>
  <si>
    <r>
      <rPr>
        <b/>
        <sz val="11"/>
        <rFont val="Calibri"/>
        <family val="2"/>
      </rPr>
      <t>J54*</t>
    </r>
    <r>
      <rPr>
        <sz val="11"/>
        <rFont val="Calibri"/>
        <family val="2"/>
      </rPr>
      <t xml:space="preserve"> rete/pezzo rete &gt;50cm</t>
    </r>
  </si>
  <si>
    <t>Mar Adriatico</t>
  </si>
  <si>
    <t>005_ALCIONE_SEAMOUNT</t>
  </si>
  <si>
    <t>Acesta excavata</t>
  </si>
  <si>
    <r>
      <rPr>
        <b/>
        <sz val="11"/>
        <rFont val="Calibri"/>
        <family val="2"/>
      </rPr>
      <t>J234*</t>
    </r>
    <r>
      <rPr>
        <sz val="11"/>
        <rFont val="Calibri"/>
        <family val="2"/>
      </rPr>
      <t xml:space="preserve"> cime, corde o reti aggrovigliate</t>
    </r>
  </si>
  <si>
    <r>
      <t xml:space="preserve">Alcyonium </t>
    </r>
    <r>
      <rPr>
        <sz val="11"/>
        <rFont val="Calibri"/>
        <family val="2"/>
      </rPr>
      <t>spp.</t>
    </r>
  </si>
  <si>
    <r>
      <rPr>
        <b/>
        <sz val="11"/>
        <rFont val="Calibri"/>
        <family val="2"/>
      </rPr>
      <t>J59*</t>
    </r>
    <r>
      <rPr>
        <sz val="11"/>
        <rFont val="Calibri"/>
        <family val="2"/>
      </rPr>
      <t xml:space="preserve"> lenza nylon</t>
    </r>
  </si>
  <si>
    <t>Amage adspersa</t>
  </si>
  <si>
    <r>
      <rPr>
        <b/>
        <sz val="11"/>
        <rFont val="Calibri"/>
        <family val="2"/>
      </rPr>
      <t xml:space="preserve">J62* </t>
    </r>
    <r>
      <rPr>
        <sz val="11"/>
        <rFont val="Calibri"/>
        <family val="2"/>
      </rPr>
      <t>galleggiante per rete pesca</t>
    </r>
  </si>
  <si>
    <t>Ampelisca ledoyeri</t>
  </si>
  <si>
    <r>
      <rPr>
        <b/>
        <sz val="11"/>
        <rFont val="Calibri"/>
        <family val="2"/>
      </rPr>
      <t>J80</t>
    </r>
    <r>
      <rPr>
        <sz val="11"/>
        <rFont val="Calibri"/>
        <family val="2"/>
      </rPr>
      <t xml:space="preserve"> pezzo plastica &gt;50cm</t>
    </r>
  </si>
  <si>
    <r>
      <rPr>
        <b/>
        <sz val="11"/>
        <rFont val="Calibri"/>
        <family val="2"/>
      </rPr>
      <t xml:space="preserve">G67 </t>
    </r>
    <r>
      <rPr>
        <sz val="11"/>
        <rFont val="Calibri"/>
        <family val="2"/>
      </rPr>
      <t>imballaggio/telo industriale</t>
    </r>
  </si>
  <si>
    <t>010_BANNOK_BANK</t>
  </si>
  <si>
    <t xml:space="preserve">Anseropoda placenta </t>
  </si>
  <si>
    <r>
      <rPr>
        <b/>
        <sz val="11"/>
        <rFont val="Calibri"/>
        <family val="2"/>
      </rPr>
      <t>J61*</t>
    </r>
    <r>
      <rPr>
        <sz val="11"/>
        <rFont val="Calibri"/>
        <family val="2"/>
      </rPr>
      <t xml:space="preserve"> oggetto da pesca non in lista</t>
    </r>
  </si>
  <si>
    <t>011_BARONIE_K_SEAMOUNT</t>
  </si>
  <si>
    <t>Antipathella subpinnata</t>
  </si>
  <si>
    <r>
      <rPr>
        <b/>
        <sz val="11"/>
        <rFont val="Calibri"/>
        <family val="2"/>
      </rPr>
      <t>J229</t>
    </r>
    <r>
      <rPr>
        <sz val="11"/>
        <rFont val="Calibri"/>
        <family val="2"/>
      </rPr>
      <t xml:space="preserve"> piatto/vassoio plastica</t>
    </r>
  </si>
  <si>
    <t>012_BOURI_BANK</t>
  </si>
  <si>
    <t>013_CASSINIS_SEAMOUNT</t>
  </si>
  <si>
    <r>
      <t xml:space="preserve">Antipathes </t>
    </r>
    <r>
      <rPr>
        <sz val="11"/>
        <rFont val="Calibri"/>
        <family val="2"/>
      </rPr>
      <t>sp.</t>
    </r>
  </si>
  <si>
    <t>gomma</t>
  </si>
  <si>
    <r>
      <rPr>
        <b/>
        <sz val="11"/>
        <rFont val="Calibri"/>
        <family val="2"/>
      </rPr>
      <t>J251</t>
    </r>
    <r>
      <rPr>
        <sz val="11"/>
        <rFont val="Calibri"/>
        <family val="2"/>
      </rPr>
      <t xml:space="preserve"> pneumatici</t>
    </r>
  </si>
  <si>
    <t>014_CIALDI_SEAMOUNT</t>
  </si>
  <si>
    <r>
      <rPr>
        <b/>
        <sz val="11"/>
        <rFont val="Calibri"/>
        <family val="2"/>
      </rPr>
      <t>J126</t>
    </r>
    <r>
      <rPr>
        <sz val="11"/>
        <rFont val="Calibri"/>
        <family val="2"/>
      </rPr>
      <t xml:space="preserve"> palle/palloni gomma</t>
    </r>
  </si>
  <si>
    <t>015_CIMOTOE_VOLCANO</t>
  </si>
  <si>
    <r>
      <rPr>
        <b/>
        <sz val="11"/>
        <rFont val="Calibri"/>
        <family val="2"/>
      </rPr>
      <t>J137</t>
    </r>
    <r>
      <rPr>
        <sz val="11"/>
        <rFont val="Calibri"/>
        <family val="2"/>
      </rPr>
      <t xml:space="preserve"> vestiti</t>
    </r>
  </si>
  <si>
    <t>016_COLUMBUS_SEAMOUNT</t>
  </si>
  <si>
    <r>
      <rPr>
        <b/>
        <sz val="11"/>
        <rFont val="Calibri"/>
        <family val="2"/>
      </rPr>
      <t>J138</t>
    </r>
    <r>
      <rPr>
        <sz val="11"/>
        <rFont val="Calibri"/>
        <family val="2"/>
      </rPr>
      <t xml:space="preserve"> scarpe/sandali</t>
    </r>
  </si>
  <si>
    <t>Aulopus fialmentosus</t>
  </si>
  <si>
    <r>
      <rPr>
        <b/>
        <sz val="11"/>
        <rFont val="Calibri"/>
        <family val="2"/>
      </rPr>
      <t>J145</t>
    </r>
    <r>
      <rPr>
        <sz val="11"/>
        <rFont val="Calibri"/>
        <family val="2"/>
      </rPr>
      <t xml:space="preserve"> altro tessile nd</t>
    </r>
  </si>
  <si>
    <t>018_CORNAGLIA_SEAMOUNT</t>
  </si>
  <si>
    <t>Axinella cannabina</t>
  </si>
  <si>
    <r>
      <rPr>
        <b/>
        <sz val="11"/>
        <rFont val="Calibri"/>
        <family val="2"/>
      </rPr>
      <t>J162</t>
    </r>
    <r>
      <rPr>
        <sz val="11"/>
        <rFont val="Calibri"/>
        <family val="2"/>
      </rPr>
      <t xml:space="preserve"> cassetta per frutta in legno</t>
    </r>
  </si>
  <si>
    <t>Axinella polypoides</t>
  </si>
  <si>
    <t>metallo</t>
  </si>
  <si>
    <r>
      <rPr>
        <b/>
        <sz val="11"/>
        <rFont val="Calibri"/>
        <family val="2"/>
      </rPr>
      <t>J175</t>
    </r>
    <r>
      <rPr>
        <sz val="11"/>
        <rFont val="Calibri"/>
        <family val="2"/>
      </rPr>
      <t xml:space="preserve"> lattina</t>
    </r>
  </si>
  <si>
    <t>020_DAUNO_SEAMOUNT</t>
  </si>
  <si>
    <r>
      <t xml:space="preserve">Axinella </t>
    </r>
    <r>
      <rPr>
        <sz val="11"/>
        <rFont val="Calibri"/>
        <family val="2"/>
      </rPr>
      <t>spp.</t>
    </r>
  </si>
  <si>
    <r>
      <rPr>
        <b/>
        <sz val="11"/>
        <rFont val="Calibri"/>
        <family val="2"/>
      </rPr>
      <t>J182*</t>
    </r>
    <r>
      <rPr>
        <sz val="11"/>
        <rFont val="Calibri"/>
        <family val="2"/>
      </rPr>
      <t xml:space="preserve"> piombi/pesi/ami pesca</t>
    </r>
  </si>
  <si>
    <t>021_DIAMANTE_SEAMOUNT</t>
  </si>
  <si>
    <t>Bathypterois dubius</t>
  </si>
  <si>
    <r>
      <rPr>
        <b/>
        <sz val="11"/>
        <rFont val="Calibri"/>
        <family val="2"/>
      </rPr>
      <t>J184</t>
    </r>
    <r>
      <rPr>
        <sz val="11"/>
        <rFont val="Calibri"/>
        <family val="2"/>
      </rPr>
      <t xml:space="preserve"> nasse in metallo</t>
    </r>
  </si>
  <si>
    <r>
      <rPr>
        <b/>
        <sz val="11"/>
        <rFont val="Calibri"/>
        <family val="2"/>
      </rPr>
      <t>J198</t>
    </r>
    <r>
      <rPr>
        <sz val="11"/>
        <rFont val="Calibri"/>
        <family val="2"/>
      </rPr>
      <t xml:space="preserve"> altro oggetto di metallo &lt; 50 cm</t>
    </r>
  </si>
  <si>
    <t>023_EMPEDOCLE_SEAMOUNT</t>
  </si>
  <si>
    <t>Bebryce mollis</t>
  </si>
  <si>
    <r>
      <rPr>
        <b/>
        <sz val="11"/>
        <rFont val="Calibri"/>
        <family val="2"/>
      </rPr>
      <t xml:space="preserve">J199 </t>
    </r>
    <r>
      <rPr>
        <sz val="11"/>
        <rFont val="Calibri"/>
        <family val="2"/>
      </rPr>
      <t>altro oggetto di metallo &gt; 50 cm</t>
    </r>
  </si>
  <si>
    <t>024_ENARETE_SEAMOUNT</t>
  </si>
  <si>
    <t>vetro/ceramica</t>
  </si>
  <si>
    <r>
      <rPr>
        <b/>
        <sz val="11"/>
        <rFont val="Calibri"/>
        <family val="2"/>
      </rPr>
      <t>J200</t>
    </r>
    <r>
      <rPr>
        <sz val="11"/>
        <rFont val="Calibri"/>
        <family val="2"/>
      </rPr>
      <t xml:space="preserve"> bottiglia vetro/ceramica</t>
    </r>
  </si>
  <si>
    <t>025_ENOTRIO_SEAMOUNT</t>
  </si>
  <si>
    <r>
      <rPr>
        <b/>
        <sz val="11"/>
        <rFont val="Calibri"/>
        <family val="2"/>
      </rPr>
      <t>J210</t>
    </r>
    <r>
      <rPr>
        <sz val="11"/>
        <rFont val="Calibri"/>
        <family val="2"/>
      </rPr>
      <t xml:space="preserve"> altro oggetti vetro</t>
    </r>
  </si>
  <si>
    <t>026_ETRUSCHI_SEAMOUNT</t>
  </si>
  <si>
    <t>Callanthias ruber</t>
  </si>
  <si>
    <r>
      <rPr>
        <b/>
        <sz val="11"/>
        <rFont val="Calibri"/>
        <family val="2"/>
      </rPr>
      <t xml:space="preserve">J208 </t>
    </r>
    <r>
      <rPr>
        <sz val="11"/>
        <rFont val="Calibri"/>
        <family val="2"/>
      </rPr>
      <t>pezzo vetro/ceramica non identificabile</t>
    </r>
  </si>
  <si>
    <t>027_EURIDICE_SEAMOUNT</t>
  </si>
  <si>
    <t>Callogorgia verticillata</t>
  </si>
  <si>
    <r>
      <rPr>
        <b/>
        <sz val="11"/>
        <rFont val="Calibri"/>
        <family val="2"/>
      </rPr>
      <t>J219</t>
    </r>
    <r>
      <rPr>
        <sz val="11"/>
        <rFont val="Calibri"/>
        <family val="2"/>
      </rPr>
      <t xml:space="preserve"> oggetto ceramica non identificabile</t>
    </r>
  </si>
  <si>
    <t>Carachella pachastrelloides</t>
  </si>
  <si>
    <r>
      <rPr>
        <b/>
        <sz val="11"/>
        <rFont val="Calibri"/>
        <family val="2"/>
      </rPr>
      <t>J204</t>
    </r>
    <r>
      <rPr>
        <sz val="11"/>
        <rFont val="Calibri"/>
        <family val="2"/>
      </rPr>
      <t xml:space="preserve"> tegola/mattone/piastrella</t>
    </r>
  </si>
  <si>
    <t>Caryophyllia cyathus</t>
  </si>
  <si>
    <t>031_GARIBALDI_SEAMOUNT</t>
  </si>
  <si>
    <r>
      <rPr>
        <i/>
        <sz val="11"/>
        <color rgb="FF000000"/>
        <rFont val="Calibri"/>
        <scheme val="minor"/>
      </rPr>
      <t xml:space="preserve">Ceramaster </t>
    </r>
    <r>
      <rPr>
        <sz val="11"/>
        <color rgb="FF000000"/>
        <rFont val="Calibri"/>
        <scheme val="minor"/>
      </rPr>
      <t xml:space="preserve">sp. </t>
    </r>
  </si>
  <si>
    <t>032_GARIBALI_GLAUCO_SEAMOUNT</t>
  </si>
  <si>
    <t xml:space="preserve">Chaetaster longipes </t>
  </si>
  <si>
    <t>033_GENOVA_JANUA_SEAMOUNT</t>
  </si>
  <si>
    <t>034_GLABRO_SEAMOUNT</t>
  </si>
  <si>
    <t>Chladorhyza abyssicola</t>
  </si>
  <si>
    <t>036_ISSEL_SEAMOUNT</t>
  </si>
  <si>
    <t>Chyronephtya mediterranea</t>
  </si>
  <si>
    <t>037_LAMETINI_I_SEAMOUNT</t>
  </si>
  <si>
    <t>038_LAMETINI_II_SEAMOUNT</t>
  </si>
  <si>
    <t>Corallium rubrum</t>
  </si>
  <si>
    <t>Coronaster briareus</t>
  </si>
  <si>
    <r>
      <rPr>
        <i/>
        <sz val="11"/>
        <color rgb="FF000000"/>
        <rFont val="Calibri"/>
        <scheme val="minor"/>
      </rPr>
      <t>Coryphaenoides</t>
    </r>
    <r>
      <rPr>
        <sz val="11"/>
        <color rgb="FF000000"/>
        <rFont val="Calibri"/>
        <scheme val="minor"/>
      </rPr>
      <t xml:space="preserve"> sp. </t>
    </r>
  </si>
  <si>
    <t xml:space="preserve">Dalathias licha </t>
  </si>
  <si>
    <t>042_MADREPORE_BANK</t>
  </si>
  <si>
    <t>Daniela koreni</t>
  </si>
  <si>
    <t>043_MAGNAGHI_VITTORIO_EMANUELE_SEAMOUNT</t>
  </si>
  <si>
    <t>Dendrobrachia bonsai</t>
  </si>
  <si>
    <t>044_MARCO_POLO_SEAMOUNT</t>
  </si>
  <si>
    <t>Dendrophyllia cornigera</t>
  </si>
  <si>
    <t xml:space="preserve">                                                                                                                                                                                                                                                                                                                                                                                                                                                                                                                                                                                                                                          </t>
  </si>
  <si>
    <t>045_MARSILI_SEAMOUNT</t>
  </si>
  <si>
    <t>Dendrophyllia ramea</t>
  </si>
  <si>
    <t>046_MARUSSI_SEAMOUNT</t>
  </si>
  <si>
    <t>Desmophyllum dianthus</t>
  </si>
  <si>
    <t>047_MONTE_DELLA_RONDINE_SEAMOUNT</t>
  </si>
  <si>
    <t>Desmophyllum pertusum</t>
  </si>
  <si>
    <t>048_NAMELESS_URANIA_BANK</t>
  </si>
  <si>
    <t>Diadema mediterraneum</t>
  </si>
  <si>
    <t>049_OCCHIALI_DORIA_SEAMOUNT</t>
  </si>
  <si>
    <t>Diazona violacea</t>
  </si>
  <si>
    <t>050_OVIDIO_SEAMOUNT</t>
  </si>
  <si>
    <t>051_PALINURO_SEAMOUNT</t>
  </si>
  <si>
    <t>052_PANTELLERIA_CENTRAL_BANK</t>
  </si>
  <si>
    <r>
      <rPr>
        <i/>
        <sz val="11"/>
        <color rgb="FF000000"/>
        <rFont val="Calibri"/>
        <scheme val="minor"/>
      </rPr>
      <t>Dipturus</t>
    </r>
    <r>
      <rPr>
        <sz val="11"/>
        <color rgb="FF000000"/>
        <rFont val="Calibri"/>
        <scheme val="minor"/>
      </rPr>
      <t xml:space="preserve"> sp. </t>
    </r>
  </si>
  <si>
    <t>Dromia personata</t>
  </si>
  <si>
    <t>Elisella paraplexauroides</t>
  </si>
  <si>
    <t>055_PINNE_BANK</t>
  </si>
  <si>
    <t>Eunicella cavolini</t>
  </si>
  <si>
    <t>Eunicella singularis</t>
  </si>
  <si>
    <t>057_POSEIDON_SEAMOUNT</t>
  </si>
  <si>
    <t>Eunicella verrucosa</t>
  </si>
  <si>
    <t xml:space="preserve">Frondipora verrucosa </t>
  </si>
  <si>
    <t>061_SANTA_LUCIA_BANK</t>
  </si>
  <si>
    <t>Galeorhinus galeus</t>
  </si>
  <si>
    <t>063_SECCHI_ADRIANO_SEAMOUNT</t>
  </si>
  <si>
    <r>
      <t>Geodia</t>
    </r>
    <r>
      <rPr>
        <sz val="11"/>
        <rFont val="Calibri"/>
        <family val="2"/>
      </rPr>
      <t xml:space="preserve"> spp.</t>
    </r>
  </si>
  <si>
    <t>064_SELE_SEAMOUNT</t>
  </si>
  <si>
    <t>065_SELLI_LINE_SEAMOUNT</t>
  </si>
  <si>
    <r>
      <rPr>
        <i/>
        <sz val="11"/>
        <color rgb="FF000000"/>
        <rFont val="Calibri"/>
        <scheme val="major"/>
      </rPr>
      <t>Gracilechinus</t>
    </r>
    <r>
      <rPr>
        <sz val="11"/>
        <color rgb="FF000000"/>
        <rFont val="Calibri"/>
        <scheme val="major"/>
      </rPr>
      <t xml:space="preserve"> sp. </t>
    </r>
  </si>
  <si>
    <t>066_SIRENE_SEAMOUNT</t>
  </si>
  <si>
    <t>Griphus vitreus</t>
  </si>
  <si>
    <t>067_SISIFO_SEAMOUNT</t>
  </si>
  <si>
    <t>Haliclona fimbriata</t>
  </si>
  <si>
    <t>Haliclona magna</t>
  </si>
  <si>
    <t>Hamacantha falcula</t>
  </si>
  <si>
    <t>071_TACITO_SEAMOUNT</t>
  </si>
  <si>
    <t>Hexanchus griseum</t>
  </si>
  <si>
    <t>072_TIBERINO_SEAMOUNT</t>
  </si>
  <si>
    <t>073_TIRO_SEAMOUNT</t>
  </si>
  <si>
    <t>Hoplostethus mediterraneus</t>
  </si>
  <si>
    <t>Hornera frondiculata</t>
  </si>
  <si>
    <t>075_ULISSE_SEAMOUNT</t>
  </si>
  <si>
    <r>
      <rPr>
        <i/>
        <sz val="11"/>
        <color rgb="FF000000"/>
        <rFont val="Calibri"/>
        <scheme val="major"/>
      </rPr>
      <t xml:space="preserve">Hyalonema </t>
    </r>
    <r>
      <rPr>
        <sz val="11"/>
        <color rgb="FF000000"/>
        <rFont val="Calibri"/>
        <scheme val="major"/>
      </rPr>
      <t>sp.</t>
    </r>
  </si>
  <si>
    <t>077_VAVILOV_SEAMOUNT</t>
  </si>
  <si>
    <t>078_VERCELLI_SEAMOUNT</t>
  </si>
  <si>
    <r>
      <rPr>
        <i/>
        <sz val="11"/>
        <color rgb="FF000000"/>
        <rFont val="Calibri"/>
        <scheme val="minor"/>
      </rPr>
      <t xml:space="preserve">Inachus </t>
    </r>
    <r>
      <rPr>
        <sz val="11"/>
        <color rgb="FF000000"/>
        <rFont val="Calibri"/>
        <scheme val="minor"/>
      </rPr>
      <t xml:space="preserve">sp. </t>
    </r>
  </si>
  <si>
    <t>Kinetoskias smitti</t>
  </si>
  <si>
    <r>
      <t xml:space="preserve">Leiodermatium </t>
    </r>
    <r>
      <rPr>
        <sz val="11"/>
        <rFont val="Calibri"/>
        <family val="2"/>
      </rPr>
      <t>spp.</t>
    </r>
  </si>
  <si>
    <t>Leptogorgia sarmentosa</t>
  </si>
  <si>
    <t>Leptometra phalangium</t>
  </si>
  <si>
    <t>Luidia ciliaris</t>
  </si>
  <si>
    <t>Lycopodina hypogea</t>
  </si>
  <si>
    <t>Madrepora oculata</t>
  </si>
  <si>
    <r>
      <rPr>
        <i/>
        <sz val="11"/>
        <color rgb="FF000000"/>
        <rFont val="Calibri"/>
        <scheme val="minor"/>
      </rPr>
      <t>Maja</t>
    </r>
    <r>
      <rPr>
        <sz val="11"/>
        <color rgb="FF000000"/>
        <rFont val="Calibri"/>
        <scheme val="minor"/>
      </rPr>
      <t xml:space="preserve"> sp. </t>
    </r>
  </si>
  <si>
    <t>Megabalanus tulipiformis</t>
  </si>
  <si>
    <t xml:space="preserve">Megerlia truncata </t>
  </si>
  <si>
    <t>Metaverruca imbricata</t>
  </si>
  <si>
    <t xml:space="preserve">Mola mola </t>
  </si>
  <si>
    <t>Mora moro</t>
  </si>
  <si>
    <t>Myriapora truncata</t>
  </si>
  <si>
    <t>Neopycnodonte cochlear</t>
  </si>
  <si>
    <r>
      <rPr>
        <i/>
        <sz val="11"/>
        <color rgb="FF000000"/>
        <rFont val="Calibri"/>
        <scheme val="major"/>
      </rPr>
      <t xml:space="preserve">Nezumia </t>
    </r>
    <r>
      <rPr>
        <sz val="11"/>
        <color rgb="FF000000"/>
        <rFont val="Calibri"/>
        <scheme val="major"/>
      </rPr>
      <t>sp.</t>
    </r>
  </si>
  <si>
    <t>Nidalia studeri</t>
  </si>
  <si>
    <r>
      <t>Notodendrodes</t>
    </r>
    <r>
      <rPr>
        <sz val="11"/>
        <rFont val="Calibri"/>
        <family val="2"/>
      </rPr>
      <t xml:space="preserve"> sp.</t>
    </r>
  </si>
  <si>
    <r>
      <rPr>
        <i/>
        <sz val="11"/>
        <color rgb="FF000000"/>
        <rFont val="Calibri"/>
        <scheme val="minor"/>
      </rPr>
      <t xml:space="preserve">Ophiura </t>
    </r>
    <r>
      <rPr>
        <sz val="11"/>
        <color rgb="FF000000"/>
        <rFont val="Calibri"/>
        <scheme val="minor"/>
      </rPr>
      <t xml:space="preserve">sp. </t>
    </r>
  </si>
  <si>
    <t>Pachilasma giganteum</t>
  </si>
  <si>
    <t>Pagellus bogaraveo</t>
  </si>
  <si>
    <t>Palinurus elephas</t>
  </si>
  <si>
    <t>Paralcyonium spinulosum</t>
  </si>
  <si>
    <t>Paramuricea clavata</t>
  </si>
  <si>
    <t>Paramuricea macrospina</t>
  </si>
  <si>
    <r>
      <t xml:space="preserve">Parantipathes </t>
    </r>
    <r>
      <rPr>
        <sz val="11"/>
        <rFont val="Calibri"/>
        <family val="2"/>
      </rPr>
      <t>sp.</t>
    </r>
  </si>
  <si>
    <r>
      <t xml:space="preserve">Pennatula </t>
    </r>
    <r>
      <rPr>
        <sz val="11"/>
        <rFont val="Calibri"/>
        <family val="2"/>
      </rPr>
      <t xml:space="preserve">spp. </t>
    </r>
  </si>
  <si>
    <t xml:space="preserve">Pentapora fascialis </t>
  </si>
  <si>
    <t>Periphylla peryphylla</t>
  </si>
  <si>
    <t xml:space="preserve">Peristedion catafractum </t>
  </si>
  <si>
    <r>
      <t xml:space="preserve">Phakellia </t>
    </r>
    <r>
      <rPr>
        <sz val="11"/>
        <rFont val="Calibri"/>
        <family val="2"/>
      </rPr>
      <t>spp.</t>
    </r>
  </si>
  <si>
    <t>Placogorgia coronata</t>
  </si>
  <si>
    <t>Placogorgia massiliensis</t>
  </si>
  <si>
    <t>Poecillastra compressa</t>
  </si>
  <si>
    <r>
      <rPr>
        <i/>
        <sz val="11"/>
        <color rgb="FF000000"/>
        <rFont val="Calibri"/>
        <scheme val="minor"/>
      </rPr>
      <t xml:space="preserve">Protoptilum </t>
    </r>
    <r>
      <rPr>
        <sz val="11"/>
        <color rgb="FF000000"/>
        <rFont val="Calibri"/>
        <scheme val="minor"/>
      </rPr>
      <t xml:space="preserve">sp. </t>
    </r>
  </si>
  <si>
    <t>Pteroeides griseum</t>
  </si>
  <si>
    <r>
      <rPr>
        <i/>
        <sz val="11"/>
        <color rgb="FF000000"/>
        <rFont val="Calibri"/>
        <scheme val="minor"/>
      </rPr>
      <t>Rostroraja</t>
    </r>
    <r>
      <rPr>
        <sz val="11"/>
        <color rgb="FF000000"/>
        <rFont val="Calibri"/>
        <scheme val="minor"/>
      </rPr>
      <t xml:space="preserve"> sp.</t>
    </r>
    <r>
      <rPr>
        <i/>
        <sz val="11"/>
        <color rgb="FF000000"/>
        <rFont val="Calibri"/>
        <scheme val="minor"/>
      </rPr>
      <t xml:space="preserve"> </t>
    </r>
  </si>
  <si>
    <t>Sclerasterias neglecta</t>
  </si>
  <si>
    <t>Serpula vermicularis</t>
  </si>
  <si>
    <t>Siboglinidae</t>
  </si>
  <si>
    <t>Smittina cervicornis</t>
  </si>
  <si>
    <r>
      <rPr>
        <i/>
        <sz val="11"/>
        <color rgb="FF000000"/>
        <rFont val="Calibri"/>
        <scheme val="minor"/>
      </rPr>
      <t xml:space="preserve">Solmissus </t>
    </r>
    <r>
      <rPr>
        <sz val="11"/>
        <color rgb="FF000000"/>
        <rFont val="Calibri"/>
        <scheme val="minor"/>
      </rPr>
      <t xml:space="preserve">sp. </t>
    </r>
  </si>
  <si>
    <t>Spiculosiphon oceana</t>
  </si>
  <si>
    <t>Stylocordyla pellita</t>
  </si>
  <si>
    <r>
      <rPr>
        <i/>
        <sz val="11"/>
        <color rgb="FF000000"/>
        <rFont val="Calibri"/>
        <scheme val="major"/>
      </rPr>
      <t xml:space="preserve">Telestula </t>
    </r>
    <r>
      <rPr>
        <sz val="11"/>
        <color rgb="FF000000"/>
        <rFont val="Calibri"/>
        <scheme val="major"/>
      </rPr>
      <t xml:space="preserve">sp. </t>
    </r>
  </si>
  <si>
    <r>
      <t xml:space="preserve">Tethya </t>
    </r>
    <r>
      <rPr>
        <sz val="11"/>
        <rFont val="Calibri"/>
        <family val="2"/>
      </rPr>
      <t>spp.</t>
    </r>
  </si>
  <si>
    <t>Tethyaster subinermis</t>
  </si>
  <si>
    <t>Tetrodyction reiswigi</t>
  </si>
  <si>
    <t>Thalamophyllia gasti</t>
  </si>
  <si>
    <t>Thenea muricata</t>
  </si>
  <si>
    <r>
      <rPr>
        <i/>
        <sz val="11"/>
        <color rgb="FF000000"/>
        <rFont val="Calibri"/>
        <scheme val="major"/>
      </rPr>
      <t xml:space="preserve">Trachyrinchus </t>
    </r>
    <r>
      <rPr>
        <sz val="11"/>
        <color rgb="FF000000"/>
        <rFont val="Calibri"/>
        <scheme val="major"/>
      </rPr>
      <t xml:space="preserve">sp. </t>
    </r>
  </si>
  <si>
    <t>Turbicellepora avicularis</t>
  </si>
  <si>
    <t xml:space="preserve">Veretillum cynomorium </t>
  </si>
  <si>
    <t>Villogorgia bebrycoides</t>
  </si>
  <si>
    <t>Virgularia mirabilis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</si>
</sst>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400]h:mm:ss\ AM/PM"/>
    <numFmt numFmtId="165" formatCode="0.00000"/>
  </numFmts>
  <fonts count="50">
    <font>
      <sz val="12"/>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i/>
      <sz val="11"/>
      <name val="Calibri"/>
      <family val="2"/>
      <scheme val="minor"/>
    </font>
    <font>
      <sz val="12"/>
      <color theme="1"/>
      <name val="Arial"/>
      <family val="2"/>
    </font>
    <font>
      <sz val="11"/>
      <color theme="1"/>
      <name val="Calibri"/>
      <family val="2"/>
    </font>
    <font>
      <b/>
      <sz val="11"/>
      <color theme="1"/>
      <name val="Calibri"/>
      <family val="2"/>
    </font>
    <font>
      <sz val="12"/>
      <color theme="1"/>
      <name val="Arial"/>
      <family val="2"/>
    </font>
    <font>
      <sz val="11"/>
      <name val="Calibri"/>
      <family val="2"/>
      <scheme val="minor"/>
    </font>
    <font>
      <b/>
      <sz val="11"/>
      <name val="Calibri"/>
      <family val="2"/>
      <scheme val="minor"/>
    </font>
    <font>
      <sz val="11"/>
      <name val="Calibri"/>
      <family val="2"/>
    </font>
    <font>
      <b/>
      <sz val="11"/>
      <name val="Calibri"/>
      <family val="2"/>
    </font>
    <font>
      <sz val="8"/>
      <name val="Arial"/>
      <family val="2"/>
    </font>
    <font>
      <sz val="8"/>
      <name val="Arial"/>
      <family val="2"/>
    </font>
    <font>
      <i/>
      <sz val="11"/>
      <name val="Calibri"/>
      <family val="2"/>
      <scheme val="major"/>
    </font>
    <font>
      <b/>
      <sz val="11"/>
      <color theme="0"/>
      <name val="Calibri"/>
      <family val="2"/>
      <scheme val="minor"/>
    </font>
    <font>
      <b/>
      <sz val="11"/>
      <color theme="1"/>
      <name val="Calibri"/>
      <family val="2"/>
      <scheme val="minor"/>
    </font>
    <font>
      <b/>
      <sz val="12"/>
      <color rgb="FF000000"/>
      <name val="Calibri"/>
      <family val="2"/>
    </font>
    <font>
      <b/>
      <sz val="12"/>
      <color theme="1"/>
      <name val="Calibri"/>
      <family val="2"/>
    </font>
    <font>
      <b/>
      <sz val="12"/>
      <color theme="1"/>
      <name val="Calibri"/>
      <family val="2"/>
      <scheme val="minor"/>
    </font>
    <font>
      <sz val="12"/>
      <color theme="1"/>
      <name val="Calibri"/>
      <family val="2"/>
    </font>
    <font>
      <i/>
      <sz val="11"/>
      <name val="Calibri"/>
      <family val="2"/>
    </font>
    <font>
      <sz val="11"/>
      <color rgb="FF242424"/>
      <name val="Aptos Narrow"/>
      <family val="2"/>
    </font>
    <font>
      <sz val="11"/>
      <color rgb="FF000000"/>
      <name val="Calibri"/>
      <family val="2"/>
    </font>
    <font>
      <sz val="12"/>
      <color theme="1"/>
      <name val="Arial"/>
      <family val="2"/>
    </font>
    <font>
      <sz val="11"/>
      <color rgb="FFFF0000"/>
      <name val="Calibri"/>
      <family val="2"/>
      <scheme val="minor"/>
    </font>
    <font>
      <sz val="12"/>
      <color theme="1"/>
      <name val="Arial"/>
      <family val="2"/>
    </font>
    <font>
      <sz val="11"/>
      <color rgb="FF000000"/>
      <name val="Calibri"/>
    </font>
    <font>
      <sz val="11"/>
      <color rgb="FF000000"/>
      <name val="Calibri"/>
      <charset val="1"/>
    </font>
    <font>
      <sz val="11"/>
      <color rgb="FF242424"/>
      <name val="Aptos Narrow"/>
      <charset val="1"/>
    </font>
    <font>
      <b/>
      <sz val="11"/>
      <color rgb="FF000000"/>
      <name val="Calibri"/>
    </font>
    <font>
      <sz val="11"/>
      <color rgb="FFFF0000"/>
      <name val="Calibri"/>
      <family val="2"/>
    </font>
    <font>
      <b/>
      <sz val="11"/>
      <color rgb="FF000000"/>
      <name val="Calibri"/>
      <charset val="1"/>
    </font>
    <font>
      <b/>
      <sz val="12"/>
      <color theme="0"/>
      <name val="Calibri"/>
      <family val="2"/>
    </font>
    <font>
      <b/>
      <sz val="11"/>
      <color rgb="FFFF0000"/>
      <name val="Calibri"/>
      <family val="2"/>
    </font>
    <font>
      <sz val="11"/>
      <color rgb="FF000000"/>
      <name val="Calibri"/>
      <family val="2"/>
      <scheme val="minor"/>
    </font>
    <font>
      <i/>
      <sz val="11"/>
      <color rgb="FF000000"/>
      <name val="Calibri"/>
      <scheme val="major"/>
    </font>
    <font>
      <sz val="11"/>
      <color rgb="FF000000"/>
      <name val="Calibri"/>
      <scheme val="major"/>
    </font>
    <font>
      <i/>
      <sz val="11"/>
      <color rgb="FF000000"/>
      <name val="Calibri"/>
      <scheme val="minor"/>
    </font>
    <font>
      <sz val="11"/>
      <color rgb="FF000000"/>
      <name val="Calibri"/>
      <scheme val="minor"/>
    </font>
    <font>
      <sz val="11"/>
      <color rgb="FF000000"/>
      <name val="Aptos Narrow"/>
      <family val="2"/>
    </font>
    <font>
      <i/>
      <sz val="11"/>
      <color theme="1"/>
      <name val="Calibri"/>
      <family val="2"/>
      <scheme val="minor"/>
    </font>
    <font>
      <b/>
      <sz val="11"/>
      <color rgb="FF000000"/>
      <name val="Calibri"/>
      <scheme val="minor"/>
    </font>
    <font>
      <b/>
      <sz val="11"/>
      <color rgb="FFFA7D00"/>
      <name val="Calibri"/>
      <scheme val="minor"/>
    </font>
    <font>
      <b/>
      <sz val="11"/>
      <color rgb="FF000000"/>
      <name val="Calibri"/>
      <family val="2"/>
    </font>
    <font>
      <b/>
      <sz val="11"/>
      <color rgb="FFFF0000"/>
      <name val="Calibri"/>
      <family val="2"/>
      <scheme val="minor"/>
    </font>
  </fonts>
  <fills count="18">
    <fill>
      <patternFill patternType="none"/>
    </fill>
    <fill>
      <patternFill patternType="gray125"/>
    </fill>
    <fill>
      <patternFill patternType="solid">
        <fgColor theme="4"/>
        <bgColor theme="4"/>
      </patternFill>
    </fill>
    <fill>
      <patternFill patternType="solid">
        <fgColor rgb="FFB7C6E7"/>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rgb="FFFFAFAF"/>
        <bgColor indexed="64"/>
      </patternFill>
    </fill>
    <fill>
      <patternFill patternType="solid">
        <fgColor rgb="FFFFFF00"/>
        <bgColor indexed="64"/>
      </patternFill>
    </fill>
    <fill>
      <patternFill patternType="solid">
        <fgColor rgb="FFEAEAEA"/>
        <bgColor indexed="64"/>
      </patternFill>
    </fill>
    <fill>
      <patternFill patternType="solid">
        <fgColor theme="8" tint="0.79998168889431442"/>
        <bgColor indexed="64"/>
      </patternFill>
    </fill>
    <fill>
      <patternFill patternType="solid">
        <fgColor theme="0"/>
        <bgColor indexed="64"/>
      </patternFill>
    </fill>
    <fill>
      <patternFill patternType="solid">
        <fgColor rgb="FFD9E1F2"/>
        <bgColor rgb="FFD9E1F2"/>
      </patternFill>
    </fill>
    <fill>
      <patternFill patternType="solid">
        <fgColor theme="0" tint="-0.14999847407452621"/>
        <bgColor indexed="64"/>
      </patternFill>
    </fill>
    <fill>
      <patternFill patternType="solid">
        <fgColor theme="4"/>
        <bgColor indexed="64"/>
      </patternFill>
    </fill>
    <fill>
      <patternFill patternType="solid">
        <fgColor rgb="FFFF0000"/>
        <bgColor indexed="64"/>
      </patternFill>
    </fill>
    <fill>
      <patternFill patternType="solid">
        <fgColor rgb="FFFFC000"/>
        <bgColor indexed="64"/>
      </patternFill>
    </fill>
    <fill>
      <patternFill patternType="solid">
        <fgColor rgb="FFF2F2F2"/>
      </patternFill>
    </fill>
    <fill>
      <patternFill patternType="solid">
        <fgColor theme="5" tint="0.79998168889431442"/>
        <bgColor indexed="64"/>
      </patternFill>
    </fill>
  </fills>
  <borders count="14">
    <border>
      <left/>
      <right/>
      <top/>
      <bottom/>
      <diagonal/>
    </border>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6">
    <xf numFmtId="0" fontId="0" fillId="0" borderId="0"/>
    <xf numFmtId="0" fontId="6" fillId="0" borderId="1"/>
    <xf numFmtId="0" fontId="8" fillId="0" borderId="1"/>
    <xf numFmtId="0" fontId="11" fillId="0" borderId="1"/>
    <xf numFmtId="0" fontId="11" fillId="0" borderId="1"/>
    <xf numFmtId="0" fontId="5" fillId="0" borderId="1"/>
    <xf numFmtId="0" fontId="4" fillId="0" borderId="1"/>
    <xf numFmtId="0" fontId="28" fillId="0" borderId="1"/>
    <xf numFmtId="0" fontId="28" fillId="0" borderId="1"/>
    <xf numFmtId="0" fontId="8" fillId="0" borderId="1"/>
    <xf numFmtId="0" fontId="8" fillId="0" borderId="1"/>
    <xf numFmtId="0" fontId="2" fillId="0" borderId="1"/>
    <xf numFmtId="0" fontId="2" fillId="0" borderId="1"/>
    <xf numFmtId="0" fontId="28" fillId="0" borderId="1"/>
    <xf numFmtId="43" fontId="30" fillId="0" borderId="0" applyFont="0" applyFill="0" applyBorder="0" applyAlignment="0" applyProtection="0"/>
    <xf numFmtId="0" fontId="47" fillId="16" borderId="10" applyNumberFormat="0" applyAlignment="0" applyProtection="0"/>
  </cellStyleXfs>
  <cellXfs count="219">
    <xf numFmtId="0" fontId="0" fillId="0" borderId="0" xfId="0"/>
    <xf numFmtId="0" fontId="9" fillId="0" borderId="1" xfId="4" applyFont="1" applyAlignment="1">
      <alignment horizontal="center" vertical="center"/>
    </xf>
    <xf numFmtId="164" fontId="9" fillId="0" borderId="1" xfId="4" applyNumberFormat="1" applyFont="1" applyAlignment="1">
      <alignment horizontal="center" vertical="center"/>
    </xf>
    <xf numFmtId="0" fontId="5" fillId="0" borderId="0" xfId="0" applyFont="1" applyAlignment="1">
      <alignment horizontal="center" vertical="center"/>
    </xf>
    <xf numFmtId="0" fontId="13" fillId="0" borderId="0" xfId="0" applyFont="1" applyAlignment="1">
      <alignment horizontal="center" vertical="center"/>
    </xf>
    <xf numFmtId="0" fontId="12" fillId="0" borderId="1" xfId="0" applyFont="1" applyBorder="1" applyAlignment="1">
      <alignment horizontal="center" vertical="center"/>
    </xf>
    <xf numFmtId="0" fontId="14" fillId="0" borderId="1" xfId="3" applyFont="1" applyAlignment="1">
      <alignment horizontal="center" vertical="center"/>
    </xf>
    <xf numFmtId="1" fontId="9" fillId="0" borderId="1" xfId="4" applyNumberFormat="1" applyFont="1" applyAlignment="1">
      <alignment horizontal="center" vertical="center"/>
    </xf>
    <xf numFmtId="0" fontId="19" fillId="2" borderId="2" xfId="0" applyFont="1" applyFill="1" applyBorder="1" applyAlignment="1">
      <alignment horizontal="center" vertical="center"/>
    </xf>
    <xf numFmtId="0" fontId="20" fillId="0" borderId="0" xfId="0" applyFont="1" applyAlignment="1">
      <alignment horizontal="center" vertical="center"/>
    </xf>
    <xf numFmtId="165" fontId="9" fillId="0" borderId="1" xfId="4" applyNumberFormat="1" applyFont="1" applyAlignment="1">
      <alignment horizontal="center" vertical="center"/>
    </xf>
    <xf numFmtId="0" fontId="22" fillId="3" borderId="3" xfId="4" applyFont="1" applyFill="1" applyBorder="1" applyAlignment="1">
      <alignment horizontal="center" vertical="center" wrapText="1"/>
    </xf>
    <xf numFmtId="0" fontId="12" fillId="0" borderId="0" xfId="0" applyFont="1" applyAlignment="1">
      <alignment horizontal="center" vertical="center"/>
    </xf>
    <xf numFmtId="0" fontId="13" fillId="2" borderId="2" xfId="0" applyFont="1" applyFill="1" applyBorder="1" applyAlignment="1">
      <alignment horizontal="center" vertical="center"/>
    </xf>
    <xf numFmtId="0" fontId="12" fillId="5" borderId="2" xfId="0" applyFont="1" applyFill="1" applyBorder="1" applyAlignment="1">
      <alignment horizontal="center" vertical="center"/>
    </xf>
    <xf numFmtId="0" fontId="12" fillId="0" borderId="2" xfId="0" applyFont="1" applyBorder="1" applyAlignment="1">
      <alignment horizontal="center" vertical="center"/>
    </xf>
    <xf numFmtId="14" fontId="22" fillId="6" borderId="1" xfId="4" applyNumberFormat="1" applyFont="1" applyFill="1" applyAlignment="1">
      <alignment horizontal="center" vertical="center"/>
    </xf>
    <xf numFmtId="0" fontId="22" fillId="6" borderId="1" xfId="4" applyFont="1" applyFill="1" applyAlignment="1">
      <alignment horizontal="center" vertical="center"/>
    </xf>
    <xf numFmtId="0" fontId="10" fillId="6" borderId="0" xfId="0" applyFont="1" applyFill="1" applyAlignment="1">
      <alignment horizontal="center" vertical="center"/>
    </xf>
    <xf numFmtId="49" fontId="18" fillId="0" borderId="0" xfId="0" applyNumberFormat="1" applyFont="1" applyAlignment="1">
      <alignment horizontal="center" vertical="center" readingOrder="1"/>
    </xf>
    <xf numFmtId="14" fontId="9" fillId="0" borderId="1" xfId="4" applyNumberFormat="1" applyFont="1" applyAlignment="1">
      <alignment horizontal="center" vertical="center"/>
    </xf>
    <xf numFmtId="0" fontId="12" fillId="0" borderId="0" xfId="0" applyFont="1"/>
    <xf numFmtId="0" fontId="13" fillId="2" borderId="4" xfId="0" applyFont="1" applyFill="1" applyBorder="1" applyAlignment="1">
      <alignment horizontal="center" vertical="center"/>
    </xf>
    <xf numFmtId="0" fontId="25" fillId="0" borderId="1" xfId="0" applyFont="1" applyBorder="1" applyAlignment="1">
      <alignment horizontal="center" readingOrder="1"/>
    </xf>
    <xf numFmtId="0" fontId="14" fillId="0" borderId="1" xfId="0" applyFont="1" applyBorder="1" applyAlignment="1">
      <alignment horizontal="center" readingOrder="1"/>
    </xf>
    <xf numFmtId="0" fontId="25" fillId="0" borderId="1" xfId="0" applyFont="1" applyBorder="1" applyAlignment="1">
      <alignment horizontal="center"/>
    </xf>
    <xf numFmtId="0" fontId="10" fillId="0" borderId="1" xfId="4" applyFont="1" applyAlignment="1">
      <alignment horizontal="center" vertical="center"/>
    </xf>
    <xf numFmtId="0" fontId="9" fillId="8" borderId="1" xfId="4" applyFont="1" applyFill="1" applyAlignment="1">
      <alignment horizontal="center" vertical="center"/>
    </xf>
    <xf numFmtId="14" fontId="27" fillId="0" borderId="1" xfId="0" applyNumberFormat="1" applyFont="1" applyBorder="1" applyAlignment="1">
      <alignment horizontal="center" vertical="center"/>
    </xf>
    <xf numFmtId="0" fontId="32" fillId="0" borderId="0" xfId="0" applyFont="1" applyAlignment="1">
      <alignment horizontal="center"/>
    </xf>
    <xf numFmtId="0" fontId="1" fillId="0" borderId="0" xfId="0" applyFont="1" applyAlignment="1">
      <alignment horizontal="center" vertical="center"/>
    </xf>
    <xf numFmtId="0" fontId="1" fillId="0" borderId="0" xfId="0" applyFont="1"/>
    <xf numFmtId="0" fontId="1" fillId="0" borderId="1" xfId="2" applyFont="1" applyAlignment="1">
      <alignment horizontal="center" vertical="center"/>
    </xf>
    <xf numFmtId="0" fontId="31" fillId="0" borderId="0" xfId="0" applyFont="1" applyAlignment="1">
      <alignment horizontal="center" vertical="center"/>
    </xf>
    <xf numFmtId="0" fontId="22" fillId="3" borderId="1" xfId="4" applyFont="1" applyFill="1" applyAlignment="1">
      <alignment horizontal="center" vertical="center" wrapText="1"/>
    </xf>
    <xf numFmtId="0" fontId="22" fillId="3" borderId="1" xfId="4" applyFont="1" applyFill="1" applyAlignment="1">
      <alignment horizontal="center" vertical="center"/>
    </xf>
    <xf numFmtId="165" fontId="22" fillId="3" borderId="1" xfId="4" applyNumberFormat="1" applyFont="1" applyFill="1" applyAlignment="1">
      <alignment horizontal="center" vertical="center" wrapText="1"/>
    </xf>
    <xf numFmtId="164" fontId="22" fillId="3" borderId="1" xfId="4" applyNumberFormat="1" applyFont="1" applyFill="1" applyAlignment="1">
      <alignment horizontal="center" vertical="center" wrapText="1"/>
    </xf>
    <xf numFmtId="164" fontId="22" fillId="3" borderId="1" xfId="4" applyNumberFormat="1" applyFont="1" applyFill="1" applyAlignment="1">
      <alignment horizontal="center" vertical="center"/>
    </xf>
    <xf numFmtId="1" fontId="22" fillId="3" borderId="1" xfId="4" applyNumberFormat="1" applyFont="1" applyFill="1" applyAlignment="1">
      <alignment horizontal="center" vertical="center" wrapText="1"/>
    </xf>
    <xf numFmtId="14" fontId="9" fillId="8" borderId="1" xfId="4" applyNumberFormat="1" applyFont="1" applyFill="1" applyAlignment="1">
      <alignment horizontal="center" vertical="center"/>
    </xf>
    <xf numFmtId="165" fontId="9" fillId="8" borderId="1" xfId="4" applyNumberFormat="1" applyFont="1" applyFill="1" applyAlignment="1">
      <alignment horizontal="center" vertical="center"/>
    </xf>
    <xf numFmtId="164" fontId="9" fillId="8" borderId="1" xfId="4" applyNumberFormat="1" applyFont="1" applyFill="1" applyAlignment="1">
      <alignment horizontal="center" vertical="center"/>
    </xf>
    <xf numFmtId="1" fontId="9" fillId="8" borderId="1" xfId="4" applyNumberFormat="1" applyFont="1" applyFill="1" applyAlignment="1">
      <alignment horizontal="center" vertical="center"/>
    </xf>
    <xf numFmtId="0" fontId="9" fillId="9" borderId="1" xfId="4" applyFont="1" applyFill="1" applyAlignment="1">
      <alignment horizontal="center" vertical="center"/>
    </xf>
    <xf numFmtId="14" fontId="9" fillId="9" borderId="1" xfId="4" applyNumberFormat="1" applyFont="1" applyFill="1" applyAlignment="1">
      <alignment horizontal="center" vertical="center"/>
    </xf>
    <xf numFmtId="0" fontId="10" fillId="9" borderId="1" xfId="4" applyFont="1" applyFill="1" applyAlignment="1">
      <alignment horizontal="center" vertical="center"/>
    </xf>
    <xf numFmtId="165" fontId="9" fillId="9" borderId="1" xfId="4" applyNumberFormat="1" applyFont="1" applyFill="1" applyAlignment="1">
      <alignment horizontal="center" vertical="center"/>
    </xf>
    <xf numFmtId="164" fontId="9" fillId="9" borderId="1" xfId="4" applyNumberFormat="1" applyFont="1" applyFill="1" applyAlignment="1">
      <alignment horizontal="center" vertical="center"/>
    </xf>
    <xf numFmtId="1" fontId="9" fillId="9" borderId="1" xfId="4" applyNumberFormat="1" applyFont="1" applyFill="1" applyAlignment="1">
      <alignment horizontal="center" vertical="center"/>
    </xf>
    <xf numFmtId="0" fontId="22" fillId="3" borderId="6" xfId="4" applyFont="1" applyFill="1" applyBorder="1" applyAlignment="1">
      <alignment horizontal="center" vertical="center" wrapText="1"/>
    </xf>
    <xf numFmtId="0" fontId="32" fillId="0" borderId="0" xfId="0" applyFont="1" applyAlignment="1">
      <alignment horizontal="center" vertical="center"/>
    </xf>
    <xf numFmtId="0" fontId="22" fillId="4" borderId="1" xfId="4" applyFont="1" applyFill="1" applyAlignment="1">
      <alignment horizontal="center" vertical="center" wrapText="1"/>
    </xf>
    <xf numFmtId="0" fontId="9" fillId="0" borderId="1" xfId="4" applyFont="1" applyAlignment="1">
      <alignment horizontal="left" vertical="center" wrapText="1"/>
    </xf>
    <xf numFmtId="0" fontId="9" fillId="9" borderId="1" xfId="4" applyFont="1" applyFill="1" applyAlignment="1">
      <alignment horizontal="left" vertical="center" wrapText="1"/>
    </xf>
    <xf numFmtId="0" fontId="24" fillId="0" borderId="1" xfId="4" applyFont="1" applyAlignment="1">
      <alignment horizontal="center" vertical="center"/>
    </xf>
    <xf numFmtId="164" fontId="1" fillId="0" borderId="1" xfId="6" applyNumberFormat="1" applyFont="1" applyAlignment="1">
      <alignment horizontal="center" vertical="center"/>
    </xf>
    <xf numFmtId="0" fontId="27" fillId="0" borderId="1" xfId="4" applyFont="1" applyAlignment="1">
      <alignment horizontal="left" vertical="center" wrapText="1"/>
    </xf>
    <xf numFmtId="21" fontId="26" fillId="0" borderId="1" xfId="0" applyNumberFormat="1" applyFont="1" applyBorder="1" applyAlignment="1">
      <alignment horizontal="center" vertical="center"/>
    </xf>
    <xf numFmtId="14" fontId="1" fillId="8" borderId="1" xfId="6" applyNumberFormat="1" applyFont="1" applyFill="1" applyAlignment="1">
      <alignment horizontal="left" vertical="center" wrapText="1"/>
    </xf>
    <xf numFmtId="0" fontId="1" fillId="8" borderId="5" xfId="6" applyFont="1" applyFill="1" applyBorder="1" applyAlignment="1">
      <alignment horizontal="center" vertical="center"/>
    </xf>
    <xf numFmtId="0" fontId="33" fillId="0" borderId="1" xfId="0" applyFont="1" applyBorder="1" applyAlignment="1">
      <alignment horizontal="left" vertical="center" wrapText="1"/>
    </xf>
    <xf numFmtId="0" fontId="36" fillId="0" borderId="0" xfId="0" applyFont="1" applyAlignment="1">
      <alignment horizontal="center" vertical="center"/>
    </xf>
    <xf numFmtId="21" fontId="32" fillId="0" borderId="0" xfId="0" applyNumberFormat="1" applyFont="1" applyAlignment="1">
      <alignment horizontal="center" vertical="center"/>
    </xf>
    <xf numFmtId="0" fontId="9" fillId="12" borderId="1" xfId="4" applyFont="1" applyFill="1" applyAlignment="1">
      <alignment horizontal="center" vertical="center"/>
    </xf>
    <xf numFmtId="14" fontId="9" fillId="12" borderId="1" xfId="4" applyNumberFormat="1" applyFont="1" applyFill="1" applyAlignment="1">
      <alignment horizontal="center" vertical="center"/>
    </xf>
    <xf numFmtId="0" fontId="10" fillId="12" borderId="1" xfId="4" applyFont="1" applyFill="1" applyAlignment="1">
      <alignment horizontal="center" vertical="center"/>
    </xf>
    <xf numFmtId="165" fontId="9" fillId="12" borderId="1" xfId="4" applyNumberFormat="1" applyFont="1" applyFill="1" applyAlignment="1">
      <alignment horizontal="center" vertical="center"/>
    </xf>
    <xf numFmtId="164" fontId="9" fillId="12" borderId="1" xfId="4" applyNumberFormat="1" applyFont="1" applyFill="1" applyAlignment="1">
      <alignment horizontal="center" vertical="center"/>
    </xf>
    <xf numFmtId="1" fontId="9" fillId="12" borderId="1" xfId="4" applyNumberFormat="1" applyFont="1" applyFill="1" applyAlignment="1">
      <alignment horizontal="center" vertical="center"/>
    </xf>
    <xf numFmtId="0" fontId="9" fillId="12" borderId="1" xfId="4" applyFont="1" applyFill="1" applyAlignment="1">
      <alignment horizontal="left" vertical="center" wrapText="1"/>
    </xf>
    <xf numFmtId="164" fontId="1" fillId="12" borderId="1" xfId="6" applyNumberFormat="1" applyFont="1" applyFill="1" applyAlignment="1">
      <alignment horizontal="center" vertical="center"/>
    </xf>
    <xf numFmtId="0" fontId="31" fillId="12" borderId="1" xfId="4" applyFont="1" applyFill="1" applyAlignment="1">
      <alignment horizontal="left" vertical="center" wrapText="1"/>
    </xf>
    <xf numFmtId="0" fontId="34" fillId="0" borderId="1" xfId="4" applyFont="1" applyAlignment="1">
      <alignment horizontal="center" vertical="center"/>
    </xf>
    <xf numFmtId="0" fontId="9" fillId="0" borderId="0" xfId="0" applyFont="1" applyAlignment="1">
      <alignment horizontal="left" vertical="center"/>
    </xf>
    <xf numFmtId="0" fontId="23" fillId="0" borderId="1" xfId="6" applyFont="1" applyAlignment="1">
      <alignment horizontal="center" vertical="center" wrapText="1"/>
    </xf>
    <xf numFmtId="0" fontId="4" fillId="0" borderId="1" xfId="6" applyAlignment="1">
      <alignment horizontal="center" vertical="center" wrapText="1"/>
    </xf>
    <xf numFmtId="14" fontId="4" fillId="0" borderId="1" xfId="6" applyNumberFormat="1" applyAlignment="1">
      <alignment horizontal="center" vertical="center" wrapText="1"/>
    </xf>
    <xf numFmtId="164" fontId="2" fillId="0" borderId="1" xfId="12" applyNumberFormat="1" applyAlignment="1">
      <alignment horizontal="center" vertical="center" wrapText="1"/>
    </xf>
    <xf numFmtId="0" fontId="1" fillId="0" borderId="1" xfId="6" applyFont="1" applyAlignment="1">
      <alignment horizontal="center" vertical="center" wrapText="1"/>
    </xf>
    <xf numFmtId="164" fontId="4" fillId="0" borderId="1" xfId="6" applyNumberFormat="1" applyAlignment="1">
      <alignment horizontal="center" vertical="center" wrapText="1"/>
    </xf>
    <xf numFmtId="0" fontId="29" fillId="0" borderId="1" xfId="6"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21" fontId="26" fillId="0" borderId="0" xfId="0" applyNumberFormat="1" applyFont="1" applyAlignment="1">
      <alignment horizontal="center" vertical="center" wrapText="1"/>
    </xf>
    <xf numFmtId="164" fontId="1" fillId="7" borderId="1" xfId="6" applyNumberFormat="1" applyFont="1" applyFill="1" applyAlignment="1">
      <alignment horizontal="center" vertical="center" wrapText="1"/>
    </xf>
    <xf numFmtId="164" fontId="9" fillId="0" borderId="1" xfId="4" applyNumberFormat="1" applyFont="1" applyAlignment="1">
      <alignment horizontal="center" vertical="center" wrapText="1"/>
    </xf>
    <xf numFmtId="164" fontId="4" fillId="7" borderId="1" xfId="6" applyNumberFormat="1" applyFill="1" applyAlignment="1">
      <alignment horizontal="center" vertical="center" wrapText="1"/>
    </xf>
    <xf numFmtId="0" fontId="1" fillId="7" borderId="1" xfId="6" applyFont="1" applyFill="1" applyAlignment="1">
      <alignment horizontal="center" vertical="center" wrapText="1"/>
    </xf>
    <xf numFmtId="43" fontId="1" fillId="0" borderId="1" xfId="14" applyFont="1" applyBorder="1" applyAlignment="1">
      <alignment horizontal="center" vertical="center" wrapText="1"/>
    </xf>
    <xf numFmtId="0" fontId="32" fillId="0" borderId="0" xfId="0" applyFont="1" applyAlignment="1">
      <alignment horizontal="center" vertical="center" wrapText="1"/>
    </xf>
    <xf numFmtId="0" fontId="6" fillId="0" borderId="1" xfId="6" applyFont="1" applyAlignment="1">
      <alignment horizontal="center" vertical="center" wrapText="1"/>
    </xf>
    <xf numFmtId="0" fontId="33" fillId="0" borderId="0" xfId="0" applyFont="1" applyAlignment="1">
      <alignment horizontal="center" vertical="center" wrapText="1"/>
    </xf>
    <xf numFmtId="164" fontId="4" fillId="10" borderId="1" xfId="6" applyNumberFormat="1" applyFill="1" applyAlignment="1">
      <alignment horizontal="center" vertical="center" wrapText="1"/>
    </xf>
    <xf numFmtId="20" fontId="4" fillId="0" borderId="1" xfId="6" applyNumberFormat="1" applyAlignment="1">
      <alignment horizontal="center" vertical="center" wrapText="1"/>
    </xf>
    <xf numFmtId="0" fontId="33" fillId="0" borderId="0" xfId="0" applyFont="1" applyAlignment="1">
      <alignment horizontal="center" vertical="center" wrapText="1" indent="4"/>
    </xf>
    <xf numFmtId="16" fontId="4" fillId="0" borderId="1" xfId="6" applyNumberFormat="1" applyAlignment="1">
      <alignment horizontal="center" vertical="center" wrapText="1"/>
    </xf>
    <xf numFmtId="14" fontId="27" fillId="0" borderId="7" xfId="0" applyNumberFormat="1" applyFont="1" applyBorder="1" applyAlignment="1">
      <alignment horizontal="center" vertical="center" wrapText="1"/>
    </xf>
    <xf numFmtId="21" fontId="27" fillId="0" borderId="8" xfId="0" applyNumberFormat="1" applyFont="1" applyBorder="1" applyAlignment="1">
      <alignment horizontal="center" vertical="center" wrapText="1"/>
    </xf>
    <xf numFmtId="0" fontId="27" fillId="0" borderId="8" xfId="0" applyFont="1" applyBorder="1" applyAlignment="1">
      <alignment horizontal="center" vertical="center" wrapText="1"/>
    </xf>
    <xf numFmtId="14" fontId="27" fillId="11" borderId="7" xfId="0" applyNumberFormat="1" applyFont="1" applyFill="1" applyBorder="1" applyAlignment="1">
      <alignment horizontal="center" vertical="center" wrapText="1"/>
    </xf>
    <xf numFmtId="21" fontId="27" fillId="11" borderId="8" xfId="0" applyNumberFormat="1" applyFont="1" applyFill="1" applyBorder="1" applyAlignment="1">
      <alignment horizontal="center" vertical="center" wrapText="1"/>
    </xf>
    <xf numFmtId="0" fontId="27" fillId="11" borderId="8" xfId="0" applyFont="1" applyFill="1" applyBorder="1" applyAlignment="1">
      <alignment horizontal="center" vertical="center" wrapText="1"/>
    </xf>
    <xf numFmtId="0" fontId="3" fillId="0" borderId="1" xfId="6" applyFont="1" applyAlignment="1">
      <alignment horizontal="center" vertical="center" wrapText="1"/>
    </xf>
    <xf numFmtId="0" fontId="9" fillId="0" borderId="0" xfId="0" applyFont="1" applyAlignment="1">
      <alignment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9" fillId="0" borderId="0" xfId="0" applyFont="1" applyAlignment="1">
      <alignment horizontal="center" vertical="center"/>
    </xf>
    <xf numFmtId="1" fontId="9" fillId="0" borderId="1" xfId="0" applyNumberFormat="1"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horizontal="left" vertical="center" wrapText="1"/>
    </xf>
    <xf numFmtId="0" fontId="31" fillId="0" borderId="1"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vertical="center"/>
    </xf>
    <xf numFmtId="0" fontId="1" fillId="0" borderId="1" xfId="6" applyFont="1" applyAlignment="1">
      <alignment horizontal="left" vertical="center" wrapText="1"/>
    </xf>
    <xf numFmtId="164" fontId="1" fillId="0" borderId="1" xfId="6" applyNumberFormat="1" applyFont="1" applyAlignment="1">
      <alignment horizontal="center" vertical="center" wrapText="1"/>
    </xf>
    <xf numFmtId="0" fontId="22" fillId="13" borderId="1" xfId="4" applyFont="1" applyFill="1" applyAlignment="1">
      <alignment horizontal="center" vertical="center" wrapText="1"/>
    </xf>
    <xf numFmtId="0" fontId="37" fillId="13" borderId="1" xfId="4" applyFont="1" applyFill="1" applyAlignment="1">
      <alignment horizontal="center" vertical="center" wrapText="1"/>
    </xf>
    <xf numFmtId="0" fontId="38" fillId="0" borderId="1" xfId="4" applyFont="1" applyAlignment="1">
      <alignment horizontal="center" vertical="center"/>
    </xf>
    <xf numFmtId="0" fontId="38" fillId="12" borderId="1" xfId="4" applyFont="1" applyFill="1" applyAlignment="1">
      <alignment horizontal="center" vertical="center"/>
    </xf>
    <xf numFmtId="0" fontId="1" fillId="12" borderId="1" xfId="6" applyFont="1" applyFill="1" applyAlignment="1">
      <alignment horizontal="left" vertical="center" wrapText="1"/>
    </xf>
    <xf numFmtId="0" fontId="1" fillId="8" borderId="5" xfId="6" applyFont="1" applyFill="1" applyBorder="1" applyAlignment="1">
      <alignment horizontal="left" vertical="center" wrapText="1"/>
    </xf>
    <xf numFmtId="0" fontId="32" fillId="0" borderId="0" xfId="0" applyFont="1" applyAlignment="1">
      <alignment vertical="center"/>
    </xf>
    <xf numFmtId="0" fontId="32" fillId="0" borderId="0" xfId="0" applyFont="1" applyAlignment="1">
      <alignment vertical="center" wrapText="1"/>
    </xf>
    <xf numFmtId="0" fontId="32" fillId="0" borderId="0" xfId="0" applyFont="1"/>
    <xf numFmtId="21" fontId="32" fillId="0" borderId="0" xfId="0" applyNumberFormat="1" applyFont="1" applyAlignment="1">
      <alignment horizontal="center"/>
    </xf>
    <xf numFmtId="14" fontId="4" fillId="7" borderId="1" xfId="6" applyNumberFormat="1" applyFill="1" applyAlignment="1">
      <alignment horizontal="center" vertical="center" wrapText="1"/>
    </xf>
    <xf numFmtId="0" fontId="32" fillId="7" borderId="0" xfId="0" applyFont="1" applyFill="1" applyAlignment="1">
      <alignment horizontal="center"/>
    </xf>
    <xf numFmtId="0" fontId="4" fillId="7" borderId="1" xfId="6" applyFill="1" applyAlignment="1">
      <alignment horizontal="center" vertical="center" wrapText="1"/>
    </xf>
    <xf numFmtId="0" fontId="34" fillId="9" borderId="1" xfId="4" applyFont="1" applyFill="1" applyAlignment="1">
      <alignment horizontal="center" vertical="center"/>
    </xf>
    <xf numFmtId="0" fontId="32" fillId="9" borderId="0" xfId="0" applyFont="1" applyFill="1"/>
    <xf numFmtId="0" fontId="38" fillId="9" borderId="1" xfId="4" applyFont="1" applyFill="1" applyAlignment="1">
      <alignment horizontal="center" vertical="center"/>
    </xf>
    <xf numFmtId="0" fontId="9" fillId="7" borderId="1" xfId="4" applyFont="1" applyFill="1" applyAlignment="1">
      <alignment horizontal="center" vertical="center"/>
    </xf>
    <xf numFmtId="0" fontId="27" fillId="0" borderId="0" xfId="0" applyFont="1" applyAlignment="1">
      <alignment horizontal="center" vertical="center"/>
    </xf>
    <xf numFmtId="164" fontId="9" fillId="7" borderId="1" xfId="4" applyNumberFormat="1" applyFont="1" applyFill="1" applyAlignment="1">
      <alignment horizontal="center" vertical="center"/>
    </xf>
    <xf numFmtId="1" fontId="9" fillId="7" borderId="1" xfId="4" applyNumberFormat="1" applyFont="1" applyFill="1" applyAlignment="1">
      <alignment horizontal="center" vertical="center"/>
    </xf>
    <xf numFmtId="164" fontId="9" fillId="7" borderId="1" xfId="0" applyNumberFormat="1" applyFont="1" applyFill="1" applyBorder="1" applyAlignment="1">
      <alignment horizontal="center" vertical="center"/>
    </xf>
    <xf numFmtId="1" fontId="9" fillId="7" borderId="1" xfId="0" applyNumberFormat="1" applyFont="1" applyFill="1" applyBorder="1" applyAlignment="1">
      <alignment horizontal="center" vertical="center"/>
    </xf>
    <xf numFmtId="0" fontId="9" fillId="0" borderId="1" xfId="4" applyFont="1" applyAlignment="1">
      <alignment horizontal="left" vertical="center"/>
    </xf>
    <xf numFmtId="0" fontId="27" fillId="0" borderId="0" xfId="0" applyFont="1" applyAlignment="1">
      <alignment vertical="center"/>
    </xf>
    <xf numFmtId="164" fontId="27" fillId="0" borderId="1" xfId="0" applyNumberFormat="1" applyFont="1" applyBorder="1" applyAlignment="1">
      <alignment horizontal="center" vertical="center"/>
    </xf>
    <xf numFmtId="1" fontId="27" fillId="0" borderId="1" xfId="0" applyNumberFormat="1" applyFont="1" applyBorder="1" applyAlignment="1">
      <alignment horizontal="center" vertical="center"/>
    </xf>
    <xf numFmtId="49" fontId="40" fillId="0" borderId="0" xfId="0" applyNumberFormat="1" applyFont="1" applyAlignment="1">
      <alignment horizontal="center" vertical="center" readingOrder="1"/>
    </xf>
    <xf numFmtId="0" fontId="7" fillId="0" borderId="0" xfId="0" applyFont="1" applyAlignment="1">
      <alignment horizontal="center" vertical="center"/>
    </xf>
    <xf numFmtId="0" fontId="7" fillId="0" borderId="1" xfId="0" applyFont="1" applyBorder="1" applyAlignment="1">
      <alignment horizontal="center" vertical="center"/>
    </xf>
    <xf numFmtId="0" fontId="42" fillId="0" borderId="1" xfId="0" applyFont="1" applyBorder="1" applyAlignment="1">
      <alignment horizontal="center" vertical="center"/>
    </xf>
    <xf numFmtId="0" fontId="42" fillId="0" borderId="0" xfId="0" applyFont="1" applyAlignment="1">
      <alignment horizontal="center" vertical="center"/>
    </xf>
    <xf numFmtId="0" fontId="27" fillId="7" borderId="1" xfId="0" applyFont="1" applyFill="1" applyBorder="1" applyAlignment="1">
      <alignment horizontal="center" vertical="center"/>
    </xf>
    <xf numFmtId="0" fontId="9" fillId="10" borderId="0" xfId="0" applyFont="1" applyFill="1" applyAlignment="1">
      <alignment vertical="center"/>
    </xf>
    <xf numFmtId="164" fontId="20" fillId="0" borderId="1" xfId="6" applyNumberFormat="1" applyFont="1" applyAlignment="1">
      <alignment horizontal="center" vertical="center" wrapText="1"/>
    </xf>
    <xf numFmtId="0" fontId="20" fillId="0" borderId="1" xfId="6" applyFont="1" applyAlignment="1">
      <alignment horizontal="center" vertical="center" wrapText="1"/>
    </xf>
    <xf numFmtId="14" fontId="20" fillId="0" borderId="1" xfId="6" applyNumberFormat="1" applyFont="1" applyAlignment="1">
      <alignment horizontal="center" vertical="center" wrapText="1"/>
    </xf>
    <xf numFmtId="14" fontId="1" fillId="0" borderId="1" xfId="6" applyNumberFormat="1" applyFont="1" applyAlignment="1">
      <alignment horizontal="center" vertical="center" wrapText="1"/>
    </xf>
    <xf numFmtId="0" fontId="36" fillId="0" borderId="0" xfId="0" applyFont="1" applyAlignment="1">
      <alignment horizontal="center"/>
    </xf>
    <xf numFmtId="0" fontId="9" fillId="7" borderId="1" xfId="4" applyFont="1" applyFill="1" applyAlignment="1">
      <alignment horizontal="left" vertical="center" wrapText="1"/>
    </xf>
    <xf numFmtId="0" fontId="9" fillId="7" borderId="1" xfId="0" applyFont="1" applyFill="1" applyBorder="1" applyAlignment="1">
      <alignment horizontal="center" vertical="center"/>
    </xf>
    <xf numFmtId="0" fontId="44" fillId="0" borderId="0" xfId="0" applyFont="1" applyAlignment="1">
      <alignment horizontal="center" vertical="center"/>
    </xf>
    <xf numFmtId="0" fontId="45" fillId="0" borderId="1" xfId="6" applyFont="1" applyAlignment="1">
      <alignment horizontal="center" vertical="center" wrapText="1"/>
    </xf>
    <xf numFmtId="0" fontId="43" fillId="0" borderId="1" xfId="6" applyFont="1" applyAlignment="1">
      <alignment horizontal="center" vertical="center" wrapText="1"/>
    </xf>
    <xf numFmtId="0" fontId="20" fillId="14" borderId="1" xfId="6" applyFont="1" applyFill="1" applyAlignment="1">
      <alignment horizontal="center" vertical="center" wrapText="1"/>
    </xf>
    <xf numFmtId="0" fontId="44" fillId="0" borderId="1" xfId="0" applyFont="1" applyBorder="1" applyAlignment="1">
      <alignment horizontal="center" vertical="center"/>
    </xf>
    <xf numFmtId="0" fontId="44" fillId="0" borderId="9" xfId="0" applyFont="1" applyBorder="1"/>
    <xf numFmtId="14" fontId="9" fillId="0" borderId="0" xfId="0" applyNumberFormat="1" applyFont="1" applyAlignment="1">
      <alignment vertical="center"/>
    </xf>
    <xf numFmtId="0" fontId="46" fillId="0" borderId="1" xfId="6" applyFont="1" applyAlignment="1">
      <alignment horizontal="center" vertical="center" wrapText="1"/>
    </xf>
    <xf numFmtId="0" fontId="36" fillId="0" borderId="0" xfId="0" applyFont="1" applyAlignment="1">
      <alignment horizontal="center" vertical="center" wrapText="1"/>
    </xf>
    <xf numFmtId="0" fontId="1" fillId="15" borderId="1" xfId="6" applyFont="1" applyFill="1" applyAlignment="1">
      <alignment horizontal="center" vertical="center" wrapText="1"/>
    </xf>
    <xf numFmtId="21" fontId="9" fillId="0" borderId="1" xfId="4" applyNumberFormat="1" applyFont="1" applyAlignment="1">
      <alignment horizontal="center" vertical="center"/>
    </xf>
    <xf numFmtId="14"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9" fillId="7" borderId="0" xfId="0" applyFont="1" applyFill="1" applyAlignment="1">
      <alignment horizontal="center" vertical="center"/>
    </xf>
    <xf numFmtId="14" fontId="9" fillId="7" borderId="1" xfId="0" applyNumberFormat="1" applyFont="1" applyFill="1" applyBorder="1" applyAlignment="1">
      <alignment horizontal="center" vertical="center"/>
    </xf>
    <xf numFmtId="0" fontId="9" fillId="7" borderId="0" xfId="0" applyFont="1" applyFill="1" applyAlignment="1">
      <alignment vertical="center"/>
    </xf>
    <xf numFmtId="0" fontId="31" fillId="0" borderId="1" xfId="4" applyFont="1" applyAlignment="1">
      <alignment horizontal="left" vertical="center" wrapText="1"/>
    </xf>
    <xf numFmtId="0" fontId="20" fillId="0" borderId="1" xfId="0" applyFont="1" applyBorder="1" applyAlignment="1">
      <alignment horizontal="center" vertical="center" wrapText="1"/>
    </xf>
    <xf numFmtId="0" fontId="10" fillId="0" borderId="0" xfId="0" applyFont="1" applyAlignment="1">
      <alignment horizontal="center" vertical="center"/>
    </xf>
    <xf numFmtId="14" fontId="20" fillId="0" borderId="1" xfId="0" applyNumberFormat="1" applyFont="1" applyBorder="1" applyAlignment="1">
      <alignment horizontal="center" vertical="center" wrapText="1"/>
    </xf>
    <xf numFmtId="164" fontId="20" fillId="0" borderId="1" xfId="0" applyNumberFormat="1" applyFont="1" applyBorder="1" applyAlignment="1">
      <alignment horizontal="center" vertical="center" wrapText="1"/>
    </xf>
    <xf numFmtId="164" fontId="22" fillId="6" borderId="1" xfId="4" applyNumberFormat="1" applyFont="1" applyFill="1" applyAlignment="1">
      <alignment horizontal="center" vertical="center"/>
    </xf>
    <xf numFmtId="165" fontId="27" fillId="0" borderId="1" xfId="0" applyNumberFormat="1" applyFont="1" applyBorder="1" applyAlignment="1">
      <alignment horizontal="center" vertical="center"/>
    </xf>
    <xf numFmtId="165" fontId="1" fillId="0" borderId="1" xfId="6" applyNumberFormat="1" applyFont="1" applyAlignment="1">
      <alignment horizontal="center" vertical="center"/>
    </xf>
    <xf numFmtId="165" fontId="32" fillId="0" borderId="0" xfId="0" applyNumberFormat="1" applyFont="1" applyAlignment="1">
      <alignment horizontal="center" vertical="center"/>
    </xf>
    <xf numFmtId="0" fontId="38" fillId="0" borderId="0" xfId="0" applyFont="1" applyAlignment="1">
      <alignment vertical="center"/>
    </xf>
    <xf numFmtId="0" fontId="1" fillId="0" borderId="1" xfId="6" applyFont="1" applyAlignment="1">
      <alignment horizontal="center" vertical="center"/>
    </xf>
    <xf numFmtId="21" fontId="27" fillId="0" borderId="1" xfId="0" applyNumberFormat="1" applyFont="1" applyBorder="1" applyAlignment="1">
      <alignment horizontal="center" vertical="center"/>
    </xf>
    <xf numFmtId="0" fontId="35" fillId="0" borderId="1" xfId="0" applyFont="1" applyBorder="1" applyAlignment="1">
      <alignment vertical="center"/>
    </xf>
    <xf numFmtId="0" fontId="33" fillId="0" borderId="0" xfId="0" applyFont="1" applyAlignment="1">
      <alignment horizontal="center" vertical="center"/>
    </xf>
    <xf numFmtId="0" fontId="32" fillId="0" borderId="1" xfId="0" applyFont="1" applyBorder="1" applyAlignment="1">
      <alignment horizontal="center" vertical="center"/>
    </xf>
    <xf numFmtId="21" fontId="32" fillId="0" borderId="1" xfId="0" applyNumberFormat="1" applyFont="1" applyBorder="1" applyAlignment="1">
      <alignment vertical="center"/>
    </xf>
    <xf numFmtId="14" fontId="9" fillId="0" borderId="0" xfId="0" applyNumberFormat="1" applyFont="1" applyAlignment="1">
      <alignment horizontal="center" vertical="center"/>
    </xf>
    <xf numFmtId="0" fontId="32" fillId="0" borderId="1" xfId="0" applyFont="1" applyBorder="1" applyAlignment="1">
      <alignment horizontal="center"/>
    </xf>
    <xf numFmtId="165" fontId="9" fillId="7" borderId="1" xfId="0" applyNumberFormat="1" applyFont="1" applyFill="1" applyBorder="1" applyAlignment="1">
      <alignment horizontal="center" vertical="center"/>
    </xf>
    <xf numFmtId="165" fontId="9" fillId="0" borderId="1" xfId="0" applyNumberFormat="1" applyFont="1" applyBorder="1" applyAlignment="1">
      <alignment horizontal="center" vertical="center"/>
    </xf>
    <xf numFmtId="0" fontId="21" fillId="6" borderId="1" xfId="4" applyFont="1" applyFill="1" applyAlignment="1">
      <alignment horizontal="center" vertical="center"/>
    </xf>
    <xf numFmtId="1" fontId="22" fillId="6" borderId="1" xfId="4" applyNumberFormat="1" applyFont="1" applyFill="1" applyAlignment="1">
      <alignment horizontal="center" vertical="center"/>
    </xf>
    <xf numFmtId="165" fontId="22" fillId="6" borderId="1" xfId="4" applyNumberFormat="1" applyFont="1" applyFill="1" applyAlignment="1">
      <alignment horizontal="center" vertical="center"/>
    </xf>
    <xf numFmtId="0" fontId="27" fillId="0" borderId="1" xfId="0" applyFont="1" applyBorder="1" applyAlignment="1">
      <alignment horizontal="left" vertical="center"/>
    </xf>
    <xf numFmtId="0" fontId="9" fillId="0" borderId="1" xfId="0" applyFont="1" applyBorder="1" applyAlignment="1">
      <alignment horizontal="left" vertical="center"/>
    </xf>
    <xf numFmtId="0" fontId="1" fillId="0" borderId="1" xfId="6" applyFont="1" applyAlignment="1">
      <alignment horizontal="left" vertical="center"/>
    </xf>
    <xf numFmtId="164" fontId="39" fillId="0" borderId="1" xfId="6" applyNumberFormat="1" applyFont="1" applyAlignment="1">
      <alignment horizontal="center" vertical="center"/>
    </xf>
    <xf numFmtId="0" fontId="27" fillId="0" borderId="0" xfId="0" applyFont="1" applyAlignment="1">
      <alignment horizontal="left" vertical="center"/>
    </xf>
    <xf numFmtId="0" fontId="9" fillId="7" borderId="0" xfId="0" applyFont="1" applyFill="1" applyAlignment="1">
      <alignment horizontal="left" vertical="center"/>
    </xf>
    <xf numFmtId="49" fontId="18" fillId="0" borderId="1" xfId="0" applyNumberFormat="1" applyFont="1" applyBorder="1" applyAlignment="1">
      <alignment horizontal="center" vertical="center" readingOrder="1"/>
    </xf>
    <xf numFmtId="49" fontId="40" fillId="0" borderId="1" xfId="0" applyNumberFormat="1" applyFont="1" applyBorder="1" applyAlignment="1">
      <alignment horizontal="center" vertical="center" readingOrder="1"/>
    </xf>
    <xf numFmtId="14" fontId="4" fillId="10" borderId="1" xfId="6" applyNumberFormat="1" applyFill="1" applyAlignment="1">
      <alignment horizontal="center" vertical="center" wrapText="1"/>
    </xf>
    <xf numFmtId="0" fontId="4" fillId="10" borderId="1" xfId="6" applyFill="1" applyAlignment="1">
      <alignment horizontal="center" vertical="center" wrapText="1"/>
    </xf>
    <xf numFmtId="0" fontId="1" fillId="10" borderId="1" xfId="6" applyFont="1" applyFill="1" applyAlignment="1">
      <alignment horizontal="center" vertical="center" wrapText="1"/>
    </xf>
    <xf numFmtId="0" fontId="48" fillId="11" borderId="8" xfId="0" applyFont="1" applyFill="1" applyBorder="1" applyAlignment="1">
      <alignment horizontal="center" vertical="center" wrapText="1"/>
    </xf>
    <xf numFmtId="0" fontId="49" fillId="0" borderId="1" xfId="6" applyFont="1" applyAlignment="1">
      <alignment horizontal="center" vertical="center" wrapText="1"/>
    </xf>
    <xf numFmtId="0" fontId="33" fillId="0" borderId="0" xfId="0" applyFont="1" applyAlignment="1">
      <alignment horizontal="center"/>
    </xf>
    <xf numFmtId="0" fontId="1" fillId="17" borderId="1" xfId="6" applyFont="1" applyFill="1" applyAlignment="1">
      <alignment horizontal="center" vertical="center" wrapText="1"/>
    </xf>
    <xf numFmtId="0" fontId="27" fillId="17" borderId="8" xfId="0" applyFont="1" applyFill="1" applyBorder="1" applyAlignment="1">
      <alignment horizontal="center" vertical="center" wrapText="1"/>
    </xf>
    <xf numFmtId="0" fontId="23" fillId="13" borderId="1" xfId="6" applyFont="1" applyFill="1" applyAlignment="1">
      <alignment horizontal="center" vertical="center" wrapText="1"/>
    </xf>
    <xf numFmtId="0" fontId="47" fillId="16" borderId="10" xfId="15" applyAlignment="1">
      <alignment horizontal="left" vertical="center"/>
    </xf>
    <xf numFmtId="0" fontId="47" fillId="16" borderId="11" xfId="15" applyBorder="1" applyAlignment="1">
      <alignment horizontal="left" vertical="center"/>
    </xf>
    <xf numFmtId="0" fontId="47" fillId="16" borderId="12" xfId="15" applyBorder="1" applyAlignment="1">
      <alignment horizontal="left" vertical="center"/>
    </xf>
    <xf numFmtId="0" fontId="47" fillId="16" borderId="13" xfId="15" applyBorder="1" applyAlignment="1">
      <alignment horizontal="left" vertical="center"/>
    </xf>
    <xf numFmtId="0" fontId="9" fillId="0" borderId="0" xfId="0" applyFont="1" applyAlignment="1">
      <alignment horizontal="left" vertical="center"/>
    </xf>
    <xf numFmtId="0" fontId="4" fillId="17" borderId="1" xfId="6" applyFill="1" applyAlignment="1">
      <alignment horizontal="center" vertical="center" wrapText="1"/>
    </xf>
  </cellXfs>
  <cellStyles count="16">
    <cellStyle name="Calcolo" xfId="15" builtinId="22"/>
    <cellStyle name="Migliaia" xfId="14" builtinId="3"/>
    <cellStyle name="Normal 2" xfId="2" xr:uid="{812F645F-0E41-4404-8153-4760CF6E375B}"/>
    <cellStyle name="Normal 2 2" xfId="4" xr:uid="{FB50EB13-662F-4954-BC1D-3EC7DB9AF973}"/>
    <cellStyle name="Normal 2 2 2" xfId="10" xr:uid="{AE849903-2E13-4B8C-AD94-EF89BDFF2F3D}"/>
    <cellStyle name="Normal 3" xfId="5" xr:uid="{F4AAFC74-01AC-4AA7-ADA9-BF9F768147AE}"/>
    <cellStyle name="Normal 3 2" xfId="11" xr:uid="{C82BCC03-8660-4D50-8E98-04EF408C43E7}"/>
    <cellStyle name="Normal 4" xfId="6" xr:uid="{95F7C8A3-80BD-409D-965D-9CCD68E6C413}"/>
    <cellStyle name="Normal 4 2" xfId="12" xr:uid="{03840158-6804-488A-856F-D9A600FCF3C5}"/>
    <cellStyle name="Normal 5" xfId="7" xr:uid="{6129A96D-575C-4BBB-AAAA-AF49A32616BF}"/>
    <cellStyle name="Normal 6" xfId="8" xr:uid="{F61DF212-9E79-40E7-A435-0CA221120045}"/>
    <cellStyle name="Normal 7" xfId="13" xr:uid="{9BDA6B61-28AC-4E1C-88F9-0DE335A53D69}"/>
    <cellStyle name="Normale" xfId="0" builtinId="0"/>
    <cellStyle name="Normale 2" xfId="1" xr:uid="{385FC149-8475-1243-B9C0-3A799500BC38}"/>
    <cellStyle name="Normale 2 2" xfId="3" xr:uid="{658991A6-31AA-4130-B548-7E2990D45996}"/>
    <cellStyle name="Normale 2 2 2" xfId="9" xr:uid="{E6B9AA6D-7BD3-4D57-BA9F-489FBFFB7249}"/>
  </cellStyles>
  <dxfs count="37">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none"/>
      </font>
      <fill>
        <patternFill patternType="solid">
          <fgColor indexed="6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border outline="0">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fill>
        <patternFill patternType="solid">
          <fgColor theme="4"/>
          <bgColor theme="4"/>
        </patternFill>
      </fill>
      <alignment horizontal="center" vertical="center" textRotation="0" wrapText="0"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right/>
        <top/>
        <bottom/>
      </border>
    </dxf>
    <dxf>
      <numFmt numFmtId="164" formatCode="[$-F400]h:mm:ss\ AM/PM"/>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F400]h:mm:ss\ AM/PM"/>
      <alignment horizontal="center" vertical="center" textRotation="0" wrapText="1" indent="0" justifyLastLine="0" shrinkToFit="0" readingOrder="0"/>
      <border diagonalUp="0" diagonalDown="0" outline="0">
        <left/>
        <right/>
        <top/>
        <bottom/>
      </border>
    </dxf>
    <dxf>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1" indent="0" justifyLastLine="0" shrinkToFit="0" readingOrder="0"/>
      <border diagonalUp="0" diagonalDown="0" outline="0">
        <left/>
        <right/>
        <top/>
        <bottom/>
      </border>
    </dxf>
    <dxf>
      <alignment horizontal="center" vertical="center" wrapText="1"/>
    </dxf>
    <dxf>
      <alignment horizontal="center" vertical="center" textRotation="0" wrapText="1" indent="0" justifyLastLine="0" shrinkToFit="0" readingOrder="0"/>
    </dxf>
    <dxf>
      <font>
        <b/>
        <strike val="0"/>
        <outline val="0"/>
        <shadow val="0"/>
        <u val="none"/>
        <vertAlign val="baseline"/>
        <sz val="12"/>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4FA7"/>
      <color rgb="FFFF7979"/>
      <color rgb="FFFF81C3"/>
      <color rgb="FFEAEAEA"/>
      <color rgb="FFFFACD1"/>
      <color rgb="FFB7C6E7"/>
      <color rgb="FFFFAFAF"/>
      <color rgb="FFFF6969"/>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17/10/relationships/person" Target="persons/person.xml"/><Relationship Id="rId5" Type="http://schemas.openxmlformats.org/officeDocument/2006/relationships/externalLink" Target="externalLinks/externalLink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isy\Downloads\Log_MSFD_2022.xlsx" TargetMode="External"/><Relationship Id="rId1" Type="http://schemas.openxmlformats.org/officeDocument/2006/relationships/externalLinkPath" Target="/Users/daisy/Downloads/Log_MSFD_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ichela.angiolillo\Desktop\lavoro\PROGETTI\msfd\CORALLI_PROFONDI\monitoraggio_2024\Matrice%20ROV_Canale%20Corsica_2024.xlsx" TargetMode="External"/><Relationship Id="rId1" Type="http://schemas.openxmlformats.org/officeDocument/2006/relationships/externalLinkPath" Target="/Users/michela.angiolillo/Desktop/lavoro/PROGETTI/msfd/CORALLI_PROFONDI/monitoraggio_2024/Matrice%20ROV_Canale%20Corsica_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ichela.angiolillo\Downloads\LogROV_MER-Seamounts_test.xlsx" TargetMode="External"/><Relationship Id="rId1" Type="http://schemas.openxmlformats.org/officeDocument/2006/relationships/externalLinkPath" Target="/Users/michela.angiolillo/Downloads/LogROV_MER-Seamounts_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g_data"/>
      <sheetName val="Foglio2"/>
      <sheetName val="Foglio1"/>
      <sheetName val="Foglio3"/>
      <sheetName val="Monterosso"/>
      <sheetName val="Bordighera_P1"/>
      <sheetName val="Beaulieu_J_P2"/>
      <sheetName val="Beaulieu_Jbis_P3"/>
      <sheetName val="San_Juan1_P4"/>
      <sheetName val="Antibes1_P5"/>
      <sheetName val="Antibes2_P6"/>
      <sheetName val="Antibes2bis_P7"/>
      <sheetName val="Monaco1_P8_P9"/>
      <sheetName val="Bordighera2_P10"/>
      <sheetName val="Bergeggi_P11"/>
      <sheetName val="Code"/>
      <sheetName val="Log_MSFD_2022"/>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Log"/>
      <sheetName val="ROV note"/>
      <sheetName val="Liste"/>
      <sheetName val="20_Diversità"/>
      <sheetName val="20_Spazzatura"/>
      <sheetName val="20_Habitat"/>
      <sheetName val="Matrice ROV_Canale Corsica_2024"/>
    </sheetNames>
    <sheetDataSet>
      <sheetData sheetId="0"/>
      <sheetData sheetId="1" refreshError="1"/>
      <sheetData sheetId="2"/>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Log"/>
      <sheetName val="ROV note"/>
      <sheetName val="Campioni"/>
      <sheetName val="Liste"/>
      <sheetName val="LogROV_MER-Seamounts_test"/>
    </sheetNames>
    <sheetDataSet>
      <sheetData sheetId="0"/>
      <sheetData sheetId="1"/>
      <sheetData sheetId="2"/>
      <sheetData sheetId="3"/>
      <sheetData sheetId="4" refreshError="1"/>
    </sheetDataSet>
  </externalBook>
</externalLink>
</file>

<file path=xl/persons/person.xml><?xml version="1.0" encoding="utf-8"?>
<personList xmlns="http://schemas.microsoft.com/office/spreadsheetml/2018/threadedcomments" xmlns:x="http://schemas.openxmlformats.org/spreadsheetml/2006/main">
  <person displayName="Wetlab Cobalt P2283" id="{0038D027-483D-4938-B148-10B1E898F9DD}" userId="S::wetlab.cobalt.p2283@nextgeosolutions.com::5d8c08bf-51c8-488d-9d56-4cc29eb6c81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E46036-7057-4BF3-88D9-4622B3BC53F7}" name="Tabella1" displayName="Tabella1" ref="A1:G6721" totalsRowShown="0" headerRowDxfId="36" dataDxfId="35" totalsRowDxfId="34">
  <autoFilter ref="A1:G6721" xr:uid="{F7E46036-7057-4BF3-88D9-4622B3BC53F7}"/>
  <tableColumns count="7">
    <tableColumn id="1" xr3:uid="{507A4C51-7A05-454E-8160-F56578D597F9}" name="Data" dataDxfId="32" totalsRowDxfId="33">
      <calculatedColumnFormula>IF(C2&lt;&gt;0,IF(A2=0,TODAY(),A2),)</calculatedColumnFormula>
    </tableColumn>
    <tableColumn id="2" xr3:uid="{7A26D97C-CFEC-4CDE-A836-3FE95ED799F1}" name="Ora UTC" dataDxfId="30" totalsRowDxfId="31">
      <calculatedColumnFormula>IF(C2&lt;&gt;0,IF(B2=0,NOW(),B2),)</calculatedColumnFormula>
    </tableColumn>
    <tableColumn id="3" xr3:uid="{CF1AFA5F-DC7E-4651-AE3C-F1ED02C21D10}" name="ID_Transetto" dataDxfId="28" totalsRowDxfId="29" dataCellStyle="Normal 4"/>
    <tableColumn id="7" xr3:uid="{8933D7F7-6AA8-4D01-82C6-C765EDDFD960}" name="Operazioni" dataDxfId="26" totalsRowDxfId="27" dataCellStyle="Normal 4"/>
    <tableColumn id="10" xr3:uid="{65D9F41C-B656-49A7-9DCB-A4E8D86BF8B6}" name="Commento" dataDxfId="24" totalsRowDxfId="25"/>
    <tableColumn id="4" xr3:uid="{1BD71B53-8D3C-4D55-A5A4-FD1B134DC1D5}" name="Litter" dataDxfId="22" totalsRowDxfId="23"/>
    <tableColumn id="5" xr3:uid="{32BFB7D1-2C3B-4773-8298-E0055C8C9D6A}" name="NOTE" dataDxfId="20" totalsRow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DC579-1D7A-4C0D-9CB9-9DBC53C835C8}" name="Table1" displayName="Table1" ref="G1:G164" totalsRowShown="0" headerRowDxfId="19" dataDxfId="18">
  <autoFilter ref="G1:G164" xr:uid="{8D4DC579-1D7A-4C0D-9CB9-9DBC53C835C8}"/>
  <sortState xmlns:xlrd2="http://schemas.microsoft.com/office/spreadsheetml/2017/richdata2" ref="G2:G164">
    <sortCondition ref="G1:G164"/>
  </sortState>
  <tableColumns count="1">
    <tableColumn id="1" xr3:uid="{904E985B-C644-4783-B5BA-93AEAF24387A}" name="Lista speci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033E4F-FC1A-4E41-986F-0C09A82BD20C}" name="Table5" displayName="Table5" ref="J1:J29" totalsRowShown="0" headerRowDxfId="16" dataDxfId="15" dataCellStyle="Normale 2 2">
  <autoFilter ref="J1:J29" xr:uid="{E8033E4F-FC1A-4E41-986F-0C09A82BD20C}"/>
  <tableColumns count="1">
    <tableColumn id="1" xr3:uid="{21B9F68B-40DE-4693-949E-D1F839EC690C}" name="Litter" dataDxfId="14" dataCellStyle="Normale 2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8BEF2F-B340-4B4B-81F9-F25948668AFB}" name="Table17" displayName="Table17" ref="E1:E11" totalsRowShown="0" headerRowDxfId="13" dataDxfId="12">
  <autoFilter ref="E1:E11" xr:uid="{998BEF2F-B340-4B4B-81F9-F25948668AFB}"/>
  <tableColumns count="1">
    <tableColumn id="1" xr3:uid="{9B612776-52B8-4A72-A99C-3E3213574EA9}" name="Operazione"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6C2522-1418-4A97-88F3-F664676B1DDE}" name="Table2" displayName="Table2" ref="C1:C80" totalsRowShown="0" headerRowDxfId="10" dataDxfId="9" headerRowBorderDxfId="7" tableBorderDxfId="8">
  <autoFilter ref="C1:C80" xr:uid="{796C2522-1418-4A97-88F3-F664676B1DDE}"/>
  <tableColumns count="1">
    <tableColumn id="1" xr3:uid="{7E36023A-1EAA-4E31-8A8D-886DC9621BF4}" name="ID_Seamount"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F8BD6D-5A5D-4097-9975-C6D9110E36C6}" name="Table3" displayName="Table3" ref="P1:P6" totalsRowShown="0" headerRowDxfId="5" dataDxfId="4" headerRowCellStyle="Normal 2 2">
  <autoFilter ref="P1:P6" xr:uid="{0CF8BD6D-5A5D-4097-9975-C6D9110E36C6}"/>
  <tableColumns count="1">
    <tableColumn id="1" xr3:uid="{465C57E7-66F1-4543-951B-1B5DAD1AE68C}" name="Tipo di campione"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24C197-70C9-4169-A7A6-260F88B3E1BA}" name="Table4" displayName="Table4" ref="R1:R5" totalsRowShown="0" headerRowDxfId="2" dataDxfId="1" headerRowCellStyle="Normal 2 2">
  <autoFilter ref="R1:R5" xr:uid="{D524C197-70C9-4169-A7A6-260F88B3E1BA}"/>
  <tableColumns count="1">
    <tableColumn id="1" xr3:uid="{DA36C3CB-E788-4340-9646-4E4A0B630C61}" name="Fissativo "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18" dT="2026-01-20T10:42:31.89" personId="{0038D027-483D-4938-B148-10B1E898F9DD}" id="{B3596119-CCFC-4C21-9B0E-53301D6CBF9D}">
    <text>5c, da cambiare qui e su etichetta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4.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2C1F-E458-4B9C-AEA9-F0E41000B5C4}">
  <sheetPr>
    <tabColor rgb="FF66FFCC"/>
  </sheetPr>
  <dimension ref="A1:R4040"/>
  <sheetViews>
    <sheetView zoomScale="90" zoomScaleNormal="90" workbookViewId="0">
      <pane ySplit="1" topLeftCell="A234" activePane="bottomLeft" state="frozen"/>
      <selection pane="bottomLeft" activeCell="G247" sqref="G247"/>
      <selection activeCell="B47" sqref="B47"/>
    </sheetView>
  </sheetViews>
  <sheetFormatPr defaultColWidth="11.21875" defaultRowHeight="15"/>
  <cols>
    <col min="1" max="1" width="14.5546875" style="1" bestFit="1" customWidth="1"/>
    <col min="2" max="2" width="30.77734375" style="1" bestFit="1" customWidth="1"/>
    <col min="3" max="3" width="11.21875" style="1" bestFit="1" customWidth="1"/>
    <col min="4" max="4" width="11.88671875" style="1" customWidth="1"/>
    <col min="5" max="5" width="14.33203125" style="10" bestFit="1" customWidth="1"/>
    <col min="6" max="6" width="12.21875" style="10" bestFit="1" customWidth="1"/>
    <col min="7" max="7" width="11.6640625" style="10" bestFit="1" customWidth="1"/>
    <col min="8" max="8" width="12" style="10" customWidth="1"/>
    <col min="9" max="9" width="11.109375" style="2" bestFit="1" customWidth="1"/>
    <col min="10" max="10" width="10.21875" style="2" customWidth="1"/>
    <col min="11" max="11" width="11.33203125" style="2" customWidth="1"/>
    <col min="12" max="12" width="8.5546875" style="7" customWidth="1"/>
    <col min="13" max="13" width="10.109375" style="1" customWidth="1"/>
    <col min="14" max="14" width="106.88671875" style="53" customWidth="1"/>
    <col min="15" max="15" width="57" style="53" customWidth="1"/>
    <col min="16" max="16" width="39.6640625" style="1" bestFit="1" customWidth="1"/>
    <col min="17" max="17" width="17.5546875" style="1" bestFit="1" customWidth="1"/>
    <col min="18" max="16384" width="11.21875" style="1"/>
  </cols>
  <sheetData>
    <row r="1" spans="1:16" s="55" customFormat="1" ht="47.25">
      <c r="A1" s="34" t="s">
        <v>0</v>
      </c>
      <c r="B1" s="34" t="s">
        <v>1</v>
      </c>
      <c r="C1" s="35" t="s">
        <v>2</v>
      </c>
      <c r="D1" s="35" t="s">
        <v>3</v>
      </c>
      <c r="E1" s="36" t="s">
        <v>4</v>
      </c>
      <c r="F1" s="36" t="s">
        <v>5</v>
      </c>
      <c r="G1" s="36" t="s">
        <v>6</v>
      </c>
      <c r="H1" s="36" t="s">
        <v>7</v>
      </c>
      <c r="I1" s="37" t="s">
        <v>8</v>
      </c>
      <c r="J1" s="37" t="s">
        <v>9</v>
      </c>
      <c r="K1" s="38" t="s">
        <v>10</v>
      </c>
      <c r="L1" s="39" t="s">
        <v>11</v>
      </c>
      <c r="M1" s="34" t="s">
        <v>12</v>
      </c>
      <c r="N1" s="52" t="s">
        <v>13</v>
      </c>
      <c r="O1" s="50" t="s">
        <v>14</v>
      </c>
      <c r="P1" s="11" t="s">
        <v>15</v>
      </c>
    </row>
    <row r="2" spans="1:16">
      <c r="A2" s="1" t="s">
        <v>16</v>
      </c>
      <c r="B2" s="1" t="s">
        <v>17</v>
      </c>
      <c r="C2" s="20">
        <v>45958</v>
      </c>
      <c r="D2" s="1" t="s">
        <v>18</v>
      </c>
      <c r="K2" s="2">
        <f>J2-I2</f>
        <v>0</v>
      </c>
      <c r="O2" s="53" t="s">
        <v>19</v>
      </c>
    </row>
    <row r="3" spans="1:16">
      <c r="A3" s="1" t="s">
        <v>16</v>
      </c>
      <c r="B3" s="1" t="s">
        <v>17</v>
      </c>
      <c r="C3" s="20">
        <v>45960</v>
      </c>
      <c r="D3" s="26" t="s">
        <v>20</v>
      </c>
      <c r="E3" s="10">
        <v>36.703933999999997</v>
      </c>
      <c r="F3" s="10">
        <v>12.057506</v>
      </c>
      <c r="G3" s="10">
        <v>36.707922000000003</v>
      </c>
      <c r="H3" s="10">
        <v>12.059169000000001</v>
      </c>
      <c r="I3" s="2">
        <v>45960.573976504631</v>
      </c>
      <c r="J3" s="2">
        <v>45960.676274884259</v>
      </c>
      <c r="K3" s="2">
        <f>J3-I3</f>
        <v>0.10229837962833699</v>
      </c>
      <c r="L3" s="7">
        <v>463</v>
      </c>
      <c r="M3" s="1" t="s">
        <v>21</v>
      </c>
      <c r="N3" s="53" t="s">
        <v>22</v>
      </c>
      <c r="O3" s="53" t="s">
        <v>23</v>
      </c>
      <c r="P3" s="1" t="s">
        <v>24</v>
      </c>
    </row>
    <row r="4" spans="1:16">
      <c r="A4" s="1" t="s">
        <v>16</v>
      </c>
      <c r="B4" s="1" t="s">
        <v>17</v>
      </c>
      <c r="C4" s="20">
        <v>45960</v>
      </c>
      <c r="D4" s="26" t="s">
        <v>25</v>
      </c>
      <c r="E4" s="10">
        <v>36.713336650000002</v>
      </c>
      <c r="F4" s="10">
        <v>12.056626899999999</v>
      </c>
      <c r="G4" s="10">
        <v>36.717912609999999</v>
      </c>
      <c r="H4" s="10">
        <v>12.05457953</v>
      </c>
      <c r="I4" s="2">
        <v>45960.741264236109</v>
      </c>
      <c r="J4" s="2">
        <v>45960.848298611112</v>
      </c>
      <c r="K4" s="2">
        <f t="shared" ref="K4:K64" si="0">J4-I4</f>
        <v>0.10703437500342261</v>
      </c>
      <c r="L4" s="7">
        <v>500</v>
      </c>
      <c r="M4" s="1" t="s">
        <v>26</v>
      </c>
      <c r="N4" s="53" t="s">
        <v>27</v>
      </c>
      <c r="O4" s="53" t="s">
        <v>28</v>
      </c>
      <c r="P4" s="1" t="s">
        <v>29</v>
      </c>
    </row>
    <row r="5" spans="1:16" s="64" customFormat="1" ht="30">
      <c r="A5" s="64" t="s">
        <v>16</v>
      </c>
      <c r="B5" s="64" t="s">
        <v>17</v>
      </c>
      <c r="C5" s="65">
        <v>45960</v>
      </c>
      <c r="D5" s="64" t="s">
        <v>30</v>
      </c>
      <c r="E5" s="67"/>
      <c r="F5" s="67"/>
      <c r="G5" s="67"/>
      <c r="H5" s="67"/>
      <c r="I5" s="68">
        <v>45960.916261574072</v>
      </c>
      <c r="J5" s="68">
        <v>45960.979548611111</v>
      </c>
      <c r="K5" s="68">
        <f t="shared" si="0"/>
        <v>6.3287037039117422E-2</v>
      </c>
      <c r="L5" s="69"/>
      <c r="N5" s="70"/>
      <c r="O5" s="120" t="s">
        <v>31</v>
      </c>
      <c r="P5" s="64" t="s">
        <v>29</v>
      </c>
    </row>
    <row r="6" spans="1:16">
      <c r="A6" s="1" t="s">
        <v>16</v>
      </c>
      <c r="B6" s="1" t="s">
        <v>17</v>
      </c>
      <c r="C6" s="20">
        <v>45960</v>
      </c>
      <c r="D6" s="26" t="s">
        <v>30</v>
      </c>
      <c r="E6" s="10">
        <v>36.716369999999998</v>
      </c>
      <c r="F6" s="10">
        <v>12.072457</v>
      </c>
      <c r="G6" s="10">
        <v>36.721474110000003</v>
      </c>
      <c r="H6" s="10">
        <v>12.070433980000001</v>
      </c>
      <c r="I6" s="2">
        <v>45960.980717592596</v>
      </c>
      <c r="J6" s="2">
        <v>45961.032893518517</v>
      </c>
      <c r="K6" s="2">
        <f t="shared" si="0"/>
        <v>5.2175925920892041E-2</v>
      </c>
      <c r="L6" s="7">
        <v>570</v>
      </c>
      <c r="M6" s="1" t="s">
        <v>32</v>
      </c>
      <c r="N6" s="53" t="s">
        <v>33</v>
      </c>
      <c r="O6" s="114"/>
      <c r="P6" s="1" t="s">
        <v>29</v>
      </c>
    </row>
    <row r="7" spans="1:16" ht="30">
      <c r="A7" s="1" t="s">
        <v>16</v>
      </c>
      <c r="B7" s="1" t="s">
        <v>17</v>
      </c>
      <c r="C7" s="20">
        <v>45961</v>
      </c>
      <c r="D7" s="26" t="s">
        <v>34</v>
      </c>
      <c r="E7" s="10">
        <v>36.718046029</v>
      </c>
      <c r="F7" s="10">
        <v>12.0752661</v>
      </c>
      <c r="G7" s="10">
        <v>36.714752660999999</v>
      </c>
      <c r="H7" s="10">
        <v>12.080271924</v>
      </c>
      <c r="I7" s="2">
        <v>45961.068063888888</v>
      </c>
      <c r="J7" s="56">
        <v>45961.14628148148</v>
      </c>
      <c r="K7" s="2">
        <f t="shared" si="0"/>
        <v>7.8217592592409346E-2</v>
      </c>
      <c r="L7" s="7">
        <v>550</v>
      </c>
      <c r="M7" s="1" t="s">
        <v>35</v>
      </c>
      <c r="N7" s="53" t="s">
        <v>36</v>
      </c>
      <c r="O7" s="114"/>
      <c r="P7" s="1" t="s">
        <v>29</v>
      </c>
    </row>
    <row r="8" spans="1:16" s="64" customFormat="1">
      <c r="A8" s="64" t="s">
        <v>16</v>
      </c>
      <c r="B8" s="64" t="s">
        <v>17</v>
      </c>
      <c r="C8" s="65">
        <v>45961</v>
      </c>
      <c r="D8" s="64" t="s">
        <v>37</v>
      </c>
      <c r="E8" s="67"/>
      <c r="F8" s="67"/>
      <c r="G8" s="67"/>
      <c r="H8" s="67"/>
      <c r="I8" s="68">
        <v>45961.152789351851</v>
      </c>
      <c r="J8" s="71">
        <v>45961.242118055554</v>
      </c>
      <c r="K8" s="68">
        <f t="shared" si="0"/>
        <v>8.9328703703358769E-2</v>
      </c>
      <c r="L8" s="69"/>
      <c r="N8" s="70"/>
      <c r="O8" s="70" t="s">
        <v>38</v>
      </c>
      <c r="P8" s="64" t="s">
        <v>29</v>
      </c>
    </row>
    <row r="9" spans="1:16" s="64" customFormat="1">
      <c r="A9" s="64" t="s">
        <v>16</v>
      </c>
      <c r="B9" s="64" t="s">
        <v>17</v>
      </c>
      <c r="C9" s="65">
        <v>45962</v>
      </c>
      <c r="D9" s="64" t="s">
        <v>37</v>
      </c>
      <c r="E9" s="67"/>
      <c r="F9" s="67"/>
      <c r="G9" s="67"/>
      <c r="H9" s="67"/>
      <c r="I9" s="68"/>
      <c r="J9" s="68"/>
      <c r="K9" s="68">
        <f t="shared" si="0"/>
        <v>0</v>
      </c>
      <c r="L9" s="68"/>
      <c r="N9" s="70"/>
      <c r="O9" s="70" t="s">
        <v>39</v>
      </c>
    </row>
    <row r="10" spans="1:16" ht="30">
      <c r="A10" s="1" t="s">
        <v>16</v>
      </c>
      <c r="B10" s="1" t="s">
        <v>17</v>
      </c>
      <c r="C10" s="20">
        <v>45966</v>
      </c>
      <c r="D10" s="26" t="s">
        <v>40</v>
      </c>
      <c r="E10" s="10">
        <v>36.739911890000002</v>
      </c>
      <c r="F10" s="10">
        <v>12.07054012</v>
      </c>
      <c r="G10" s="10">
        <v>36.736125000000001</v>
      </c>
      <c r="H10" s="10">
        <v>12.067539999999999</v>
      </c>
      <c r="I10" s="56">
        <v>45965.082499999997</v>
      </c>
      <c r="J10" s="56">
        <v>45965.121041666665</v>
      </c>
      <c r="K10" s="2">
        <f t="shared" si="0"/>
        <v>3.8541666668606922E-2</v>
      </c>
      <c r="L10" s="1">
        <v>500</v>
      </c>
      <c r="M10" s="1" t="s">
        <v>41</v>
      </c>
      <c r="N10" s="53" t="s">
        <v>42</v>
      </c>
      <c r="O10" s="53" t="s">
        <v>43</v>
      </c>
      <c r="P10" s="1" t="s">
        <v>29</v>
      </c>
    </row>
    <row r="11" spans="1:16" ht="30">
      <c r="A11" s="1" t="s">
        <v>16</v>
      </c>
      <c r="B11" s="1" t="s">
        <v>17</v>
      </c>
      <c r="C11" s="20">
        <v>45966</v>
      </c>
      <c r="D11" s="26" t="s">
        <v>44</v>
      </c>
      <c r="E11" s="10">
        <v>36.724771120200003</v>
      </c>
      <c r="F11" s="10">
        <v>12.082076714399999</v>
      </c>
      <c r="G11" s="10">
        <v>36.721798</v>
      </c>
      <c r="H11" s="10">
        <v>12.082043000000001</v>
      </c>
      <c r="I11" s="2">
        <v>2.192974537037037</v>
      </c>
      <c r="J11" s="2">
        <v>0.25107638888888889</v>
      </c>
      <c r="K11" s="2">
        <v>5.8101851851851849E-2</v>
      </c>
      <c r="L11" s="7">
        <v>410</v>
      </c>
      <c r="M11" s="1" t="s">
        <v>45</v>
      </c>
      <c r="N11" s="53" t="s">
        <v>46</v>
      </c>
      <c r="O11" s="53" t="s">
        <v>47</v>
      </c>
      <c r="P11" s="1" t="s">
        <v>29</v>
      </c>
    </row>
    <row r="12" spans="1:16">
      <c r="A12" s="1" t="s">
        <v>16</v>
      </c>
      <c r="B12" s="1" t="s">
        <v>17</v>
      </c>
      <c r="C12" s="20">
        <v>45966</v>
      </c>
      <c r="D12" s="26" t="s">
        <v>37</v>
      </c>
      <c r="E12" s="10">
        <v>36.717953999999999</v>
      </c>
      <c r="F12" s="10">
        <v>12.0848476</v>
      </c>
      <c r="G12" s="10">
        <v>36.713456999999998</v>
      </c>
      <c r="H12" s="10">
        <v>12.086760999999999</v>
      </c>
      <c r="I12" s="2">
        <v>0.28946759259259258</v>
      </c>
      <c r="J12" s="2">
        <f t="shared" ref="J12" ca="1" si="1">IF(K12&lt;&gt;0,IF(J12=0,NOW(),J12),)</f>
        <v>45966.35407361111</v>
      </c>
      <c r="K12" s="2">
        <f t="shared" ca="1" si="0"/>
        <v>45966.064606018517</v>
      </c>
      <c r="L12" s="7">
        <v>536</v>
      </c>
      <c r="M12" s="1" t="s">
        <v>48</v>
      </c>
      <c r="N12" s="53" t="s">
        <v>49</v>
      </c>
      <c r="O12" s="110" t="s">
        <v>50</v>
      </c>
      <c r="P12" s="1" t="s">
        <v>24</v>
      </c>
    </row>
    <row r="13" spans="1:16">
      <c r="A13" s="1" t="s">
        <v>16</v>
      </c>
      <c r="B13" s="1" t="s">
        <v>17</v>
      </c>
      <c r="C13" s="20">
        <v>45966</v>
      </c>
      <c r="D13" s="26" t="s">
        <v>51</v>
      </c>
      <c r="E13" s="10">
        <v>36.702489999999997</v>
      </c>
      <c r="F13" s="10">
        <v>12.08563</v>
      </c>
      <c r="G13" s="10">
        <v>36.707810000000002</v>
      </c>
      <c r="H13" s="10">
        <v>12.08006</v>
      </c>
      <c r="I13" s="2">
        <v>0.42427083333333332</v>
      </c>
      <c r="J13" s="2">
        <v>0.539525462962963</v>
      </c>
      <c r="K13" s="2">
        <f t="shared" si="0"/>
        <v>0.11525462962962968</v>
      </c>
      <c r="L13" s="7">
        <v>860</v>
      </c>
      <c r="M13" s="1" t="s">
        <v>52</v>
      </c>
      <c r="N13" s="53" t="s">
        <v>53</v>
      </c>
      <c r="O13" s="110" t="s">
        <v>54</v>
      </c>
      <c r="P13" s="1" t="s">
        <v>24</v>
      </c>
    </row>
    <row r="14" spans="1:16">
      <c r="A14" s="1" t="s">
        <v>16</v>
      </c>
      <c r="B14" s="1" t="s">
        <v>17</v>
      </c>
      <c r="C14" s="20">
        <v>45966</v>
      </c>
      <c r="D14" s="26" t="s">
        <v>55</v>
      </c>
      <c r="E14" s="10">
        <v>36.696845000000003</v>
      </c>
      <c r="F14" s="10">
        <v>12.07263</v>
      </c>
      <c r="G14" s="10">
        <v>36.700145999999997</v>
      </c>
      <c r="H14" s="10">
        <v>12.072203999999999</v>
      </c>
      <c r="I14" s="2">
        <v>0.60539351851851853</v>
      </c>
      <c r="J14" s="2">
        <v>0.66601851851851857</v>
      </c>
      <c r="K14" s="2">
        <f t="shared" si="0"/>
        <v>6.062500000000004E-2</v>
      </c>
      <c r="L14" s="7">
        <v>400</v>
      </c>
      <c r="M14" s="1" t="s">
        <v>56</v>
      </c>
      <c r="N14" s="53" t="s">
        <v>57</v>
      </c>
      <c r="O14" s="110" t="s">
        <v>58</v>
      </c>
      <c r="P14" s="1" t="s">
        <v>24</v>
      </c>
    </row>
    <row r="15" spans="1:16">
      <c r="A15" s="1" t="s">
        <v>16</v>
      </c>
      <c r="B15" s="1" t="s">
        <v>17</v>
      </c>
      <c r="C15" s="20">
        <v>45966</v>
      </c>
      <c r="D15" s="26" t="s">
        <v>59</v>
      </c>
      <c r="E15" s="10">
        <v>36.702318010500001</v>
      </c>
      <c r="F15" s="10">
        <v>12.066018723199999</v>
      </c>
      <c r="G15" s="10">
        <v>36.705731479999997</v>
      </c>
      <c r="H15" s="10">
        <v>12.0674720007</v>
      </c>
      <c r="I15" s="2">
        <v>0.69984953703703701</v>
      </c>
      <c r="J15" s="2">
        <v>0.75298611111111113</v>
      </c>
      <c r="K15" s="2">
        <f t="shared" si="0"/>
        <v>5.3136574074074128E-2</v>
      </c>
      <c r="L15" s="7">
        <v>300</v>
      </c>
      <c r="M15" s="1" t="s">
        <v>60</v>
      </c>
      <c r="N15" s="57" t="s">
        <v>61</v>
      </c>
      <c r="O15" s="110" t="s">
        <v>62</v>
      </c>
      <c r="P15" s="1" t="s">
        <v>29</v>
      </c>
    </row>
    <row r="16" spans="1:16">
      <c r="A16" s="1" t="s">
        <v>16</v>
      </c>
      <c r="B16" s="1" t="s">
        <v>17</v>
      </c>
      <c r="C16" s="20">
        <v>45966</v>
      </c>
      <c r="D16" s="26" t="s">
        <v>63</v>
      </c>
      <c r="E16" s="10">
        <v>36.687021000000001</v>
      </c>
      <c r="F16" s="10">
        <v>12.057874</v>
      </c>
      <c r="G16" s="10">
        <v>36.690047999999997</v>
      </c>
      <c r="H16" s="10">
        <v>12.061161</v>
      </c>
      <c r="I16" s="2">
        <v>0.85645833333333332</v>
      </c>
      <c r="J16" s="2">
        <v>0.91094907407407411</v>
      </c>
      <c r="K16" s="2">
        <f t="shared" si="0"/>
        <v>5.4490740740740784E-2</v>
      </c>
      <c r="L16" s="7">
        <v>500</v>
      </c>
      <c r="M16" s="1" t="s">
        <v>64</v>
      </c>
      <c r="N16" s="53" t="s">
        <v>46</v>
      </c>
      <c r="O16" s="110" t="s">
        <v>65</v>
      </c>
      <c r="P16" s="1" t="s">
        <v>29</v>
      </c>
    </row>
    <row r="17" spans="1:16" s="64" customFormat="1" ht="45">
      <c r="A17" s="64" t="s">
        <v>16</v>
      </c>
      <c r="B17" s="64" t="s">
        <v>17</v>
      </c>
      <c r="C17" s="65">
        <v>45967</v>
      </c>
      <c r="D17" s="64" t="s">
        <v>66</v>
      </c>
      <c r="E17" s="67"/>
      <c r="F17" s="67"/>
      <c r="G17" s="67"/>
      <c r="H17" s="67"/>
      <c r="I17" s="68">
        <v>2.7777777777777776E-2</v>
      </c>
      <c r="J17" s="68">
        <v>9.0277777777777776E-2</v>
      </c>
      <c r="K17" s="68">
        <f>J17-I17</f>
        <v>6.25E-2</v>
      </c>
      <c r="L17" s="69"/>
      <c r="N17" s="70"/>
      <c r="O17" s="70" t="s">
        <v>67</v>
      </c>
      <c r="P17" s="64" t="s">
        <v>29</v>
      </c>
    </row>
    <row r="18" spans="1:16">
      <c r="A18" s="1" t="s">
        <v>16</v>
      </c>
      <c r="B18" s="1" t="s">
        <v>17</v>
      </c>
      <c r="C18" s="20">
        <v>45967</v>
      </c>
      <c r="D18" s="26" t="s">
        <v>68</v>
      </c>
      <c r="E18" s="10">
        <v>36.705536000000002</v>
      </c>
      <c r="F18" s="10">
        <v>12.117380000000001</v>
      </c>
      <c r="G18" s="10">
        <v>36.7130411682</v>
      </c>
      <c r="H18" s="10">
        <v>12.1121300771</v>
      </c>
      <c r="I18" s="2">
        <v>0.15694444444444444</v>
      </c>
      <c r="J18" s="2">
        <v>0.28435185185185186</v>
      </c>
      <c r="K18" s="2">
        <f>J18-I18</f>
        <v>0.12740740740740741</v>
      </c>
      <c r="L18" s="7">
        <v>1000</v>
      </c>
      <c r="M18" s="1" t="s">
        <v>69</v>
      </c>
      <c r="N18" s="53" t="s">
        <v>70</v>
      </c>
      <c r="O18" s="110" t="s">
        <v>71</v>
      </c>
      <c r="P18" s="1" t="s">
        <v>29</v>
      </c>
    </row>
    <row r="19" spans="1:16">
      <c r="A19" s="1" t="s">
        <v>16</v>
      </c>
      <c r="B19" s="1" t="s">
        <v>17</v>
      </c>
      <c r="C19" s="20">
        <v>45967</v>
      </c>
      <c r="D19" s="26" t="s">
        <v>72</v>
      </c>
      <c r="E19" s="10">
        <v>36.725524999999998</v>
      </c>
      <c r="F19" s="10">
        <v>12.102116000000001</v>
      </c>
      <c r="G19" s="10">
        <v>36.729520999999998</v>
      </c>
      <c r="H19" s="10">
        <v>12.099243</v>
      </c>
      <c r="I19" s="2">
        <v>0.36640046296296297</v>
      </c>
      <c r="J19" s="58">
        <v>0.41591435185185183</v>
      </c>
      <c r="K19" s="2">
        <f t="shared" si="0"/>
        <v>4.9513888888888857E-2</v>
      </c>
      <c r="L19" s="7">
        <v>508</v>
      </c>
      <c r="M19" s="1" t="s">
        <v>73</v>
      </c>
      <c r="N19" s="53" t="s">
        <v>74</v>
      </c>
      <c r="O19" s="110" t="s">
        <v>75</v>
      </c>
      <c r="P19" s="1" t="s">
        <v>24</v>
      </c>
    </row>
    <row r="20" spans="1:16" s="44" customFormat="1">
      <c r="A20" s="44" t="s">
        <v>16</v>
      </c>
      <c r="B20" s="44" t="s">
        <v>17</v>
      </c>
      <c r="C20" s="45">
        <v>45967</v>
      </c>
      <c r="D20" s="46" t="s">
        <v>25</v>
      </c>
      <c r="E20" s="47">
        <v>36.716095000000003</v>
      </c>
      <c r="F20" s="47">
        <v>12.055673000000001</v>
      </c>
      <c r="G20" s="47"/>
      <c r="H20" s="47"/>
      <c r="I20" s="48">
        <v>0.48912037037037037</v>
      </c>
      <c r="J20" s="48">
        <v>0.60539351851851853</v>
      </c>
      <c r="K20" s="48">
        <f t="shared" si="0"/>
        <v>0.11627314814814815</v>
      </c>
      <c r="L20" s="49"/>
      <c r="N20" s="54"/>
      <c r="O20" s="54" t="s">
        <v>76</v>
      </c>
      <c r="P20" s="44" t="s">
        <v>24</v>
      </c>
    </row>
    <row r="21" spans="1:16">
      <c r="A21" s="1" t="s">
        <v>16</v>
      </c>
      <c r="B21" s="1" t="s">
        <v>77</v>
      </c>
      <c r="C21" s="20">
        <v>45967</v>
      </c>
      <c r="D21" s="26" t="s">
        <v>78</v>
      </c>
      <c r="E21" s="10">
        <v>36.606279999999998</v>
      </c>
      <c r="F21" s="10">
        <v>11.808299999999999</v>
      </c>
      <c r="G21" s="10">
        <v>36.608800000000002</v>
      </c>
      <c r="H21" s="10">
        <v>11.804270000000001</v>
      </c>
      <c r="I21" s="2">
        <v>0.74577546296296293</v>
      </c>
      <c r="J21" s="2">
        <v>20.835416666666667</v>
      </c>
      <c r="K21" s="2">
        <f t="shared" si="0"/>
        <v>20.089641203703703</v>
      </c>
      <c r="L21" s="7">
        <v>504</v>
      </c>
      <c r="M21" s="1" t="s">
        <v>79</v>
      </c>
      <c r="N21" s="53" t="s">
        <v>80</v>
      </c>
      <c r="P21" s="1" t="s">
        <v>29</v>
      </c>
    </row>
    <row r="22" spans="1:16">
      <c r="A22" s="1" t="s">
        <v>16</v>
      </c>
      <c r="B22" s="1" t="s">
        <v>77</v>
      </c>
      <c r="C22" s="20">
        <v>45967</v>
      </c>
      <c r="D22" s="26" t="s">
        <v>81</v>
      </c>
      <c r="E22" s="10">
        <v>36.622931999999999</v>
      </c>
      <c r="F22" s="10">
        <v>11.79167</v>
      </c>
      <c r="G22" s="10">
        <v>36.624361999999998</v>
      </c>
      <c r="H22" s="10">
        <v>11.786049999999999</v>
      </c>
      <c r="I22" s="2">
        <v>0.89583333333333337</v>
      </c>
      <c r="J22" s="2">
        <v>0.9555555555555556</v>
      </c>
      <c r="K22" s="2">
        <f t="shared" si="0"/>
        <v>5.9722222222222232E-2</v>
      </c>
      <c r="L22" s="7">
        <v>520</v>
      </c>
      <c r="M22" s="1" t="s">
        <v>82</v>
      </c>
      <c r="N22" s="53" t="s">
        <v>83</v>
      </c>
      <c r="P22" s="1" t="s">
        <v>29</v>
      </c>
    </row>
    <row r="23" spans="1:16" ht="30">
      <c r="A23" s="1" t="s">
        <v>16</v>
      </c>
      <c r="B23" s="1" t="s">
        <v>77</v>
      </c>
      <c r="C23" s="20">
        <v>45968</v>
      </c>
      <c r="D23" s="26" t="s">
        <v>84</v>
      </c>
      <c r="E23" s="10">
        <v>36.627172000000002</v>
      </c>
      <c r="F23" s="10">
        <v>11.763730000000001</v>
      </c>
      <c r="G23" s="10">
        <v>36.631010000000003</v>
      </c>
      <c r="H23" s="10">
        <v>11.762130000000001</v>
      </c>
      <c r="I23" s="2">
        <v>2.0798611111111111E-2</v>
      </c>
      <c r="J23" s="2">
        <v>9.7222222222222224E-2</v>
      </c>
      <c r="K23" s="2">
        <f t="shared" ref="K23" si="2">J23-I23</f>
        <v>7.6423611111111109E-2</v>
      </c>
      <c r="L23" s="7">
        <v>500</v>
      </c>
      <c r="M23" s="1" t="s">
        <v>85</v>
      </c>
      <c r="N23" s="53" t="s">
        <v>86</v>
      </c>
      <c r="O23" s="53" t="s">
        <v>87</v>
      </c>
      <c r="P23" s="1" t="s">
        <v>29</v>
      </c>
    </row>
    <row r="24" spans="1:16">
      <c r="A24" s="1" t="s">
        <v>16</v>
      </c>
      <c r="B24" s="1" t="s">
        <v>77</v>
      </c>
      <c r="C24" s="20">
        <v>45968</v>
      </c>
      <c r="D24" s="26" t="s">
        <v>88</v>
      </c>
      <c r="E24" s="10">
        <v>36.645816000000003</v>
      </c>
      <c r="F24" s="10">
        <v>11.752602</v>
      </c>
      <c r="G24" s="10">
        <v>36.649090999999999</v>
      </c>
      <c r="H24" s="10">
        <v>11.749337000000001</v>
      </c>
      <c r="I24" s="2">
        <v>0.17222222222222222</v>
      </c>
      <c r="J24" s="2">
        <v>0.23680555555555555</v>
      </c>
      <c r="K24" s="2">
        <f>J24-I24</f>
        <v>6.4583333333333326E-2</v>
      </c>
      <c r="L24" s="7">
        <v>500</v>
      </c>
      <c r="M24" s="1" t="s">
        <v>89</v>
      </c>
      <c r="N24" s="53" t="s">
        <v>90</v>
      </c>
      <c r="P24" s="1" t="s">
        <v>29</v>
      </c>
    </row>
    <row r="25" spans="1:16" ht="30">
      <c r="A25" s="1" t="s">
        <v>16</v>
      </c>
      <c r="B25" s="1" t="s">
        <v>77</v>
      </c>
      <c r="C25" s="20">
        <v>45968</v>
      </c>
      <c r="D25" s="26" t="s">
        <v>91</v>
      </c>
      <c r="E25" s="10">
        <v>36.641518013599999</v>
      </c>
      <c r="F25" s="10">
        <v>11.739201856599999</v>
      </c>
      <c r="G25" s="10">
        <v>36.645438335000001</v>
      </c>
      <c r="H25" s="10">
        <v>11.741995043399999</v>
      </c>
      <c r="I25" s="2">
        <v>0.44939814814814816</v>
      </c>
      <c r="J25" s="2">
        <v>0.54</v>
      </c>
      <c r="K25" s="2">
        <f t="shared" si="0"/>
        <v>9.0601851851851878E-2</v>
      </c>
      <c r="L25" s="7">
        <v>382</v>
      </c>
      <c r="M25" s="1" t="s">
        <v>92</v>
      </c>
      <c r="N25" s="53" t="s">
        <v>93</v>
      </c>
      <c r="O25" s="53" t="s">
        <v>94</v>
      </c>
      <c r="P25" s="1" t="s">
        <v>24</v>
      </c>
    </row>
    <row r="26" spans="1:16" ht="30">
      <c r="A26" s="1" t="s">
        <v>16</v>
      </c>
      <c r="B26" s="1" t="s">
        <v>77</v>
      </c>
      <c r="C26" s="20">
        <v>45968</v>
      </c>
      <c r="D26" s="26" t="s">
        <v>95</v>
      </c>
      <c r="E26" s="10">
        <v>36.653402974199999</v>
      </c>
      <c r="F26" s="10">
        <v>11.7166946573</v>
      </c>
      <c r="G26" s="10">
        <v>36.654632071499996</v>
      </c>
      <c r="H26" s="10">
        <v>11.7223055475</v>
      </c>
      <c r="I26" s="2">
        <v>0.60146990740740736</v>
      </c>
      <c r="J26" s="2">
        <v>0.68197916666666669</v>
      </c>
      <c r="K26" s="2">
        <f t="shared" si="0"/>
        <v>8.0509259259259336E-2</v>
      </c>
      <c r="L26" s="7">
        <v>500</v>
      </c>
      <c r="M26" s="1" t="s">
        <v>96</v>
      </c>
      <c r="N26" s="53" t="s">
        <v>97</v>
      </c>
      <c r="O26" s="53" t="s">
        <v>98</v>
      </c>
      <c r="P26" s="1" t="s">
        <v>24</v>
      </c>
    </row>
    <row r="27" spans="1:16" ht="30">
      <c r="A27" s="1" t="s">
        <v>16</v>
      </c>
      <c r="B27" s="1" t="s">
        <v>77</v>
      </c>
      <c r="C27" s="20">
        <v>45968</v>
      </c>
      <c r="D27" s="26" t="s">
        <v>99</v>
      </c>
      <c r="E27" s="10">
        <v>36.677721591599997</v>
      </c>
      <c r="F27" s="10">
        <v>11.7307159251</v>
      </c>
      <c r="G27" s="10">
        <v>36.681024890000003</v>
      </c>
      <c r="H27" s="10">
        <v>11.73077767</v>
      </c>
      <c r="I27" s="2">
        <v>0.81510416666666663</v>
      </c>
      <c r="J27" s="2">
        <v>0.94071759259259258</v>
      </c>
      <c r="K27" s="2">
        <f>J27-I27</f>
        <v>0.12561342592592595</v>
      </c>
      <c r="L27" s="7">
        <v>500</v>
      </c>
      <c r="M27" s="1" t="s">
        <v>100</v>
      </c>
      <c r="N27" s="53" t="s">
        <v>101</v>
      </c>
      <c r="O27" s="110" t="s">
        <v>102</v>
      </c>
      <c r="P27" s="1" t="s">
        <v>29</v>
      </c>
    </row>
    <row r="28" spans="1:16">
      <c r="A28" s="1" t="s">
        <v>16</v>
      </c>
      <c r="B28" s="1" t="s">
        <v>77</v>
      </c>
      <c r="C28" s="20">
        <v>45969</v>
      </c>
      <c r="D28" s="26" t="s">
        <v>103</v>
      </c>
      <c r="E28" s="10">
        <v>36.704682040000002</v>
      </c>
      <c r="F28" s="10">
        <v>11.742210010000001</v>
      </c>
      <c r="G28" s="10">
        <v>36.706033730000001</v>
      </c>
      <c r="H28" s="10">
        <v>11.736614489999999</v>
      </c>
      <c r="I28" s="2">
        <v>4.553240740740741E-2</v>
      </c>
      <c r="J28" s="2">
        <v>8.6793981481481486E-2</v>
      </c>
      <c r="K28" s="2">
        <f t="shared" si="0"/>
        <v>4.1261574074074076E-2</v>
      </c>
      <c r="L28" s="7">
        <v>500</v>
      </c>
      <c r="M28" s="1" t="s">
        <v>104</v>
      </c>
      <c r="N28" s="53" t="s">
        <v>105</v>
      </c>
      <c r="O28" s="53" t="s">
        <v>106</v>
      </c>
      <c r="P28" s="1" t="s">
        <v>29</v>
      </c>
    </row>
    <row r="29" spans="1:16">
      <c r="A29" s="1" t="s">
        <v>16</v>
      </c>
      <c r="B29" s="1" t="s">
        <v>77</v>
      </c>
      <c r="C29" s="20">
        <v>45969</v>
      </c>
      <c r="D29" s="26" t="s">
        <v>107</v>
      </c>
      <c r="E29" s="10">
        <v>36.705280000000002</v>
      </c>
      <c r="F29" s="10">
        <v>11.72687</v>
      </c>
      <c r="G29" s="10">
        <v>36.70194</v>
      </c>
      <c r="H29" s="10">
        <v>11.727342</v>
      </c>
      <c r="I29" s="2">
        <v>0.16918981481481482</v>
      </c>
      <c r="J29" s="2">
        <v>0.23453703703703704</v>
      </c>
      <c r="K29" s="2">
        <f t="shared" si="0"/>
        <v>6.5347222222222223E-2</v>
      </c>
      <c r="L29" s="7">
        <v>500</v>
      </c>
      <c r="M29" s="1" t="s">
        <v>108</v>
      </c>
      <c r="N29" s="53" t="s">
        <v>109</v>
      </c>
      <c r="P29" s="1" t="s">
        <v>29</v>
      </c>
    </row>
    <row r="30" spans="1:16" ht="30">
      <c r="A30" s="1" t="s">
        <v>16</v>
      </c>
      <c r="B30" s="1" t="s">
        <v>77</v>
      </c>
      <c r="C30" s="20">
        <v>45969</v>
      </c>
      <c r="D30" s="26" t="s">
        <v>110</v>
      </c>
      <c r="E30" s="10">
        <v>36.675469999999997</v>
      </c>
      <c r="F30" s="10">
        <v>11.796507999999999</v>
      </c>
      <c r="G30" s="10">
        <v>36.670586069999999</v>
      </c>
      <c r="H30" s="10">
        <v>11.79754093</v>
      </c>
      <c r="I30" s="2">
        <v>0.34043981481481483</v>
      </c>
      <c r="J30" s="2">
        <v>0.41517361111111112</v>
      </c>
      <c r="K30" s="2">
        <f t="shared" si="0"/>
        <v>7.4733796296296284E-2</v>
      </c>
      <c r="L30" s="7">
        <v>500</v>
      </c>
      <c r="M30" s="1" t="s">
        <v>111</v>
      </c>
      <c r="N30" s="53" t="s">
        <v>112</v>
      </c>
      <c r="O30" s="53" t="s">
        <v>113</v>
      </c>
      <c r="P30" s="1" t="s">
        <v>24</v>
      </c>
    </row>
    <row r="31" spans="1:16">
      <c r="A31" s="1" t="s">
        <v>16</v>
      </c>
      <c r="B31" s="1" t="s">
        <v>77</v>
      </c>
      <c r="C31" s="20">
        <v>45969</v>
      </c>
      <c r="D31" s="26" t="s">
        <v>114</v>
      </c>
      <c r="E31" s="10">
        <v>36.652043382800002</v>
      </c>
      <c r="F31" s="10">
        <v>11.811856713999999</v>
      </c>
      <c r="G31" s="10">
        <v>36.6494526221</v>
      </c>
      <c r="H31" s="10">
        <v>11.8084415297</v>
      </c>
      <c r="I31" s="2">
        <v>0.47027777777777779</v>
      </c>
      <c r="J31" s="2">
        <v>0.51528935185185187</v>
      </c>
      <c r="K31" s="2">
        <f t="shared" si="0"/>
        <v>4.5011574074074079E-2</v>
      </c>
      <c r="L31" s="7">
        <v>410</v>
      </c>
      <c r="M31" s="1" t="s">
        <v>115</v>
      </c>
      <c r="N31" s="53" t="s">
        <v>116</v>
      </c>
      <c r="O31" s="53" t="s">
        <v>117</v>
      </c>
      <c r="P31" s="1" t="s">
        <v>24</v>
      </c>
    </row>
    <row r="32" spans="1:16" ht="30">
      <c r="A32" s="1" t="s">
        <v>16</v>
      </c>
      <c r="B32" s="1" t="s">
        <v>77</v>
      </c>
      <c r="C32" s="20">
        <v>45969</v>
      </c>
      <c r="D32" s="26" t="s">
        <v>118</v>
      </c>
      <c r="E32" s="10">
        <v>36.642577483399997</v>
      </c>
      <c r="F32" s="10">
        <v>11.780887744099999</v>
      </c>
      <c r="G32" s="10">
        <v>36.641819472000002</v>
      </c>
      <c r="H32" s="10">
        <v>11.780095512100001</v>
      </c>
      <c r="I32" s="2">
        <v>0.56370370370370371</v>
      </c>
      <c r="J32" s="2">
        <v>0.60619212962962965</v>
      </c>
      <c r="K32" s="2">
        <f t="shared" si="0"/>
        <v>4.2488425925925943E-2</v>
      </c>
      <c r="L32" s="7">
        <v>110</v>
      </c>
      <c r="M32" s="1" t="s">
        <v>119</v>
      </c>
      <c r="N32" s="53" t="s">
        <v>120</v>
      </c>
      <c r="O32" s="53" t="s">
        <v>121</v>
      </c>
      <c r="P32" s="1" t="s">
        <v>24</v>
      </c>
    </row>
    <row r="33" spans="1:18" s="44" customFormat="1">
      <c r="A33" s="44" t="s">
        <v>16</v>
      </c>
      <c r="B33" s="44" t="s">
        <v>77</v>
      </c>
      <c r="C33" s="45">
        <v>45969</v>
      </c>
      <c r="D33" s="46" t="s">
        <v>122</v>
      </c>
      <c r="E33" s="47">
        <v>36.628221000000003</v>
      </c>
      <c r="F33" s="47">
        <v>11.761808</v>
      </c>
      <c r="G33" s="47">
        <v>36.628245</v>
      </c>
      <c r="H33" s="47">
        <v>11.761773</v>
      </c>
      <c r="I33" s="48">
        <v>0.65170138888888884</v>
      </c>
      <c r="J33" s="48">
        <v>0.68212962962962964</v>
      </c>
      <c r="K33" s="48">
        <f t="shared" si="0"/>
        <v>3.0428240740740797E-2</v>
      </c>
      <c r="L33" s="49"/>
      <c r="M33" s="44">
        <v>284</v>
      </c>
      <c r="N33" s="54"/>
      <c r="O33" s="54" t="s">
        <v>123</v>
      </c>
      <c r="P33" s="44" t="s">
        <v>24</v>
      </c>
    </row>
    <row r="34" spans="1:18">
      <c r="A34" s="1" t="s">
        <v>16</v>
      </c>
      <c r="B34" s="1" t="s">
        <v>124</v>
      </c>
      <c r="C34" s="20">
        <v>45970</v>
      </c>
      <c r="D34" s="26" t="s">
        <v>125</v>
      </c>
      <c r="E34" s="10">
        <v>36.025472000000001</v>
      </c>
      <c r="F34" s="10">
        <v>12.718392</v>
      </c>
      <c r="G34" s="10">
        <v>36.023122000000001</v>
      </c>
      <c r="H34" s="10">
        <v>12.727259</v>
      </c>
      <c r="I34" s="2">
        <v>4.4444444444444446E-2</v>
      </c>
      <c r="J34" s="2">
        <v>0.10972222222222222</v>
      </c>
      <c r="K34" s="2">
        <f t="shared" si="0"/>
        <v>6.5277777777777768E-2</v>
      </c>
      <c r="L34" s="7">
        <v>850</v>
      </c>
      <c r="M34" s="1" t="s">
        <v>126</v>
      </c>
      <c r="N34" s="53" t="s">
        <v>127</v>
      </c>
      <c r="O34" s="53" t="s">
        <v>128</v>
      </c>
      <c r="P34" s="1" t="s">
        <v>29</v>
      </c>
    </row>
    <row r="35" spans="1:18">
      <c r="A35" s="1" t="s">
        <v>16</v>
      </c>
      <c r="B35" s="1" t="s">
        <v>124</v>
      </c>
      <c r="C35" s="20">
        <v>45970</v>
      </c>
      <c r="D35" s="26" t="s">
        <v>129</v>
      </c>
      <c r="E35" s="10">
        <v>36.026968636699998</v>
      </c>
      <c r="F35" s="10">
        <v>12.736678513399999</v>
      </c>
      <c r="G35" s="10">
        <v>36.028677000000002</v>
      </c>
      <c r="H35" s="10">
        <v>12.745051999999999</v>
      </c>
      <c r="I35" s="2">
        <v>0.16458333333333333</v>
      </c>
      <c r="J35" s="2">
        <v>0.21249999999999999</v>
      </c>
      <c r="K35" s="2">
        <f t="shared" si="0"/>
        <v>4.7916666666666663E-2</v>
      </c>
      <c r="L35" s="7">
        <v>800</v>
      </c>
      <c r="M35" s="1" t="s">
        <v>130</v>
      </c>
      <c r="N35" s="53" t="s">
        <v>131</v>
      </c>
      <c r="O35" s="53" t="s">
        <v>28</v>
      </c>
      <c r="P35" s="1" t="s">
        <v>29</v>
      </c>
    </row>
    <row r="36" spans="1:18" ht="30">
      <c r="A36" s="1" t="s">
        <v>16</v>
      </c>
      <c r="B36" s="1" t="s">
        <v>124</v>
      </c>
      <c r="C36" s="20">
        <v>45970</v>
      </c>
      <c r="D36" s="26" t="s">
        <v>132</v>
      </c>
      <c r="E36" s="10">
        <v>36.043179250000001</v>
      </c>
      <c r="F36" s="10">
        <v>12.77555021</v>
      </c>
      <c r="G36" s="10">
        <v>36.040461329999999</v>
      </c>
      <c r="H36" s="10">
        <v>12.77198183</v>
      </c>
      <c r="I36" s="2">
        <v>0.3928935185185185</v>
      </c>
      <c r="J36" s="2">
        <v>0.4244560185185185</v>
      </c>
      <c r="K36" s="2">
        <f>J36-I40</f>
        <v>0.4032175925925926</v>
      </c>
      <c r="L36" s="7">
        <v>420</v>
      </c>
      <c r="M36" s="1" t="s">
        <v>133</v>
      </c>
      <c r="N36" s="53" t="s">
        <v>134</v>
      </c>
      <c r="O36" s="53" t="s">
        <v>135</v>
      </c>
      <c r="P36" s="1" t="s">
        <v>24</v>
      </c>
    </row>
    <row r="37" spans="1:18">
      <c r="A37" s="1" t="s">
        <v>16</v>
      </c>
      <c r="B37" s="1" t="s">
        <v>124</v>
      </c>
      <c r="C37" s="20">
        <v>45970</v>
      </c>
      <c r="D37" s="26" t="s">
        <v>136</v>
      </c>
      <c r="E37" s="10">
        <v>36.040463534200001</v>
      </c>
      <c r="F37" s="10">
        <v>12.771986071800001</v>
      </c>
      <c r="G37" s="10">
        <v>36.041807461399998</v>
      </c>
      <c r="H37" s="10">
        <v>12.764248484499999</v>
      </c>
      <c r="I37" s="2">
        <v>0.4244560185185185</v>
      </c>
      <c r="J37" s="2">
        <v>0.48304398148148148</v>
      </c>
      <c r="K37" s="2">
        <f t="shared" si="0"/>
        <v>5.8587962962962981E-2</v>
      </c>
      <c r="L37" s="7">
        <v>700</v>
      </c>
      <c r="M37" s="1" t="s">
        <v>137</v>
      </c>
      <c r="N37" s="53" t="s">
        <v>134</v>
      </c>
      <c r="O37" s="53" t="s">
        <v>138</v>
      </c>
      <c r="P37" s="1" t="s">
        <v>24</v>
      </c>
    </row>
    <row r="38" spans="1:18">
      <c r="A38" s="1" t="s">
        <v>16</v>
      </c>
      <c r="B38" s="1" t="s">
        <v>124</v>
      </c>
      <c r="C38" s="20">
        <v>45970</v>
      </c>
      <c r="D38" s="26" t="s">
        <v>139</v>
      </c>
      <c r="E38" s="10">
        <v>36.038704439999997</v>
      </c>
      <c r="F38" s="10">
        <v>12.783869960000001</v>
      </c>
      <c r="G38" s="10">
        <v>36.036611720000003</v>
      </c>
      <c r="H38" s="10">
        <v>12.778757949999999</v>
      </c>
      <c r="I38" s="2">
        <v>0.55748842592592596</v>
      </c>
      <c r="J38" s="2">
        <v>0.61633101851851857</v>
      </c>
      <c r="K38" s="2">
        <f t="shared" si="0"/>
        <v>5.8842592592592613E-2</v>
      </c>
      <c r="L38" s="7">
        <v>510</v>
      </c>
      <c r="M38" s="1" t="s">
        <v>140</v>
      </c>
      <c r="N38" s="53" t="s">
        <v>141</v>
      </c>
      <c r="O38" s="53" t="s">
        <v>142</v>
      </c>
      <c r="P38" s="1" t="s">
        <v>24</v>
      </c>
    </row>
    <row r="39" spans="1:18">
      <c r="A39" s="1" t="s">
        <v>16</v>
      </c>
      <c r="B39" s="1" t="s">
        <v>124</v>
      </c>
      <c r="C39" s="20">
        <v>45970</v>
      </c>
      <c r="D39" s="26" t="s">
        <v>143</v>
      </c>
      <c r="E39" s="10">
        <v>36.055369977600002</v>
      </c>
      <c r="F39" s="10">
        <v>12.789643135</v>
      </c>
      <c r="G39" s="10">
        <v>36.062534999999997</v>
      </c>
      <c r="H39" s="10">
        <v>12.782493000000001</v>
      </c>
      <c r="I39" s="2">
        <v>0.70208333333333328</v>
      </c>
      <c r="J39" s="2">
        <v>0.8538310185185185</v>
      </c>
      <c r="K39" s="2">
        <f t="shared" si="0"/>
        <v>0.15174768518518522</v>
      </c>
      <c r="L39" s="7">
        <v>1500</v>
      </c>
      <c r="M39" s="1" t="s">
        <v>144</v>
      </c>
      <c r="N39" s="53" t="s">
        <v>145</v>
      </c>
      <c r="O39" s="53" t="s">
        <v>146</v>
      </c>
      <c r="P39" s="1" t="s">
        <v>29</v>
      </c>
    </row>
    <row r="40" spans="1:18">
      <c r="A40" s="1" t="s">
        <v>16</v>
      </c>
      <c r="B40" s="1" t="s">
        <v>147</v>
      </c>
      <c r="C40" s="20">
        <v>45971</v>
      </c>
      <c r="D40" s="26" t="s">
        <v>148</v>
      </c>
      <c r="E40" s="10">
        <v>36.070199780000003</v>
      </c>
      <c r="F40" s="10">
        <v>13.00101211</v>
      </c>
      <c r="G40" s="10">
        <v>36.074765999999997</v>
      </c>
      <c r="H40" s="10">
        <v>13.00263</v>
      </c>
      <c r="I40" s="2">
        <v>2.1238425925925924E-2</v>
      </c>
      <c r="J40" s="2">
        <v>8.7499999999999994E-2</v>
      </c>
      <c r="K40" s="2">
        <f t="shared" si="0"/>
        <v>6.626157407407407E-2</v>
      </c>
      <c r="L40" s="7">
        <v>526</v>
      </c>
      <c r="M40" s="1" t="s">
        <v>149</v>
      </c>
      <c r="N40" s="53" t="s">
        <v>150</v>
      </c>
      <c r="O40" s="53" t="s">
        <v>151</v>
      </c>
      <c r="P40" s="1" t="s">
        <v>29</v>
      </c>
    </row>
    <row r="41" spans="1:18">
      <c r="A41" s="1" t="s">
        <v>16</v>
      </c>
      <c r="B41" s="1" t="s">
        <v>147</v>
      </c>
      <c r="C41" s="20">
        <v>45971</v>
      </c>
      <c r="D41" s="26" t="s">
        <v>152</v>
      </c>
      <c r="E41" s="10">
        <v>36.068914999999997</v>
      </c>
      <c r="F41" s="10">
        <v>13.014716999999999</v>
      </c>
      <c r="G41" s="10">
        <v>36.077148999999999</v>
      </c>
      <c r="H41" s="10">
        <v>13.019847</v>
      </c>
      <c r="I41" s="2">
        <v>0.16180555555555556</v>
      </c>
      <c r="J41" s="2">
        <v>0.23958333333333334</v>
      </c>
      <c r="K41" s="2">
        <f t="shared" si="0"/>
        <v>7.7777777777777779E-2</v>
      </c>
      <c r="L41" s="7">
        <v>1020</v>
      </c>
      <c r="M41" s="1" t="s">
        <v>153</v>
      </c>
      <c r="N41" s="53" t="s">
        <v>154</v>
      </c>
      <c r="O41" s="53" t="s">
        <v>155</v>
      </c>
      <c r="P41" s="1" t="s">
        <v>29</v>
      </c>
    </row>
    <row r="42" spans="1:18" ht="30">
      <c r="A42" s="1" t="s">
        <v>16</v>
      </c>
      <c r="B42" s="1" t="s">
        <v>147</v>
      </c>
      <c r="C42" s="20">
        <v>45971</v>
      </c>
      <c r="D42" s="26" t="s">
        <v>156</v>
      </c>
      <c r="E42" s="10">
        <v>36.069083509999999</v>
      </c>
      <c r="F42" s="10">
        <v>13.026140809999999</v>
      </c>
      <c r="G42" s="10">
        <v>36.074352310000002</v>
      </c>
      <c r="H42" s="10">
        <v>13.02046095</v>
      </c>
      <c r="I42" s="2">
        <v>0.30086805555555557</v>
      </c>
      <c r="J42" s="2">
        <v>0.45449074074074075</v>
      </c>
      <c r="K42" s="2">
        <f t="shared" si="0"/>
        <v>0.15362268518518518</v>
      </c>
      <c r="L42" s="7">
        <v>780</v>
      </c>
      <c r="M42" s="1" t="s">
        <v>157</v>
      </c>
      <c r="N42" s="53" t="s">
        <v>158</v>
      </c>
      <c r="O42" s="53" t="s">
        <v>159</v>
      </c>
      <c r="P42" s="1" t="s">
        <v>24</v>
      </c>
    </row>
    <row r="43" spans="1:18" ht="30">
      <c r="A43" s="1" t="s">
        <v>16</v>
      </c>
      <c r="B43" s="1" t="s">
        <v>147</v>
      </c>
      <c r="C43" s="20">
        <v>45971</v>
      </c>
      <c r="D43" s="26" t="s">
        <v>160</v>
      </c>
      <c r="E43" s="10">
        <v>36.081682069999999</v>
      </c>
      <c r="F43" s="10">
        <v>13.036941629999999</v>
      </c>
      <c r="G43" s="10">
        <v>36.07885967</v>
      </c>
      <c r="H43" s="10">
        <v>13.04184942</v>
      </c>
      <c r="I43" s="2">
        <v>0.55815972222222221</v>
      </c>
      <c r="J43" s="2">
        <v>0.65509259259259256</v>
      </c>
      <c r="K43" s="2">
        <f t="shared" si="0"/>
        <v>9.693287037037035E-2</v>
      </c>
      <c r="L43" s="7">
        <v>680</v>
      </c>
      <c r="M43" s="1" t="s">
        <v>161</v>
      </c>
      <c r="N43" s="53" t="s">
        <v>162</v>
      </c>
      <c r="O43" s="53" t="s">
        <v>163</v>
      </c>
      <c r="P43" s="1" t="s">
        <v>24</v>
      </c>
    </row>
    <row r="44" spans="1:18">
      <c r="A44" s="1" t="s">
        <v>16</v>
      </c>
      <c r="B44" s="1" t="s">
        <v>147</v>
      </c>
      <c r="C44" s="20">
        <v>45971</v>
      </c>
      <c r="D44" s="26" t="s">
        <v>164</v>
      </c>
      <c r="E44" s="10">
        <v>36.079499730000002</v>
      </c>
      <c r="F44" s="10">
        <v>13.060192020000001</v>
      </c>
      <c r="G44" s="10">
        <v>36.076658000000002</v>
      </c>
      <c r="H44" s="10">
        <v>13.058899</v>
      </c>
      <c r="I44" s="2">
        <v>0.74210648148148151</v>
      </c>
      <c r="J44" s="2">
        <v>0.8041666666666667</v>
      </c>
      <c r="K44" s="2">
        <f t="shared" si="0"/>
        <v>6.206018518518519E-2</v>
      </c>
      <c r="L44" s="7">
        <v>520</v>
      </c>
      <c r="M44" s="1" t="s">
        <v>165</v>
      </c>
      <c r="N44" s="53" t="s">
        <v>166</v>
      </c>
      <c r="O44" s="53" t="s">
        <v>167</v>
      </c>
      <c r="P44" s="1" t="s">
        <v>29</v>
      </c>
    </row>
    <row r="45" spans="1:18">
      <c r="A45" s="1" t="s">
        <v>16</v>
      </c>
      <c r="B45" s="1" t="s">
        <v>147</v>
      </c>
      <c r="C45" s="20">
        <v>45971</v>
      </c>
      <c r="D45" s="26" t="s">
        <v>168</v>
      </c>
      <c r="E45" s="10">
        <v>36.057740000000003</v>
      </c>
      <c r="F45" s="10">
        <v>13.065685</v>
      </c>
      <c r="G45" s="10">
        <v>36.060487000000002</v>
      </c>
      <c r="H45" s="10">
        <v>13.061196000000001</v>
      </c>
      <c r="I45" s="2">
        <v>0.87430555555555556</v>
      </c>
      <c r="J45" s="2">
        <v>0.94722222222222219</v>
      </c>
      <c r="K45" s="2">
        <f t="shared" si="0"/>
        <v>7.291666666666663E-2</v>
      </c>
      <c r="L45" s="7">
        <v>508</v>
      </c>
      <c r="M45" s="1" t="s">
        <v>169</v>
      </c>
      <c r="N45" s="53" t="s">
        <v>170</v>
      </c>
      <c r="O45" s="53" t="s">
        <v>171</v>
      </c>
      <c r="P45" s="1" t="s">
        <v>29</v>
      </c>
    </row>
    <row r="46" spans="1:18">
      <c r="A46" s="1" t="s">
        <v>16</v>
      </c>
      <c r="B46" s="1" t="s">
        <v>147</v>
      </c>
      <c r="C46" s="20">
        <v>45972</v>
      </c>
      <c r="D46" s="26" t="s">
        <v>172</v>
      </c>
      <c r="E46" s="10">
        <v>36.050948288400001</v>
      </c>
      <c r="F46" s="10">
        <v>13.068212104400001</v>
      </c>
      <c r="G46" s="10">
        <v>36.048870999999998</v>
      </c>
      <c r="H46" s="10">
        <v>13.060154000000001</v>
      </c>
      <c r="I46" s="2">
        <v>4.9305555555555554E-2</v>
      </c>
      <c r="J46" s="2">
        <v>0.11597222222222223</v>
      </c>
      <c r="K46" s="2">
        <f t="shared" si="0"/>
        <v>6.666666666666668E-2</v>
      </c>
      <c r="L46" s="7">
        <v>820</v>
      </c>
      <c r="M46" s="1" t="s">
        <v>173</v>
      </c>
      <c r="N46" s="53" t="s">
        <v>174</v>
      </c>
      <c r="O46" s="53" t="s">
        <v>175</v>
      </c>
      <c r="P46" s="1" t="s">
        <v>29</v>
      </c>
    </row>
    <row r="47" spans="1:18" s="27" customFormat="1">
      <c r="A47" s="27" t="s">
        <v>16</v>
      </c>
      <c r="B47" s="27" t="s">
        <v>147</v>
      </c>
      <c r="C47" s="40">
        <v>45972</v>
      </c>
      <c r="D47" s="27" t="s">
        <v>176</v>
      </c>
      <c r="E47" s="41"/>
      <c r="F47" s="41"/>
      <c r="G47" s="41"/>
      <c r="H47" s="41"/>
      <c r="I47" s="42">
        <v>0.18462962962962962</v>
      </c>
      <c r="J47" s="42">
        <v>0.22958333333333333</v>
      </c>
      <c r="K47" s="42">
        <f>J47-I47</f>
        <v>4.4953703703703718E-2</v>
      </c>
      <c r="L47" s="43"/>
      <c r="N47" s="59"/>
      <c r="O47" s="121" t="s">
        <v>177</v>
      </c>
      <c r="P47" s="27" t="s">
        <v>29</v>
      </c>
      <c r="Q47" s="60"/>
      <c r="R47" s="60"/>
    </row>
    <row r="48" spans="1:18" ht="30">
      <c r="A48" s="1" t="s">
        <v>16</v>
      </c>
      <c r="B48" s="1" t="s">
        <v>147</v>
      </c>
      <c r="C48" s="20">
        <v>45972</v>
      </c>
      <c r="D48" s="26" t="s">
        <v>176</v>
      </c>
      <c r="E48" s="10">
        <v>36.041735000000003</v>
      </c>
      <c r="F48" s="10">
        <v>13.066084999999999</v>
      </c>
      <c r="G48" s="10">
        <v>36.046280000000003</v>
      </c>
      <c r="H48" s="10">
        <v>13.062749</v>
      </c>
      <c r="I48" s="2">
        <v>0.24864583333333334</v>
      </c>
      <c r="J48" s="2">
        <v>0.35055555555555556</v>
      </c>
      <c r="K48" s="2">
        <f t="shared" si="0"/>
        <v>0.10190972222222222</v>
      </c>
      <c r="L48" s="7">
        <v>660</v>
      </c>
      <c r="M48" s="1" t="s">
        <v>178</v>
      </c>
      <c r="N48" s="53" t="s">
        <v>179</v>
      </c>
      <c r="O48" s="53" t="s">
        <v>180</v>
      </c>
      <c r="P48" s="1" t="s">
        <v>24</v>
      </c>
    </row>
    <row r="49" spans="1:16" s="64" customFormat="1" ht="30">
      <c r="A49" s="64" t="s">
        <v>16</v>
      </c>
      <c r="B49" s="64" t="s">
        <v>147</v>
      </c>
      <c r="C49" s="65">
        <v>45972</v>
      </c>
      <c r="D49" s="64" t="s">
        <v>181</v>
      </c>
      <c r="E49" s="67"/>
      <c r="F49" s="67"/>
      <c r="G49" s="67"/>
      <c r="H49" s="67"/>
      <c r="I49" s="68">
        <v>0.38368055555555558</v>
      </c>
      <c r="J49" s="68">
        <v>0.40416666666666667</v>
      </c>
      <c r="K49" s="68">
        <f t="shared" si="0"/>
        <v>2.0486111111111094E-2</v>
      </c>
      <c r="L49" s="69"/>
      <c r="N49" s="70" t="s">
        <v>182</v>
      </c>
      <c r="O49" s="70" t="s">
        <v>183</v>
      </c>
      <c r="P49" s="64" t="s">
        <v>24</v>
      </c>
    </row>
    <row r="50" spans="1:16">
      <c r="A50" s="1" t="s">
        <v>16</v>
      </c>
      <c r="B50" s="1" t="s">
        <v>147</v>
      </c>
      <c r="C50" s="20">
        <v>45972</v>
      </c>
      <c r="D50" s="26" t="s">
        <v>184</v>
      </c>
      <c r="E50" s="10">
        <v>36.054810000000003</v>
      </c>
      <c r="F50" s="10">
        <v>13.039788</v>
      </c>
      <c r="G50" s="179">
        <v>36.0516091832</v>
      </c>
      <c r="H50" s="179">
        <v>13.041960918319999</v>
      </c>
      <c r="I50" s="2">
        <v>0.46975694444444444</v>
      </c>
      <c r="J50" s="2">
        <v>0.53629629629629627</v>
      </c>
      <c r="K50" s="2">
        <f t="shared" si="0"/>
        <v>6.6539351851851836E-2</v>
      </c>
      <c r="L50" s="7">
        <v>400</v>
      </c>
      <c r="M50" s="1" t="s">
        <v>185</v>
      </c>
      <c r="N50" s="53" t="s">
        <v>186</v>
      </c>
      <c r="O50" s="53" t="s">
        <v>187</v>
      </c>
      <c r="P50" s="1" t="s">
        <v>24</v>
      </c>
    </row>
    <row r="51" spans="1:16">
      <c r="A51" s="1" t="s">
        <v>16</v>
      </c>
      <c r="B51" s="1" t="s">
        <v>147</v>
      </c>
      <c r="C51" s="20">
        <v>45972</v>
      </c>
      <c r="D51" s="26" t="s">
        <v>188</v>
      </c>
      <c r="E51" s="10">
        <v>36.037241000000002</v>
      </c>
      <c r="F51" s="10">
        <v>13.078837</v>
      </c>
      <c r="G51" s="10">
        <v>36.040609303899998</v>
      </c>
      <c r="H51" s="10">
        <v>13.0767234406</v>
      </c>
      <c r="I51" s="2">
        <v>0.61398148148148146</v>
      </c>
      <c r="J51" s="2">
        <v>0.67896990740740737</v>
      </c>
      <c r="K51" s="2">
        <f t="shared" si="0"/>
        <v>6.4988425925925908E-2</v>
      </c>
      <c r="L51" s="7">
        <v>450</v>
      </c>
      <c r="M51" s="1" t="s">
        <v>189</v>
      </c>
      <c r="N51" s="53" t="s">
        <v>190</v>
      </c>
      <c r="O51" s="53" t="s">
        <v>191</v>
      </c>
      <c r="P51" s="1" t="s">
        <v>24</v>
      </c>
    </row>
    <row r="52" spans="1:16">
      <c r="A52" s="1" t="s">
        <v>16</v>
      </c>
      <c r="B52" s="1" t="s">
        <v>147</v>
      </c>
      <c r="C52" s="20">
        <v>45972</v>
      </c>
      <c r="D52" s="26" t="s">
        <v>192</v>
      </c>
      <c r="E52" s="10">
        <v>36.109549999999999</v>
      </c>
      <c r="F52" s="10">
        <v>13.037037</v>
      </c>
      <c r="G52" s="10">
        <v>36.104818999999999</v>
      </c>
      <c r="H52" s="10">
        <v>13.037288999999999</v>
      </c>
      <c r="I52" s="2">
        <v>0.76875000000000004</v>
      </c>
      <c r="J52" s="2">
        <v>0.8208333333333333</v>
      </c>
      <c r="K52" s="2">
        <f t="shared" si="0"/>
        <v>5.2083333333333259E-2</v>
      </c>
      <c r="L52" s="7">
        <v>515</v>
      </c>
      <c r="M52" s="1" t="s">
        <v>193</v>
      </c>
      <c r="N52" s="53" t="s">
        <v>194</v>
      </c>
      <c r="O52" s="53" t="s">
        <v>195</v>
      </c>
      <c r="P52" s="1" t="s">
        <v>29</v>
      </c>
    </row>
    <row r="53" spans="1:16">
      <c r="A53" s="1" t="s">
        <v>16</v>
      </c>
      <c r="B53" s="1" t="s">
        <v>147</v>
      </c>
      <c r="C53" s="20">
        <v>45972</v>
      </c>
      <c r="D53" s="26" t="s">
        <v>196</v>
      </c>
      <c r="E53" s="10">
        <v>36.184096755699997</v>
      </c>
      <c r="F53" s="10">
        <v>12.991006881100001</v>
      </c>
      <c r="G53" s="10">
        <v>36.180157000000001</v>
      </c>
      <c r="H53" s="10">
        <v>12.987916999999999</v>
      </c>
      <c r="I53" s="2">
        <v>0.97013888888888888</v>
      </c>
      <c r="J53" s="2">
        <v>1.6666666666666666E-2</v>
      </c>
      <c r="K53" s="2">
        <v>4.6527777777777779E-2</v>
      </c>
      <c r="L53" s="7">
        <v>500</v>
      </c>
      <c r="M53" s="1" t="s">
        <v>197</v>
      </c>
      <c r="N53" s="53" t="s">
        <v>198</v>
      </c>
      <c r="O53" s="53" t="s">
        <v>199</v>
      </c>
      <c r="P53" s="1" t="s">
        <v>29</v>
      </c>
    </row>
    <row r="54" spans="1:16">
      <c r="A54" s="1" t="s">
        <v>16</v>
      </c>
      <c r="B54" s="1" t="s">
        <v>147</v>
      </c>
      <c r="C54" s="20">
        <v>45973</v>
      </c>
      <c r="D54" s="26" t="s">
        <v>200</v>
      </c>
      <c r="E54" s="10">
        <v>36.180461097200002</v>
      </c>
      <c r="F54" s="10">
        <v>12.996651248399999</v>
      </c>
      <c r="G54" s="10">
        <v>36.176536350100001</v>
      </c>
      <c r="H54" s="10">
        <v>12.995060541899999</v>
      </c>
      <c r="I54" s="2">
        <v>45972.970279861111</v>
      </c>
      <c r="J54" s="2">
        <v>45973.138485185184</v>
      </c>
      <c r="K54" s="2">
        <f t="shared" ref="K54" si="3">J54-I54</f>
        <v>0.16820532407291466</v>
      </c>
      <c r="L54" s="7">
        <v>630</v>
      </c>
      <c r="M54" s="1" t="s">
        <v>201</v>
      </c>
      <c r="N54" s="53" t="s">
        <v>202</v>
      </c>
      <c r="O54" s="53" t="s">
        <v>203</v>
      </c>
      <c r="P54" s="1" t="s">
        <v>29</v>
      </c>
    </row>
    <row r="55" spans="1:16" s="64" customFormat="1" ht="30">
      <c r="A55" s="64" t="s">
        <v>16</v>
      </c>
      <c r="B55" s="64" t="s">
        <v>147</v>
      </c>
      <c r="C55" s="65">
        <v>45973</v>
      </c>
      <c r="D55" s="66" t="s">
        <v>204</v>
      </c>
      <c r="E55" s="67"/>
      <c r="F55" s="67"/>
      <c r="G55" s="67"/>
      <c r="H55" s="67"/>
      <c r="I55" s="68">
        <v>0.15972222222222221</v>
      </c>
      <c r="J55" s="68">
        <v>0.2048611111111111</v>
      </c>
      <c r="K55" s="68">
        <f>J55-I55</f>
        <v>4.5138888888888895E-2</v>
      </c>
      <c r="N55" s="70"/>
      <c r="O55" s="70" t="s">
        <v>205</v>
      </c>
      <c r="P55" s="64" t="s">
        <v>29</v>
      </c>
    </row>
    <row r="56" spans="1:16">
      <c r="A56" s="1" t="s">
        <v>16</v>
      </c>
      <c r="B56" s="1" t="s">
        <v>147</v>
      </c>
      <c r="C56" s="20">
        <v>45973</v>
      </c>
      <c r="D56" s="26" t="s">
        <v>206</v>
      </c>
      <c r="E56" s="10">
        <v>36.199489999999997</v>
      </c>
      <c r="F56" s="10">
        <v>13.073695000000001</v>
      </c>
      <c r="G56" s="10">
        <v>36.2043182341</v>
      </c>
      <c r="H56" s="10">
        <v>13.075343416799999</v>
      </c>
      <c r="I56" s="2">
        <v>0.29994212962962963</v>
      </c>
      <c r="J56" s="2">
        <v>45973.350588310183</v>
      </c>
      <c r="K56" s="2">
        <f t="shared" si="0"/>
        <v>45973.050646180556</v>
      </c>
      <c r="L56" s="7">
        <v>530</v>
      </c>
      <c r="M56" s="1" t="s">
        <v>207</v>
      </c>
      <c r="N56" s="53" t="s">
        <v>208</v>
      </c>
      <c r="O56" s="53" t="s">
        <v>209</v>
      </c>
      <c r="P56" s="1" t="s">
        <v>24</v>
      </c>
    </row>
    <row r="57" spans="1:16" ht="30">
      <c r="A57" s="1" t="s">
        <v>16</v>
      </c>
      <c r="B57" s="1" t="s">
        <v>210</v>
      </c>
      <c r="C57" s="20">
        <v>45973</v>
      </c>
      <c r="D57" s="26" t="s">
        <v>211</v>
      </c>
      <c r="K57" s="2">
        <f t="shared" si="0"/>
        <v>0</v>
      </c>
      <c r="O57" s="53" t="s">
        <v>212</v>
      </c>
      <c r="P57" s="1" t="s">
        <v>24</v>
      </c>
    </row>
    <row r="58" spans="1:16">
      <c r="A58" s="1" t="s">
        <v>213</v>
      </c>
      <c r="B58" s="1" t="s">
        <v>214</v>
      </c>
      <c r="C58" s="20">
        <v>45975</v>
      </c>
      <c r="D58" s="26" t="s">
        <v>215</v>
      </c>
      <c r="E58" s="10">
        <v>38.554600000000001</v>
      </c>
      <c r="F58" s="10">
        <v>12.267950000000001</v>
      </c>
      <c r="G58" s="10">
        <v>38.568129999999996</v>
      </c>
      <c r="H58" s="10">
        <v>12.25773</v>
      </c>
      <c r="I58" s="2">
        <v>45975.001860416669</v>
      </c>
      <c r="J58" s="2">
        <v>45975.117549537033</v>
      </c>
      <c r="K58" s="2">
        <f t="shared" si="0"/>
        <v>0.11568912036455004</v>
      </c>
      <c r="L58" s="7">
        <v>2000</v>
      </c>
      <c r="M58" s="1" t="s">
        <v>216</v>
      </c>
      <c r="N58" s="53" t="s">
        <v>217</v>
      </c>
      <c r="O58" s="53" t="s">
        <v>218</v>
      </c>
      <c r="P58" s="1" t="s">
        <v>219</v>
      </c>
    </row>
    <row r="59" spans="1:16" ht="30">
      <c r="A59" s="1" t="s">
        <v>213</v>
      </c>
      <c r="B59" s="1" t="s">
        <v>214</v>
      </c>
      <c r="C59" s="20">
        <v>45975</v>
      </c>
      <c r="D59" s="26" t="s">
        <v>220</v>
      </c>
      <c r="E59" s="10">
        <v>38.578440000000001</v>
      </c>
      <c r="F59" s="10">
        <v>12.287280000000001</v>
      </c>
      <c r="G59" s="10">
        <v>38.595179999999999</v>
      </c>
      <c r="H59" s="10">
        <v>12.278180000000001</v>
      </c>
      <c r="I59" s="2">
        <v>45975.244854629629</v>
      </c>
      <c r="J59" s="2">
        <v>45975.359819675927</v>
      </c>
      <c r="K59" s="2">
        <f t="shared" si="0"/>
        <v>0.11496504629758419</v>
      </c>
      <c r="L59" s="7">
        <v>1850</v>
      </c>
      <c r="M59" s="1" t="s">
        <v>221</v>
      </c>
      <c r="N59" s="53" t="s">
        <v>222</v>
      </c>
      <c r="O59" s="53" t="s">
        <v>223</v>
      </c>
      <c r="P59" s="1" t="s">
        <v>224</v>
      </c>
    </row>
    <row r="60" spans="1:16" ht="30">
      <c r="A60" s="1" t="s">
        <v>213</v>
      </c>
      <c r="B60" s="1" t="s">
        <v>214</v>
      </c>
      <c r="C60" s="20">
        <v>45975</v>
      </c>
      <c r="D60" s="26" t="s">
        <v>225</v>
      </c>
      <c r="E60" s="10">
        <v>38.601410000000001</v>
      </c>
      <c r="F60" s="10">
        <v>12.269909999999999</v>
      </c>
      <c r="G60" s="10">
        <v>38.608899999999998</v>
      </c>
      <c r="H60" s="10">
        <v>12.260260000000001</v>
      </c>
      <c r="I60" s="2">
        <v>45975.484614120367</v>
      </c>
      <c r="J60" s="2">
        <v>45975.55458171296</v>
      </c>
      <c r="K60" s="2">
        <f t="shared" si="0"/>
        <v>6.9967592593457084E-2</v>
      </c>
      <c r="L60" s="7">
        <v>1200</v>
      </c>
      <c r="M60" s="1" t="s">
        <v>226</v>
      </c>
      <c r="N60" s="53" t="s">
        <v>227</v>
      </c>
      <c r="O60" s="53" t="s">
        <v>228</v>
      </c>
      <c r="P60" s="1" t="s">
        <v>224</v>
      </c>
    </row>
    <row r="61" spans="1:16">
      <c r="A61" s="1" t="s">
        <v>213</v>
      </c>
      <c r="B61" s="1" t="s">
        <v>214</v>
      </c>
      <c r="C61" s="20">
        <v>45975</v>
      </c>
      <c r="D61" s="26" t="s">
        <v>229</v>
      </c>
      <c r="E61" s="10">
        <v>38.599989999999998</v>
      </c>
      <c r="F61" s="10">
        <v>12.23687</v>
      </c>
      <c r="G61" s="10">
        <v>38.609349999999999</v>
      </c>
      <c r="H61" s="10">
        <v>12.23394</v>
      </c>
      <c r="I61" s="2">
        <v>45975.625397337964</v>
      </c>
      <c r="J61" s="2">
        <v>45975.740418518515</v>
      </c>
      <c r="K61" s="2">
        <f t="shared" si="0"/>
        <v>0.11502118055068422</v>
      </c>
      <c r="L61" s="7">
        <v>1068</v>
      </c>
      <c r="M61" s="1" t="s">
        <v>230</v>
      </c>
      <c r="N61" s="53" t="s">
        <v>231</v>
      </c>
      <c r="O61" s="53" t="s">
        <v>232</v>
      </c>
      <c r="P61" s="1" t="s">
        <v>224</v>
      </c>
    </row>
    <row r="62" spans="1:16">
      <c r="A62" s="1" t="s">
        <v>213</v>
      </c>
      <c r="B62" s="1" t="s">
        <v>214</v>
      </c>
      <c r="C62" s="20">
        <v>45975</v>
      </c>
      <c r="D62" s="26" t="s">
        <v>233</v>
      </c>
      <c r="E62" s="10">
        <v>38.609020000000001</v>
      </c>
      <c r="F62" s="10">
        <v>12.19997</v>
      </c>
      <c r="G62" s="10">
        <v>38.604379999999999</v>
      </c>
      <c r="H62" s="10">
        <v>12.20044</v>
      </c>
      <c r="I62" s="2">
        <v>45975.822518749999</v>
      </c>
      <c r="J62" s="2">
        <v>45975.909176273148</v>
      </c>
      <c r="K62" s="56">
        <f t="shared" ref="K62" ca="1" si="4">IF(L62&lt;&gt;0,IF(K62=0,NOW(),K62),)</f>
        <v>45976.255534722222</v>
      </c>
      <c r="L62" s="7">
        <v>500</v>
      </c>
      <c r="M62" s="1" t="s">
        <v>234</v>
      </c>
      <c r="N62" s="53" t="s">
        <v>235</v>
      </c>
      <c r="O62" s="53" t="s">
        <v>236</v>
      </c>
      <c r="P62" s="1" t="s">
        <v>219</v>
      </c>
    </row>
    <row r="63" spans="1:16">
      <c r="A63" s="1" t="s">
        <v>213</v>
      </c>
      <c r="B63" s="1" t="s">
        <v>214</v>
      </c>
      <c r="C63" s="20">
        <v>45976</v>
      </c>
      <c r="D63" s="26" t="s">
        <v>237</v>
      </c>
      <c r="E63" s="10">
        <v>38.589669999999998</v>
      </c>
      <c r="F63" s="10">
        <v>12.206759999999999</v>
      </c>
      <c r="G63" s="10">
        <v>38.586199999999998</v>
      </c>
      <c r="H63" s="10">
        <v>12.20185</v>
      </c>
      <c r="I63" s="2">
        <v>45975.99550636574</v>
      </c>
      <c r="J63" s="2">
        <v>45976.02351550926</v>
      </c>
      <c r="K63" s="2">
        <f t="shared" si="0"/>
        <v>2.8009143519739155E-2</v>
      </c>
      <c r="L63" s="7">
        <v>559</v>
      </c>
      <c r="M63" s="1" t="s">
        <v>238</v>
      </c>
      <c r="N63" s="53" t="s">
        <v>239</v>
      </c>
      <c r="O63" s="53" t="s">
        <v>240</v>
      </c>
      <c r="P63" s="1" t="s">
        <v>219</v>
      </c>
    </row>
    <row r="64" spans="1:16">
      <c r="A64" s="1" t="s">
        <v>213</v>
      </c>
      <c r="B64" s="1" t="s">
        <v>214</v>
      </c>
      <c r="C64" s="20">
        <v>45976</v>
      </c>
      <c r="D64" s="26" t="s">
        <v>241</v>
      </c>
      <c r="E64" s="10">
        <v>38.572780000000002</v>
      </c>
      <c r="F64" s="10">
        <v>12.16736</v>
      </c>
      <c r="G64" s="10">
        <v>38.582450000000001</v>
      </c>
      <c r="H64" s="10">
        <v>12.163639999999999</v>
      </c>
      <c r="I64" s="2">
        <v>45976.134758217595</v>
      </c>
      <c r="J64" s="2">
        <v>45976.185272337963</v>
      </c>
      <c r="K64" s="2">
        <f t="shared" si="0"/>
        <v>5.051412036846159E-2</v>
      </c>
      <c r="L64" s="7">
        <v>1010</v>
      </c>
      <c r="M64" s="1" t="s">
        <v>242</v>
      </c>
      <c r="N64" s="53" t="s">
        <v>243</v>
      </c>
      <c r="O64" s="53" t="s">
        <v>244</v>
      </c>
      <c r="P64" s="1" t="s">
        <v>219</v>
      </c>
    </row>
    <row r="65" spans="1:16" s="44" customFormat="1">
      <c r="A65" s="44" t="s">
        <v>213</v>
      </c>
      <c r="B65" s="44" t="s">
        <v>214</v>
      </c>
      <c r="C65" s="45">
        <v>45976</v>
      </c>
      <c r="D65" s="46" t="s">
        <v>245</v>
      </c>
      <c r="E65" s="47">
        <v>38.596069999999997</v>
      </c>
      <c r="F65" s="47">
        <v>12.163320000000001</v>
      </c>
      <c r="G65" s="47">
        <v>38.603670000000001</v>
      </c>
      <c r="H65" s="47">
        <v>12.1616</v>
      </c>
      <c r="I65" s="48">
        <v>45976.23634560185</v>
      </c>
      <c r="J65" s="48">
        <v>45976.301686458333</v>
      </c>
      <c r="K65" s="48">
        <f t="shared" ref="K65:K122" si="5">J65-I65</f>
        <v>6.5340856483089738E-2</v>
      </c>
      <c r="L65" s="49">
        <v>850</v>
      </c>
      <c r="M65" s="44" t="s">
        <v>246</v>
      </c>
      <c r="N65" s="54" t="s">
        <v>247</v>
      </c>
      <c r="O65" s="54" t="s">
        <v>248</v>
      </c>
      <c r="P65" s="44" t="s">
        <v>224</v>
      </c>
    </row>
    <row r="66" spans="1:16" s="64" customFormat="1">
      <c r="A66" s="64" t="s">
        <v>213</v>
      </c>
      <c r="B66" s="64" t="s">
        <v>214</v>
      </c>
      <c r="C66" s="65">
        <v>45976</v>
      </c>
      <c r="D66" s="64" t="s">
        <v>249</v>
      </c>
      <c r="E66" s="67">
        <v>38.632399999999997</v>
      </c>
      <c r="F66" s="67">
        <v>12.17089</v>
      </c>
      <c r="G66" s="67">
        <v>38.624609999999997</v>
      </c>
      <c r="H66" s="67">
        <v>12.16628</v>
      </c>
      <c r="I66" s="71">
        <f t="shared" ref="I66:J66" ca="1" si="6">IF(J66&lt;&gt;0,IF(I66=0,NOW(),I66),)</f>
        <v>45976.393446643517</v>
      </c>
      <c r="J66" s="71">
        <f t="shared" ca="1" si="6"/>
        <v>45976.398414583331</v>
      </c>
      <c r="K66" s="68">
        <f t="shared" ca="1" si="5"/>
        <v>4.9679398143780418E-3</v>
      </c>
      <c r="L66" s="64">
        <v>80</v>
      </c>
      <c r="M66" s="64" t="s">
        <v>250</v>
      </c>
      <c r="N66" s="72" t="s">
        <v>251</v>
      </c>
      <c r="O66" s="70"/>
      <c r="P66" s="64" t="s">
        <v>224</v>
      </c>
    </row>
    <row r="67" spans="1:16" ht="30">
      <c r="A67" s="1" t="s">
        <v>16</v>
      </c>
      <c r="B67" s="1" t="s">
        <v>252</v>
      </c>
      <c r="C67" s="20">
        <v>45977</v>
      </c>
      <c r="D67" s="26" t="s">
        <v>253</v>
      </c>
      <c r="E67" s="10">
        <v>36.868479999999998</v>
      </c>
      <c r="F67" s="10">
        <v>11.8706</v>
      </c>
      <c r="G67" s="10">
        <v>36.871679999999998</v>
      </c>
      <c r="H67" s="10">
        <v>11.86741</v>
      </c>
      <c r="I67" s="2">
        <v>45977.100152083331</v>
      </c>
      <c r="J67" s="2">
        <v>45977.173611111109</v>
      </c>
      <c r="K67" s="2">
        <f t="shared" si="5"/>
        <v>7.3459027778881136E-2</v>
      </c>
      <c r="L67" s="7">
        <v>500</v>
      </c>
      <c r="M67" s="1" t="s">
        <v>254</v>
      </c>
      <c r="N67" s="53" t="s">
        <v>255</v>
      </c>
      <c r="O67" s="53" t="s">
        <v>180</v>
      </c>
      <c r="P67" s="1" t="s">
        <v>219</v>
      </c>
    </row>
    <row r="68" spans="1:16">
      <c r="A68" s="1" t="s">
        <v>16</v>
      </c>
      <c r="B68" s="1" t="s">
        <v>252</v>
      </c>
      <c r="C68" s="20">
        <v>45977</v>
      </c>
      <c r="D68" s="26" t="s">
        <v>256</v>
      </c>
      <c r="E68" s="10">
        <v>36.862690000000001</v>
      </c>
      <c r="F68" s="10">
        <v>11.884130000000001</v>
      </c>
      <c r="G68" s="10">
        <v>36.860430000000001</v>
      </c>
      <c r="H68" s="10">
        <v>11.88907</v>
      </c>
      <c r="I68" s="2">
        <v>45977.253394907406</v>
      </c>
      <c r="J68" s="56">
        <f t="shared" ref="J68" ca="1" si="7">IF(K68&lt;&gt;0,IF(J68=0,NOW(),J68),)</f>
        <v>45977.323199421298</v>
      </c>
      <c r="K68" s="2">
        <f t="shared" ca="1" si="5"/>
        <v>6.9804513892449904E-2</v>
      </c>
      <c r="L68" s="7">
        <v>500</v>
      </c>
      <c r="M68" s="1" t="s">
        <v>257</v>
      </c>
      <c r="N68" s="53" t="s">
        <v>258</v>
      </c>
      <c r="P68" s="1" t="s">
        <v>224</v>
      </c>
    </row>
    <row r="69" spans="1:16">
      <c r="A69" s="1" t="s">
        <v>16</v>
      </c>
      <c r="B69" s="1" t="s">
        <v>252</v>
      </c>
      <c r="C69" s="20">
        <v>45977</v>
      </c>
      <c r="D69" s="26" t="s">
        <v>259</v>
      </c>
      <c r="E69" s="10">
        <v>36.859729999999999</v>
      </c>
      <c r="F69" s="10">
        <v>11.88758</v>
      </c>
      <c r="G69" s="10">
        <v>36.857970000000002</v>
      </c>
      <c r="H69" s="10">
        <v>11.88283</v>
      </c>
      <c r="I69" s="2">
        <v>45977.39262604167</v>
      </c>
      <c r="J69" s="2">
        <v>45977.483403009261</v>
      </c>
      <c r="K69" s="2">
        <f t="shared" si="5"/>
        <v>9.0776967590500135E-2</v>
      </c>
      <c r="L69" s="7">
        <v>475</v>
      </c>
      <c r="M69" s="1" t="s">
        <v>260</v>
      </c>
      <c r="N69" s="53" t="s">
        <v>261</v>
      </c>
      <c r="P69" s="1" t="s">
        <v>224</v>
      </c>
    </row>
    <row r="70" spans="1:16" ht="30">
      <c r="A70" s="1" t="s">
        <v>16</v>
      </c>
      <c r="B70" s="1" t="s">
        <v>252</v>
      </c>
      <c r="C70" s="20">
        <v>45977</v>
      </c>
      <c r="D70" s="26" t="s">
        <v>262</v>
      </c>
      <c r="E70" s="10">
        <v>36.855310000000003</v>
      </c>
      <c r="F70" s="10">
        <v>11.889699999999999</v>
      </c>
      <c r="G70" s="10">
        <v>36.858460000000001</v>
      </c>
      <c r="H70" s="10">
        <v>11.893280000000001</v>
      </c>
      <c r="I70" s="2">
        <v>45977.534325231478</v>
      </c>
      <c r="J70" s="56">
        <f t="shared" ref="J70" ca="1" si="8">IF(K70&lt;&gt;0,IF(J70=0,NOW(),J70),)</f>
        <v>45977.683995254629</v>
      </c>
      <c r="K70" s="2">
        <f t="shared" ca="1" si="5"/>
        <v>0.14967002315097488</v>
      </c>
      <c r="L70" s="7">
        <v>480</v>
      </c>
      <c r="M70" s="1" t="s">
        <v>263</v>
      </c>
      <c r="N70" s="53" t="s">
        <v>264</v>
      </c>
      <c r="P70" s="1" t="s">
        <v>224</v>
      </c>
    </row>
    <row r="71" spans="1:16">
      <c r="A71" s="1" t="s">
        <v>16</v>
      </c>
      <c r="B71" s="1" t="s">
        <v>252</v>
      </c>
      <c r="C71" s="20">
        <v>45977</v>
      </c>
      <c r="D71" s="26" t="s">
        <v>265</v>
      </c>
      <c r="E71" s="10">
        <v>36.860950000000003</v>
      </c>
      <c r="F71" s="10">
        <v>11.897970000000001</v>
      </c>
      <c r="G71" s="10">
        <v>36.856929999999998</v>
      </c>
      <c r="H71" s="10">
        <v>11.300420000000001</v>
      </c>
      <c r="I71" s="2">
        <v>45977.722933912039</v>
      </c>
      <c r="J71" s="2">
        <v>45977.795906828702</v>
      </c>
      <c r="K71" s="2">
        <f t="shared" si="5"/>
        <v>7.29729166632751E-2</v>
      </c>
      <c r="L71" s="7">
        <v>500</v>
      </c>
      <c r="M71" s="1" t="s">
        <v>266</v>
      </c>
      <c r="N71" s="53" t="s">
        <v>267</v>
      </c>
      <c r="P71" s="1" t="s">
        <v>219</v>
      </c>
    </row>
    <row r="72" spans="1:16">
      <c r="A72" s="1" t="s">
        <v>16</v>
      </c>
      <c r="B72" s="1" t="s">
        <v>252</v>
      </c>
      <c r="C72" s="20">
        <v>45977</v>
      </c>
      <c r="D72" s="26" t="s">
        <v>268</v>
      </c>
      <c r="E72" s="10">
        <v>36.849119999999999</v>
      </c>
      <c r="F72" s="10">
        <v>11.88693</v>
      </c>
      <c r="G72" s="10">
        <v>36.850099999999998</v>
      </c>
      <c r="H72" s="10">
        <v>11.88115</v>
      </c>
      <c r="I72" s="2">
        <v>45977.864931944445</v>
      </c>
      <c r="J72" s="2">
        <v>45977.986946064811</v>
      </c>
      <c r="K72" s="2">
        <f t="shared" si="5"/>
        <v>0.12201412036665715</v>
      </c>
      <c r="L72" s="7">
        <v>500</v>
      </c>
      <c r="M72" s="1" t="s">
        <v>269</v>
      </c>
      <c r="N72" s="53" t="s">
        <v>270</v>
      </c>
      <c r="P72" s="1" t="s">
        <v>219</v>
      </c>
    </row>
    <row r="73" spans="1:16">
      <c r="A73" s="1" t="s">
        <v>16</v>
      </c>
      <c r="B73" s="1" t="s">
        <v>252</v>
      </c>
      <c r="C73" s="20">
        <v>45978</v>
      </c>
      <c r="D73" s="26" t="s">
        <v>271</v>
      </c>
      <c r="E73" s="10">
        <v>36.852510000000002</v>
      </c>
      <c r="F73" s="10">
        <v>11.87303</v>
      </c>
      <c r="G73" s="10">
        <v>36.85351</v>
      </c>
      <c r="H73" s="10">
        <v>11.868040000000001</v>
      </c>
      <c r="I73" s="2">
        <v>45978.036633217591</v>
      </c>
      <c r="J73" s="2">
        <v>45978.152256944442</v>
      </c>
      <c r="K73" s="2">
        <f t="shared" si="5"/>
        <v>0.11562372685148148</v>
      </c>
      <c r="L73" s="7">
        <v>500</v>
      </c>
      <c r="M73" s="1" t="s">
        <v>272</v>
      </c>
      <c r="N73" s="53" t="s">
        <v>273</v>
      </c>
      <c r="P73" s="1" t="s">
        <v>219</v>
      </c>
    </row>
    <row r="74" spans="1:16">
      <c r="A74" s="1" t="s">
        <v>16</v>
      </c>
      <c r="B74" s="1" t="s">
        <v>252</v>
      </c>
      <c r="C74" s="20">
        <v>45978</v>
      </c>
      <c r="D74" s="26" t="s">
        <v>274</v>
      </c>
      <c r="E74" s="10">
        <v>36.843310000000002</v>
      </c>
      <c r="F74" s="10">
        <v>11.87393</v>
      </c>
      <c r="G74" s="10">
        <v>36.839379999999998</v>
      </c>
      <c r="H74" s="10">
        <v>11.8706</v>
      </c>
      <c r="I74" s="2">
        <v>45978.205057523148</v>
      </c>
      <c r="J74" s="56">
        <f t="shared" ref="J74" ca="1" si="9">IF(K74&lt;&gt;0,IF(J74=0,NOW(),J74),)</f>
        <v>45978.316483333336</v>
      </c>
      <c r="K74" s="2">
        <f t="shared" ca="1" si="5"/>
        <v>0.11142581018793862</v>
      </c>
      <c r="L74" s="7">
        <v>505</v>
      </c>
      <c r="M74" s="1" t="s">
        <v>275</v>
      </c>
      <c r="N74" s="53" t="s">
        <v>276</v>
      </c>
      <c r="P74" s="1" t="s">
        <v>219</v>
      </c>
    </row>
    <row r="75" spans="1:16">
      <c r="A75" s="1" t="s">
        <v>16</v>
      </c>
      <c r="B75" s="1" t="s">
        <v>252</v>
      </c>
      <c r="C75" s="20">
        <v>45978</v>
      </c>
      <c r="D75" s="26" t="s">
        <v>277</v>
      </c>
      <c r="E75" s="10">
        <v>36.830860000000001</v>
      </c>
      <c r="F75" s="10">
        <v>11.877000000000001</v>
      </c>
      <c r="G75" s="10">
        <v>36.835120000000003</v>
      </c>
      <c r="H75" s="10">
        <v>11.87885</v>
      </c>
      <c r="I75" s="2">
        <v>45978.38700347222</v>
      </c>
      <c r="J75" s="2">
        <v>45978.453086805559</v>
      </c>
      <c r="K75" s="2">
        <f t="shared" si="5"/>
        <v>6.6083333338610828E-2</v>
      </c>
      <c r="L75" s="7">
        <v>500</v>
      </c>
      <c r="M75" s="1" t="s">
        <v>278</v>
      </c>
      <c r="N75" s="53" t="s">
        <v>279</v>
      </c>
      <c r="P75" s="1" t="s">
        <v>224</v>
      </c>
    </row>
    <row r="76" spans="1:16">
      <c r="A76" s="1" t="s">
        <v>16</v>
      </c>
      <c r="B76" s="1" t="s">
        <v>252</v>
      </c>
      <c r="C76" s="20">
        <v>45978</v>
      </c>
      <c r="D76" s="26" t="s">
        <v>280</v>
      </c>
      <c r="E76" s="10">
        <v>36.845370000000003</v>
      </c>
      <c r="F76" s="10">
        <v>11.88828</v>
      </c>
      <c r="G76" s="10">
        <v>36.847009999999997</v>
      </c>
      <c r="H76" s="10">
        <v>11.893509999999999</v>
      </c>
      <c r="I76" s="2">
        <v>45978.537702199072</v>
      </c>
      <c r="J76" s="2">
        <v>45978.603579861112</v>
      </c>
      <c r="K76" s="2">
        <f t="shared" si="5"/>
        <v>6.5877662040293217E-2</v>
      </c>
      <c r="L76" s="7">
        <v>495</v>
      </c>
      <c r="M76" s="1" t="s">
        <v>281</v>
      </c>
      <c r="N76" s="53" t="s">
        <v>282</v>
      </c>
      <c r="P76" s="1" t="s">
        <v>224</v>
      </c>
    </row>
    <row r="77" spans="1:16" ht="30">
      <c r="A77" s="1" t="s">
        <v>16</v>
      </c>
      <c r="B77" s="1" t="s">
        <v>252</v>
      </c>
      <c r="C77" s="20">
        <v>45978</v>
      </c>
      <c r="D77" s="26" t="s">
        <v>283</v>
      </c>
      <c r="E77" s="10">
        <v>36.827440000000003</v>
      </c>
      <c r="F77" s="10">
        <v>11.893079999999999</v>
      </c>
      <c r="G77" s="10">
        <v>36.830649999999999</v>
      </c>
      <c r="H77" s="10">
        <v>11.897030000000001</v>
      </c>
      <c r="I77" s="2">
        <v>45978.662329629631</v>
      </c>
      <c r="J77" s="2">
        <v>45978.732051273146</v>
      </c>
      <c r="K77" s="2">
        <f t="shared" si="5"/>
        <v>6.9721643514640164E-2</v>
      </c>
      <c r="L77" s="7">
        <v>500</v>
      </c>
      <c r="M77" s="1" t="s">
        <v>284</v>
      </c>
      <c r="N77" s="53" t="s">
        <v>285</v>
      </c>
      <c r="P77" s="1" t="s">
        <v>224</v>
      </c>
    </row>
    <row r="78" spans="1:16">
      <c r="A78" s="1" t="s">
        <v>16</v>
      </c>
      <c r="B78" s="1" t="s">
        <v>252</v>
      </c>
      <c r="C78" s="20">
        <v>45978</v>
      </c>
      <c r="D78" s="26" t="s">
        <v>286</v>
      </c>
      <c r="E78" s="10">
        <v>36.820819999999998</v>
      </c>
      <c r="F78" s="10">
        <v>11.894550000000001</v>
      </c>
      <c r="G78" s="10">
        <v>36.817540000000001</v>
      </c>
      <c r="H78" s="10">
        <v>11.889480000000001</v>
      </c>
      <c r="I78" s="56">
        <v>0.81469907407407405</v>
      </c>
      <c r="J78" s="2">
        <v>0.9331018518518519</v>
      </c>
      <c r="K78" s="2">
        <f t="shared" si="5"/>
        <v>0.11840277777777786</v>
      </c>
      <c r="L78" s="7">
        <v>550</v>
      </c>
      <c r="M78" s="1" t="s">
        <v>287</v>
      </c>
      <c r="N78" s="53" t="s">
        <v>288</v>
      </c>
      <c r="P78" s="1" t="s">
        <v>219</v>
      </c>
    </row>
    <row r="79" spans="1:16">
      <c r="A79" s="1" t="s">
        <v>16</v>
      </c>
      <c r="B79" s="1" t="s">
        <v>252</v>
      </c>
      <c r="C79" s="20">
        <v>45978</v>
      </c>
      <c r="D79" s="26" t="s">
        <v>289</v>
      </c>
      <c r="E79" s="10">
        <v>36.835090000000001</v>
      </c>
      <c r="F79" s="10">
        <v>11.85173</v>
      </c>
      <c r="G79" s="10">
        <v>36.837890000000002</v>
      </c>
      <c r="H79" s="10">
        <v>11.84754</v>
      </c>
      <c r="I79" s="2">
        <v>1.5486111111111112E-2</v>
      </c>
      <c r="J79" s="2">
        <v>8.5613425925925926E-2</v>
      </c>
      <c r="K79" s="2">
        <f t="shared" si="5"/>
        <v>7.0127314814814809E-2</v>
      </c>
      <c r="L79" s="7">
        <v>504</v>
      </c>
      <c r="M79" s="1" t="s">
        <v>290</v>
      </c>
      <c r="N79" s="53" t="s">
        <v>291</v>
      </c>
      <c r="P79" s="1" t="s">
        <v>219</v>
      </c>
    </row>
    <row r="80" spans="1:16">
      <c r="A80" s="1" t="s">
        <v>16</v>
      </c>
      <c r="B80" s="1" t="s">
        <v>252</v>
      </c>
      <c r="C80" s="20">
        <v>45979</v>
      </c>
      <c r="D80" s="26" t="s">
        <v>292</v>
      </c>
      <c r="E80" s="10">
        <v>36.843789999999998</v>
      </c>
      <c r="F80" s="10">
        <v>11.848660000000001</v>
      </c>
      <c r="G80" s="10">
        <v>36.842910000000003</v>
      </c>
      <c r="H80" s="10">
        <v>11.843529999999999</v>
      </c>
      <c r="I80" s="2">
        <v>45979.137494212962</v>
      </c>
      <c r="J80" s="2">
        <v>45979.180324652778</v>
      </c>
      <c r="K80" s="2">
        <f t="shared" si="5"/>
        <v>4.2830439815588761E-2</v>
      </c>
      <c r="L80" s="7">
        <v>484</v>
      </c>
      <c r="M80" s="1" t="s">
        <v>293</v>
      </c>
      <c r="N80" s="53" t="s">
        <v>294</v>
      </c>
      <c r="P80" s="1" t="s">
        <v>219</v>
      </c>
    </row>
    <row r="81" spans="1:16">
      <c r="A81" s="1" t="s">
        <v>16</v>
      </c>
      <c r="B81" s="1" t="s">
        <v>295</v>
      </c>
      <c r="C81" s="20">
        <v>45979</v>
      </c>
      <c r="D81" s="26" t="s">
        <v>296</v>
      </c>
      <c r="E81" s="10">
        <v>36.795400000000001</v>
      </c>
      <c r="F81" s="10">
        <v>12.303369999999999</v>
      </c>
      <c r="G81" s="10">
        <v>36.795270000000002</v>
      </c>
      <c r="H81" s="10">
        <v>12.30898</v>
      </c>
      <c r="I81" s="2">
        <v>0.46225694444444443</v>
      </c>
      <c r="J81" s="2">
        <v>0.5071296296296296</v>
      </c>
      <c r="K81" s="2">
        <f>J81-I81</f>
        <v>4.4872685185185168E-2</v>
      </c>
      <c r="L81" s="7">
        <v>350</v>
      </c>
      <c r="M81" s="1" t="s">
        <v>297</v>
      </c>
      <c r="N81" s="53" t="s">
        <v>298</v>
      </c>
      <c r="P81" s="1" t="s">
        <v>224</v>
      </c>
    </row>
    <row r="82" spans="1:16">
      <c r="A82" s="1" t="s">
        <v>16</v>
      </c>
      <c r="B82" s="1" t="s">
        <v>295</v>
      </c>
      <c r="C82" s="20">
        <v>45979</v>
      </c>
      <c r="D82" s="26" t="s">
        <v>299</v>
      </c>
      <c r="E82" s="10">
        <v>36.787489999999998</v>
      </c>
      <c r="F82" s="10">
        <v>12.336309999999999</v>
      </c>
      <c r="G82" s="10">
        <v>36.790439999999997</v>
      </c>
      <c r="H82" s="10">
        <v>12.33783</v>
      </c>
      <c r="I82" s="56">
        <v>45979.660561574077</v>
      </c>
      <c r="J82" s="2">
        <v>45979.688650810182</v>
      </c>
      <c r="K82" s="2">
        <f>J82-I82</f>
        <v>2.8089236104278825E-2</v>
      </c>
      <c r="L82" s="7">
        <v>350</v>
      </c>
      <c r="M82" s="1" t="s">
        <v>300</v>
      </c>
      <c r="N82" s="61" t="s">
        <v>301</v>
      </c>
      <c r="P82" s="1" t="s">
        <v>224</v>
      </c>
    </row>
    <row r="83" spans="1:16">
      <c r="A83" s="1" t="s">
        <v>16</v>
      </c>
      <c r="B83" s="1" t="s">
        <v>295</v>
      </c>
      <c r="C83" s="20">
        <v>45979</v>
      </c>
      <c r="D83" s="26" t="s">
        <v>302</v>
      </c>
      <c r="E83" s="10">
        <v>36.749090000000002</v>
      </c>
      <c r="F83" s="10">
        <v>12.37407</v>
      </c>
      <c r="G83" s="10">
        <v>36.751899999999999</v>
      </c>
      <c r="H83" s="10">
        <v>12.37759</v>
      </c>
      <c r="I83" s="2">
        <v>0.85339120370370369</v>
      </c>
      <c r="J83" s="2">
        <v>0.88061342592592595</v>
      </c>
      <c r="K83" s="2">
        <f>J83-I83</f>
        <v>2.7222222222222259E-2</v>
      </c>
      <c r="L83" s="7">
        <v>435</v>
      </c>
      <c r="M83" s="1" t="s">
        <v>303</v>
      </c>
      <c r="N83" s="53" t="s">
        <v>298</v>
      </c>
      <c r="P83" s="1" t="s">
        <v>219</v>
      </c>
    </row>
    <row r="84" spans="1:16">
      <c r="A84" s="1" t="s">
        <v>16</v>
      </c>
      <c r="B84" s="1" t="s">
        <v>295</v>
      </c>
      <c r="C84" s="20">
        <v>45980</v>
      </c>
      <c r="D84" s="26" t="s">
        <v>304</v>
      </c>
      <c r="E84" s="10">
        <v>36.720660000000002</v>
      </c>
      <c r="F84" s="10">
        <v>12.404120000000001</v>
      </c>
      <c r="G84" s="10">
        <v>36.73348</v>
      </c>
      <c r="H84" s="10">
        <v>12.406029999999999</v>
      </c>
      <c r="I84" s="2">
        <v>1.9861111111111111E-2</v>
      </c>
      <c r="J84" s="2">
        <v>0.16006944444444443</v>
      </c>
      <c r="K84" s="2">
        <f t="shared" si="5"/>
        <v>0.14020833333333332</v>
      </c>
      <c r="L84" s="7">
        <v>1394</v>
      </c>
      <c r="M84" s="1" t="s">
        <v>305</v>
      </c>
      <c r="N84" s="53" t="s">
        <v>306</v>
      </c>
      <c r="P84" s="1" t="s">
        <v>219</v>
      </c>
    </row>
    <row r="85" spans="1:16">
      <c r="A85" s="1" t="s">
        <v>16</v>
      </c>
      <c r="B85" s="1" t="s">
        <v>307</v>
      </c>
      <c r="C85" s="20">
        <v>45980</v>
      </c>
      <c r="D85" s="26" t="s">
        <v>308</v>
      </c>
      <c r="E85" s="10">
        <v>37.896619999999999</v>
      </c>
      <c r="F85" s="10">
        <v>11.08013</v>
      </c>
      <c r="G85" s="10">
        <v>37.89819</v>
      </c>
      <c r="H85" s="10">
        <v>11.074820000000001</v>
      </c>
      <c r="I85" s="2">
        <v>0.73537037037037034</v>
      </c>
      <c r="J85" s="2">
        <v>0.81093749999999998</v>
      </c>
      <c r="K85" s="2">
        <f t="shared" si="5"/>
        <v>7.5567129629629637E-2</v>
      </c>
      <c r="L85" s="7">
        <v>500</v>
      </c>
      <c r="M85" s="1" t="s">
        <v>309</v>
      </c>
      <c r="N85" s="53" t="s">
        <v>310</v>
      </c>
      <c r="P85" s="1" t="s">
        <v>224</v>
      </c>
    </row>
    <row r="86" spans="1:16">
      <c r="A86" s="1" t="s">
        <v>16</v>
      </c>
      <c r="B86" s="1" t="s">
        <v>307</v>
      </c>
      <c r="C86" s="20">
        <v>45980</v>
      </c>
      <c r="D86" s="26" t="s">
        <v>311</v>
      </c>
      <c r="E86" s="10">
        <v>37.922530000000002</v>
      </c>
      <c r="F86" s="10">
        <v>11.101559999999999</v>
      </c>
      <c r="G86" s="10">
        <v>37.921810000000001</v>
      </c>
      <c r="H86" s="10">
        <v>11.09674</v>
      </c>
      <c r="I86" s="2">
        <v>0.91291666666666671</v>
      </c>
      <c r="J86" s="2">
        <v>0.97114583333333337</v>
      </c>
      <c r="K86" s="2">
        <f t="shared" si="5"/>
        <v>5.8229166666666665E-2</v>
      </c>
      <c r="L86" s="7">
        <v>442</v>
      </c>
      <c r="M86" s="1" t="s">
        <v>312</v>
      </c>
      <c r="N86" s="53" t="s">
        <v>313</v>
      </c>
      <c r="O86" s="53" t="s">
        <v>314</v>
      </c>
      <c r="P86" s="1" t="s">
        <v>219</v>
      </c>
    </row>
    <row r="87" spans="1:16">
      <c r="A87" s="1" t="s">
        <v>16</v>
      </c>
      <c r="B87" s="1" t="s">
        <v>307</v>
      </c>
      <c r="C87" s="20">
        <v>45981</v>
      </c>
      <c r="D87" s="26" t="s">
        <v>315</v>
      </c>
      <c r="E87" s="10">
        <v>37.923119999999997</v>
      </c>
      <c r="F87" s="10">
        <v>11.066929999999999</v>
      </c>
      <c r="G87" s="10">
        <v>37.920209999999997</v>
      </c>
      <c r="H87" s="10">
        <v>11.062760000000001</v>
      </c>
      <c r="I87" s="2">
        <v>4.5439814814814815E-2</v>
      </c>
      <c r="J87" s="2">
        <v>1.0947337962962962</v>
      </c>
      <c r="K87" s="2">
        <f t="shared" si="5"/>
        <v>1.0492939814814815</v>
      </c>
      <c r="L87" s="7">
        <v>460</v>
      </c>
      <c r="M87" s="1" t="s">
        <v>316</v>
      </c>
      <c r="N87" s="53" t="s">
        <v>317</v>
      </c>
      <c r="O87" s="53" t="s">
        <v>318</v>
      </c>
      <c r="P87" s="1" t="s">
        <v>219</v>
      </c>
    </row>
    <row r="88" spans="1:16">
      <c r="A88" s="1" t="s">
        <v>16</v>
      </c>
      <c r="B88" s="1" t="s">
        <v>307</v>
      </c>
      <c r="C88" s="20">
        <v>45981</v>
      </c>
      <c r="D88" s="26" t="s">
        <v>319</v>
      </c>
      <c r="E88" s="10">
        <v>37.937530000000002</v>
      </c>
      <c r="F88" s="10">
        <v>11.072520000000001</v>
      </c>
      <c r="G88" s="10">
        <v>37.936030000000002</v>
      </c>
      <c r="H88" s="10">
        <v>11.066929999999999</v>
      </c>
      <c r="I88" s="2">
        <v>0.16126157407407407</v>
      </c>
      <c r="J88" s="2">
        <v>0.2003587962962963</v>
      </c>
      <c r="K88" s="2">
        <f t="shared" si="5"/>
        <v>3.9097222222222228E-2</v>
      </c>
      <c r="L88" s="7">
        <v>522</v>
      </c>
      <c r="M88" s="1" t="s">
        <v>320</v>
      </c>
      <c r="N88" s="53" t="s">
        <v>321</v>
      </c>
      <c r="P88" s="1" t="s">
        <v>219</v>
      </c>
    </row>
    <row r="89" spans="1:16">
      <c r="A89" s="1" t="s">
        <v>16</v>
      </c>
      <c r="B89" s="1" t="s">
        <v>307</v>
      </c>
      <c r="C89" s="20">
        <v>45981</v>
      </c>
      <c r="D89" s="26" t="s">
        <v>322</v>
      </c>
      <c r="E89" s="10">
        <v>37.952300000000001</v>
      </c>
      <c r="F89" s="10">
        <v>11.05148</v>
      </c>
      <c r="G89" s="10">
        <v>37.948430000000002</v>
      </c>
      <c r="H89" s="10">
        <v>11.04856</v>
      </c>
      <c r="I89" s="2">
        <v>45981.278271875002</v>
      </c>
      <c r="J89" s="2">
        <v>45981.316819097221</v>
      </c>
      <c r="K89" s="2">
        <f t="shared" si="5"/>
        <v>3.8547222218767274E-2</v>
      </c>
      <c r="L89" s="7">
        <v>500</v>
      </c>
      <c r="M89" s="1" t="s">
        <v>323</v>
      </c>
      <c r="N89" s="53" t="s">
        <v>324</v>
      </c>
      <c r="P89" s="1" t="s">
        <v>224</v>
      </c>
    </row>
    <row r="90" spans="1:16">
      <c r="A90" s="1" t="s">
        <v>16</v>
      </c>
      <c r="B90" s="1" t="s">
        <v>307</v>
      </c>
      <c r="C90" s="20">
        <v>45981</v>
      </c>
      <c r="D90" s="26" t="s">
        <v>325</v>
      </c>
      <c r="E90" s="10">
        <v>37.942320000000002</v>
      </c>
      <c r="F90" s="10">
        <v>11.02323</v>
      </c>
      <c r="G90" s="10">
        <v>37.937779999999997</v>
      </c>
      <c r="H90" s="10">
        <v>11.024609999999999</v>
      </c>
      <c r="I90" s="2">
        <v>45981.385642361114</v>
      </c>
      <c r="J90" s="2">
        <v>45981.436079398147</v>
      </c>
      <c r="K90" s="2">
        <f t="shared" si="5"/>
        <v>5.0437037032679655E-2</v>
      </c>
      <c r="L90" s="7">
        <v>500</v>
      </c>
      <c r="M90" s="1" t="s">
        <v>326</v>
      </c>
      <c r="N90" s="53" t="s">
        <v>327</v>
      </c>
      <c r="P90" s="1" t="s">
        <v>224</v>
      </c>
    </row>
    <row r="91" spans="1:16">
      <c r="A91" s="1" t="s">
        <v>16</v>
      </c>
      <c r="B91" s="1" t="s">
        <v>307</v>
      </c>
      <c r="C91" s="20">
        <v>45981</v>
      </c>
      <c r="D91" s="26" t="s">
        <v>328</v>
      </c>
      <c r="E91" s="10">
        <v>37.937130000000003</v>
      </c>
      <c r="F91" s="10">
        <v>11.024699999999999</v>
      </c>
      <c r="G91" s="10">
        <v>37.935090000000002</v>
      </c>
      <c r="H91" s="10">
        <v>11.024800000000001</v>
      </c>
      <c r="I91" s="2">
        <v>0.42152777777777778</v>
      </c>
      <c r="J91" s="2">
        <v>0.47499999999999998</v>
      </c>
      <c r="K91" s="2">
        <f t="shared" si="5"/>
        <v>5.3472222222222199E-2</v>
      </c>
      <c r="L91" s="7" t="s">
        <v>329</v>
      </c>
      <c r="M91" s="1" t="s">
        <v>329</v>
      </c>
      <c r="N91" s="53" t="s">
        <v>330</v>
      </c>
      <c r="P91" s="1" t="s">
        <v>224</v>
      </c>
    </row>
    <row r="92" spans="1:16">
      <c r="A92" s="1" t="s">
        <v>16</v>
      </c>
      <c r="B92" s="1" t="s">
        <v>307</v>
      </c>
      <c r="C92" s="20">
        <v>45981</v>
      </c>
      <c r="D92" s="26" t="s">
        <v>331</v>
      </c>
      <c r="E92" s="10">
        <v>37.920720000000003</v>
      </c>
      <c r="F92" s="10">
        <v>11.02529</v>
      </c>
      <c r="G92" s="10">
        <v>37.922829999999998</v>
      </c>
      <c r="H92" s="10">
        <v>11.025551</v>
      </c>
      <c r="I92" s="2">
        <v>0.47499999999999998</v>
      </c>
      <c r="J92" s="2">
        <v>0.58472222222222225</v>
      </c>
      <c r="K92" s="2">
        <f t="shared" si="5"/>
        <v>0.10972222222222228</v>
      </c>
      <c r="L92" s="7">
        <v>500</v>
      </c>
      <c r="M92" s="1" t="s">
        <v>332</v>
      </c>
      <c r="N92" s="53" t="s">
        <v>333</v>
      </c>
      <c r="P92" s="1" t="s">
        <v>224</v>
      </c>
    </row>
    <row r="93" spans="1:16">
      <c r="A93" s="1" t="s">
        <v>213</v>
      </c>
      <c r="B93" s="1" t="s">
        <v>214</v>
      </c>
      <c r="C93" s="20">
        <v>45982</v>
      </c>
      <c r="D93" s="26" t="s">
        <v>249</v>
      </c>
      <c r="E93" s="10">
        <v>38.632399999999997</v>
      </c>
      <c r="F93" s="10">
        <v>12.17089</v>
      </c>
      <c r="G93" s="10">
        <v>36.624609999999997</v>
      </c>
      <c r="H93" s="10">
        <v>12.16628</v>
      </c>
      <c r="I93" s="2">
        <v>0.99744212962962964</v>
      </c>
      <c r="J93" s="2">
        <v>8.5358796296296294E-2</v>
      </c>
      <c r="K93" s="2">
        <v>8.7499999999999994E-2</v>
      </c>
      <c r="L93" s="7">
        <v>904</v>
      </c>
      <c r="M93" s="1" t="s">
        <v>250</v>
      </c>
      <c r="N93" s="53" t="s">
        <v>334</v>
      </c>
      <c r="O93" s="61" t="s">
        <v>335</v>
      </c>
      <c r="P93" s="1" t="s">
        <v>219</v>
      </c>
    </row>
    <row r="94" spans="1:16">
      <c r="A94" s="1" t="s">
        <v>213</v>
      </c>
      <c r="B94" s="1" t="s">
        <v>214</v>
      </c>
      <c r="C94" s="20">
        <v>45982</v>
      </c>
      <c r="D94" s="26" t="s">
        <v>336</v>
      </c>
      <c r="E94" s="10">
        <v>38.640560000000001</v>
      </c>
      <c r="F94" s="10">
        <v>12.14828</v>
      </c>
      <c r="G94" s="10">
        <v>38.651670000000003</v>
      </c>
      <c r="H94" s="10">
        <v>12.14091</v>
      </c>
      <c r="I94" s="2">
        <v>45982.182332870369</v>
      </c>
      <c r="J94" s="2">
        <v>45982.324925925925</v>
      </c>
      <c r="K94" s="2">
        <f t="shared" si="5"/>
        <v>0.14259305555606261</v>
      </c>
      <c r="L94" s="7">
        <v>780</v>
      </c>
      <c r="M94" s="1" t="s">
        <v>337</v>
      </c>
      <c r="N94" s="53" t="s">
        <v>338</v>
      </c>
      <c r="P94" s="1" t="s">
        <v>219</v>
      </c>
    </row>
    <row r="95" spans="1:16">
      <c r="A95" s="1" t="s">
        <v>213</v>
      </c>
      <c r="B95" s="1" t="s">
        <v>214</v>
      </c>
      <c r="C95" s="20">
        <v>45982</v>
      </c>
      <c r="D95" s="26" t="s">
        <v>339</v>
      </c>
      <c r="E95" s="10">
        <v>38.645000000000003</v>
      </c>
      <c r="F95" s="10">
        <v>12.11026</v>
      </c>
      <c r="G95" s="10">
        <v>38.649819999999998</v>
      </c>
      <c r="H95" s="10">
        <v>12.12304</v>
      </c>
      <c r="I95" s="2">
        <v>45982.419512731482</v>
      </c>
      <c r="J95" s="2">
        <v>45982.522198032406</v>
      </c>
      <c r="K95" s="2">
        <f t="shared" si="5"/>
        <v>0.10268530092434958</v>
      </c>
      <c r="L95" s="7">
        <v>1250</v>
      </c>
      <c r="M95" s="1" t="s">
        <v>340</v>
      </c>
      <c r="N95" s="53" t="s">
        <v>341</v>
      </c>
      <c r="P95" s="1" t="s">
        <v>224</v>
      </c>
    </row>
    <row r="96" spans="1:16">
      <c r="A96" s="1" t="s">
        <v>213</v>
      </c>
      <c r="B96" s="1" t="s">
        <v>342</v>
      </c>
      <c r="C96" s="20">
        <v>45985</v>
      </c>
      <c r="D96" s="26" t="s">
        <v>343</v>
      </c>
      <c r="E96" s="10">
        <v>38.283929999999998</v>
      </c>
      <c r="F96" s="10">
        <v>14.04956</v>
      </c>
      <c r="G96" s="10">
        <v>38.290349999999997</v>
      </c>
      <c r="H96" s="10">
        <v>14.057650000000001</v>
      </c>
      <c r="I96" s="2">
        <v>45985.014843518518</v>
      </c>
      <c r="J96" s="2">
        <f t="shared" ref="J96:J97" ca="1" si="10">IF(K96&lt;&gt;0,IF(J96=0,NOW(),J96),)</f>
        <v>45985.154851504631</v>
      </c>
      <c r="K96" s="2">
        <f t="shared" ca="1" si="5"/>
        <v>0.14000798611232312</v>
      </c>
      <c r="L96" s="7">
        <v>1010</v>
      </c>
      <c r="M96" s="1" t="s">
        <v>344</v>
      </c>
      <c r="N96" s="53" t="s">
        <v>345</v>
      </c>
      <c r="O96" s="53" t="s">
        <v>346</v>
      </c>
      <c r="P96" s="1" t="s">
        <v>219</v>
      </c>
    </row>
    <row r="97" spans="1:17">
      <c r="A97" s="1" t="s">
        <v>213</v>
      </c>
      <c r="B97" s="1" t="s">
        <v>342</v>
      </c>
      <c r="C97" s="20">
        <v>45985</v>
      </c>
      <c r="D97" s="26" t="s">
        <v>347</v>
      </c>
      <c r="E97" s="10">
        <v>38.33587</v>
      </c>
      <c r="F97" s="10">
        <v>14.062580000000001</v>
      </c>
      <c r="G97" s="10">
        <v>38.330860000000001</v>
      </c>
      <c r="H97" s="10">
        <v>14.067959999999999</v>
      </c>
      <c r="I97" s="2">
        <v>45985.290034027777</v>
      </c>
      <c r="J97" s="2">
        <f t="shared" ca="1" si="10"/>
        <v>45985.335590740739</v>
      </c>
      <c r="K97" s="2">
        <f t="shared" ca="1" si="5"/>
        <v>4.5556712961115409E-2</v>
      </c>
      <c r="L97" s="7">
        <v>700</v>
      </c>
      <c r="M97" s="1" t="s">
        <v>348</v>
      </c>
      <c r="N97" s="53" t="s">
        <v>349</v>
      </c>
      <c r="P97" s="1" t="s">
        <v>224</v>
      </c>
    </row>
    <row r="98" spans="1:17">
      <c r="A98" s="1" t="s">
        <v>213</v>
      </c>
      <c r="B98" s="1" t="s">
        <v>342</v>
      </c>
      <c r="C98" s="20">
        <v>45985</v>
      </c>
      <c r="D98" s="26" t="s">
        <v>350</v>
      </c>
      <c r="E98" s="10">
        <v>38.280200000000001</v>
      </c>
      <c r="F98" s="10">
        <v>14.15911</v>
      </c>
      <c r="G98" s="10">
        <v>38.284930000000003</v>
      </c>
      <c r="H98" s="10">
        <v>14.14931</v>
      </c>
      <c r="I98" s="2">
        <v>45985.455760185185</v>
      </c>
      <c r="J98" s="2">
        <v>45985.660987268522</v>
      </c>
      <c r="K98" s="2">
        <f t="shared" si="5"/>
        <v>0.20522708333737683</v>
      </c>
      <c r="L98" s="7">
        <v>1000</v>
      </c>
      <c r="M98" s="1" t="s">
        <v>351</v>
      </c>
      <c r="N98" s="53" t="s">
        <v>352</v>
      </c>
      <c r="O98" s="53" t="s">
        <v>353</v>
      </c>
      <c r="P98" s="1" t="s">
        <v>224</v>
      </c>
    </row>
    <row r="99" spans="1:17" ht="30">
      <c r="A99" s="1" t="s">
        <v>213</v>
      </c>
      <c r="B99" s="1" t="s">
        <v>342</v>
      </c>
      <c r="C99" s="20">
        <v>45985</v>
      </c>
      <c r="D99" s="26" t="s">
        <v>354</v>
      </c>
      <c r="E99" s="10">
        <v>38.289709999999999</v>
      </c>
      <c r="F99" s="10">
        <v>14.17037</v>
      </c>
      <c r="G99" s="10">
        <v>38.295470000000002</v>
      </c>
      <c r="H99" s="10">
        <v>14.165290000000001</v>
      </c>
      <c r="I99" s="2">
        <v>45985.807592592595</v>
      </c>
      <c r="J99" s="2">
        <v>45985.949513888889</v>
      </c>
      <c r="K99" s="2">
        <f t="shared" si="5"/>
        <v>0.14192129629373085</v>
      </c>
      <c r="L99" s="7">
        <v>800</v>
      </c>
      <c r="M99" s="1" t="s">
        <v>355</v>
      </c>
      <c r="N99" s="53" t="s">
        <v>356</v>
      </c>
      <c r="O99" s="53" t="s">
        <v>357</v>
      </c>
      <c r="P99" s="1" t="s">
        <v>219</v>
      </c>
    </row>
    <row r="100" spans="1:17">
      <c r="A100" s="1" t="s">
        <v>213</v>
      </c>
      <c r="B100" s="1" t="s">
        <v>342</v>
      </c>
      <c r="C100" s="20">
        <v>45986</v>
      </c>
      <c r="D100" s="26" t="s">
        <v>358</v>
      </c>
      <c r="E100" s="10">
        <v>38.367400000000004</v>
      </c>
      <c r="F100" s="10">
        <v>14.12194</v>
      </c>
      <c r="G100" s="10">
        <v>38.371859999999998</v>
      </c>
      <c r="H100" s="10">
        <v>14.12134</v>
      </c>
      <c r="I100" s="2">
        <v>45986.322645138891</v>
      </c>
      <c r="J100" s="56">
        <f t="shared" ref="J100" ca="1" si="11">IF(K100&lt;&gt;0,IF(J100=0,NOW(),J100),)</f>
        <v>45986.378836226853</v>
      </c>
      <c r="K100" s="2">
        <f t="shared" ca="1" si="5"/>
        <v>5.6191087962361053E-2</v>
      </c>
      <c r="L100" s="7">
        <v>500</v>
      </c>
      <c r="M100" s="1" t="s">
        <v>359</v>
      </c>
      <c r="N100" s="53" t="s">
        <v>360</v>
      </c>
      <c r="P100" s="1" t="s">
        <v>224</v>
      </c>
    </row>
    <row r="101" spans="1:17" ht="30">
      <c r="A101" s="1" t="s">
        <v>213</v>
      </c>
      <c r="B101" s="1" t="s">
        <v>342</v>
      </c>
      <c r="C101" s="20">
        <v>45987</v>
      </c>
      <c r="D101" s="26" t="s">
        <v>361</v>
      </c>
      <c r="E101" s="10">
        <v>38.408389999999997</v>
      </c>
      <c r="F101" s="10">
        <v>14.13828</v>
      </c>
      <c r="G101" s="10">
        <v>38.404530000000001</v>
      </c>
      <c r="H101" s="10">
        <v>14.135199999999999</v>
      </c>
      <c r="I101" s="2">
        <v>45986.811122685183</v>
      </c>
      <c r="J101" s="2">
        <v>45986.852395833332</v>
      </c>
      <c r="K101" s="2">
        <f t="shared" si="5"/>
        <v>4.1273148148320615E-2</v>
      </c>
      <c r="L101" s="7">
        <v>500</v>
      </c>
      <c r="M101" s="1" t="s">
        <v>362</v>
      </c>
      <c r="N101" s="53" t="s">
        <v>360</v>
      </c>
      <c r="O101" s="53" t="s">
        <v>363</v>
      </c>
      <c r="P101" s="1" t="s">
        <v>219</v>
      </c>
    </row>
    <row r="102" spans="1:17">
      <c r="A102" s="1" t="s">
        <v>213</v>
      </c>
      <c r="B102" s="1" t="s">
        <v>364</v>
      </c>
      <c r="C102" s="20">
        <v>45988</v>
      </c>
      <c r="D102" s="26" t="s">
        <v>365</v>
      </c>
      <c r="E102" s="10">
        <v>38.481310000000001</v>
      </c>
      <c r="F102" s="10">
        <v>13.853910000000001</v>
      </c>
      <c r="G102" s="10">
        <v>38.479010000000002</v>
      </c>
      <c r="H102" s="10">
        <v>13.84473</v>
      </c>
      <c r="I102" s="2">
        <v>45986.063634259262</v>
      </c>
      <c r="J102" s="2">
        <v>45986.144502314812</v>
      </c>
      <c r="K102" s="2">
        <f t="shared" si="5"/>
        <v>8.0868055549217388E-2</v>
      </c>
      <c r="L102" s="7">
        <v>860</v>
      </c>
      <c r="M102" s="1" t="s">
        <v>366</v>
      </c>
      <c r="N102" s="53" t="s">
        <v>367</v>
      </c>
      <c r="P102" s="1" t="s">
        <v>219</v>
      </c>
      <c r="Q102" s="118" t="s">
        <v>368</v>
      </c>
    </row>
    <row r="103" spans="1:17">
      <c r="A103" s="1" t="s">
        <v>213</v>
      </c>
      <c r="B103" s="1" t="s">
        <v>364</v>
      </c>
      <c r="C103" s="20">
        <v>45988</v>
      </c>
      <c r="D103" s="26" t="s">
        <v>369</v>
      </c>
      <c r="E103" s="10">
        <v>38.519269999999999</v>
      </c>
      <c r="F103" s="10">
        <v>13.781650000000001</v>
      </c>
      <c r="G103" s="10">
        <v>38.508130000000001</v>
      </c>
      <c r="H103" s="10">
        <v>13.7974</v>
      </c>
      <c r="I103" s="2">
        <v>45988.27851261574</v>
      </c>
      <c r="J103" s="2">
        <v>45988.539546990738</v>
      </c>
      <c r="K103" s="2">
        <f t="shared" si="5"/>
        <v>0.26103437499841675</v>
      </c>
      <c r="L103" s="7">
        <v>1300</v>
      </c>
      <c r="M103" s="1" t="s">
        <v>370</v>
      </c>
      <c r="N103" s="53" t="s">
        <v>371</v>
      </c>
      <c r="P103" s="1" t="s">
        <v>224</v>
      </c>
      <c r="Q103" s="118" t="s">
        <v>368</v>
      </c>
    </row>
    <row r="104" spans="1:17">
      <c r="A104" s="1" t="s">
        <v>213</v>
      </c>
      <c r="B104" s="1" t="s">
        <v>364</v>
      </c>
      <c r="C104" s="20">
        <v>45988</v>
      </c>
      <c r="D104" s="26" t="s">
        <v>372</v>
      </c>
      <c r="E104" s="10">
        <v>38.464759999999998</v>
      </c>
      <c r="F104" s="10">
        <v>13.70736</v>
      </c>
      <c r="G104" s="10">
        <v>38.460259999999998</v>
      </c>
      <c r="H104" s="10">
        <v>13.70726</v>
      </c>
      <c r="I104" s="2">
        <v>0.65460648148148148</v>
      </c>
      <c r="J104" s="2">
        <v>0.79642361111111115</v>
      </c>
      <c r="K104" s="2">
        <f t="shared" si="5"/>
        <v>0.14181712962962967</v>
      </c>
      <c r="L104" s="7">
        <v>500</v>
      </c>
      <c r="M104" s="1" t="s">
        <v>373</v>
      </c>
      <c r="N104" s="53" t="s">
        <v>374</v>
      </c>
      <c r="P104" s="1" t="s">
        <v>224</v>
      </c>
      <c r="Q104" s="118" t="s">
        <v>368</v>
      </c>
    </row>
    <row r="105" spans="1:17" ht="30">
      <c r="A105" s="1" t="s">
        <v>213</v>
      </c>
      <c r="B105" s="1" t="s">
        <v>364</v>
      </c>
      <c r="C105" s="20">
        <v>45988</v>
      </c>
      <c r="D105" s="26" t="s">
        <v>375</v>
      </c>
      <c r="E105" s="10">
        <v>38.426879999999997</v>
      </c>
      <c r="F105" s="10">
        <v>13.75132</v>
      </c>
      <c r="G105" s="10">
        <v>38.422519999999999</v>
      </c>
      <c r="H105" s="10">
        <v>13.748710000000001</v>
      </c>
      <c r="I105" s="2">
        <v>0.9465393518518519</v>
      </c>
      <c r="J105" s="2">
        <v>4.7905092592592589E-2</v>
      </c>
      <c r="K105" s="2">
        <v>0.1</v>
      </c>
      <c r="M105" s="1" t="s">
        <v>376</v>
      </c>
      <c r="N105" s="53" t="s">
        <v>377</v>
      </c>
      <c r="P105" s="1" t="s">
        <v>219</v>
      </c>
      <c r="Q105" s="118" t="s">
        <v>368</v>
      </c>
    </row>
    <row r="106" spans="1:17">
      <c r="A106" s="1" t="s">
        <v>213</v>
      </c>
      <c r="B106" s="1" t="s">
        <v>364</v>
      </c>
      <c r="C106" s="20">
        <v>45989</v>
      </c>
      <c r="D106" s="26" t="s">
        <v>378</v>
      </c>
      <c r="E106" s="10">
        <v>38.392780000000002</v>
      </c>
      <c r="F106" s="10">
        <v>13.876314000000001</v>
      </c>
      <c r="G106" s="10">
        <v>38.387518</v>
      </c>
      <c r="H106" s="10">
        <v>13.871968000000001</v>
      </c>
      <c r="I106" s="2">
        <v>45989.127032407407</v>
      </c>
      <c r="J106" s="2">
        <v>45989.276527430557</v>
      </c>
      <c r="K106" s="2">
        <f t="shared" si="5"/>
        <v>0.14949502314993879</v>
      </c>
      <c r="L106" s="7">
        <v>705</v>
      </c>
      <c r="M106" s="1" t="s">
        <v>379</v>
      </c>
      <c r="N106" s="53" t="s">
        <v>380</v>
      </c>
      <c r="P106" s="1" t="s">
        <v>219</v>
      </c>
      <c r="Q106" s="118" t="s">
        <v>368</v>
      </c>
    </row>
    <row r="107" spans="1:17">
      <c r="A107" s="1" t="s">
        <v>213</v>
      </c>
      <c r="B107" s="1" t="s">
        <v>364</v>
      </c>
      <c r="C107" s="20">
        <v>45989</v>
      </c>
      <c r="D107" s="26" t="s">
        <v>381</v>
      </c>
      <c r="E107" s="10">
        <v>38.330725000000001</v>
      </c>
      <c r="F107" s="10">
        <v>13.73578</v>
      </c>
      <c r="G107" s="10">
        <v>38.336616999999997</v>
      </c>
      <c r="H107" s="10">
        <v>13.740069999999999</v>
      </c>
      <c r="I107" s="2">
        <v>45989.375022916669</v>
      </c>
      <c r="J107" s="2">
        <v>45989.459274537039</v>
      </c>
      <c r="K107" s="2">
        <f t="shared" si="5"/>
        <v>8.4251620370196179E-2</v>
      </c>
      <c r="L107" s="7">
        <v>755</v>
      </c>
      <c r="M107" s="1" t="s">
        <v>382</v>
      </c>
      <c r="P107" s="1" t="s">
        <v>224</v>
      </c>
      <c r="Q107" s="118" t="s">
        <v>368</v>
      </c>
    </row>
    <row r="108" spans="1:17">
      <c r="A108" s="1" t="s">
        <v>213</v>
      </c>
      <c r="B108" s="1" t="s">
        <v>364</v>
      </c>
      <c r="C108" s="20">
        <v>45989</v>
      </c>
      <c r="D108" s="26" t="s">
        <v>383</v>
      </c>
      <c r="E108" s="10">
        <v>38.438110000000002</v>
      </c>
      <c r="F108" s="10">
        <v>13.54674</v>
      </c>
      <c r="G108" s="10">
        <v>38.3844183</v>
      </c>
      <c r="H108" s="10">
        <v>13.53424</v>
      </c>
      <c r="I108" s="2">
        <v>45989.620343171293</v>
      </c>
      <c r="J108" s="56">
        <f t="shared" ref="J108" ca="1" si="12">IF(K108&lt;&gt;0,IF(J108=0,NOW(),J108),)</f>
        <v>45989.853768749999</v>
      </c>
      <c r="K108" s="2">
        <f t="shared" ca="1" si="5"/>
        <v>0.23342557870637393</v>
      </c>
      <c r="L108" s="7">
        <v>1100</v>
      </c>
      <c r="M108" s="1" t="s">
        <v>384</v>
      </c>
      <c r="N108" s="53" t="s">
        <v>385</v>
      </c>
      <c r="P108" s="1" t="s">
        <v>224</v>
      </c>
      <c r="Q108" s="118" t="s">
        <v>368</v>
      </c>
    </row>
    <row r="109" spans="1:17">
      <c r="A109" s="1" t="s">
        <v>213</v>
      </c>
      <c r="B109" s="1" t="s">
        <v>364</v>
      </c>
      <c r="C109" s="20">
        <v>45989</v>
      </c>
      <c r="D109" s="26" t="s">
        <v>386</v>
      </c>
      <c r="E109" s="10">
        <v>38.430700000000002</v>
      </c>
      <c r="F109" s="10">
        <v>13.537879999999999</v>
      </c>
      <c r="G109" s="10">
        <v>38.432940000000002</v>
      </c>
      <c r="H109" s="10">
        <v>13.52923</v>
      </c>
      <c r="I109" s="2">
        <v>45989.937320023149</v>
      </c>
      <c r="J109" s="2">
        <v>45990.080782175923</v>
      </c>
      <c r="K109" s="2">
        <f t="shared" si="5"/>
        <v>0.14346215277328156</v>
      </c>
      <c r="L109" s="7">
        <v>800</v>
      </c>
      <c r="M109" s="1" t="s">
        <v>387</v>
      </c>
      <c r="N109" s="53" t="s">
        <v>385</v>
      </c>
      <c r="P109" s="1" t="s">
        <v>219</v>
      </c>
      <c r="Q109" s="118" t="s">
        <v>368</v>
      </c>
    </row>
    <row r="110" spans="1:17">
      <c r="A110" s="1" t="s">
        <v>213</v>
      </c>
      <c r="B110" s="1" t="s">
        <v>388</v>
      </c>
      <c r="C110" s="20">
        <v>45990</v>
      </c>
      <c r="D110" s="26" t="s">
        <v>389</v>
      </c>
      <c r="E110" s="10">
        <v>38.607669999999999</v>
      </c>
      <c r="F110" s="10">
        <v>13.46993</v>
      </c>
      <c r="G110" s="10">
        <v>38.616329999999998</v>
      </c>
      <c r="H110" s="10">
        <v>13.45795</v>
      </c>
      <c r="I110" s="2">
        <v>45990.284848148149</v>
      </c>
      <c r="J110" s="2">
        <v>45990.522523958331</v>
      </c>
      <c r="K110" s="2">
        <f t="shared" si="5"/>
        <v>0.23767581018182682</v>
      </c>
      <c r="L110" s="7">
        <v>1500</v>
      </c>
      <c r="M110" s="1" t="s">
        <v>390</v>
      </c>
      <c r="N110" s="53" t="s">
        <v>391</v>
      </c>
      <c r="P110" s="1" t="s">
        <v>224</v>
      </c>
      <c r="Q110" s="118" t="s">
        <v>368</v>
      </c>
    </row>
    <row r="111" spans="1:17" ht="30">
      <c r="A111" s="1" t="s">
        <v>213</v>
      </c>
      <c r="B111" s="1" t="s">
        <v>388</v>
      </c>
      <c r="C111" s="20">
        <v>45990</v>
      </c>
      <c r="D111" s="26" t="s">
        <v>392</v>
      </c>
      <c r="E111" s="10">
        <v>38.638979999999997</v>
      </c>
      <c r="F111" s="10">
        <v>13.46635</v>
      </c>
      <c r="G111" s="10">
        <v>38.626820000000002</v>
      </c>
      <c r="H111" s="10">
        <v>13.479039999999999</v>
      </c>
      <c r="I111" s="2">
        <v>45990.680450925924</v>
      </c>
      <c r="J111" s="2">
        <v>45990.949951736111</v>
      </c>
      <c r="K111" s="2">
        <f t="shared" si="5"/>
        <v>0.26950081018730998</v>
      </c>
      <c r="L111" s="7">
        <v>1800</v>
      </c>
      <c r="M111" s="1" t="s">
        <v>393</v>
      </c>
      <c r="N111" s="53" t="s">
        <v>391</v>
      </c>
      <c r="O111" s="53" t="s">
        <v>394</v>
      </c>
      <c r="P111" s="1" t="s">
        <v>219</v>
      </c>
      <c r="Q111" s="118" t="s">
        <v>368</v>
      </c>
    </row>
    <row r="112" spans="1:17">
      <c r="A112" s="1" t="s">
        <v>213</v>
      </c>
      <c r="B112" s="1" t="s">
        <v>388</v>
      </c>
      <c r="C112" s="20">
        <v>45991</v>
      </c>
      <c r="D112" s="26" t="s">
        <v>395</v>
      </c>
      <c r="E112" s="10">
        <v>38.667859999999997</v>
      </c>
      <c r="F112" s="10">
        <v>13.55036</v>
      </c>
      <c r="G112" s="10">
        <v>38.666829999999997</v>
      </c>
      <c r="H112" s="10">
        <v>13.533329999999999</v>
      </c>
      <c r="I112" s="2">
        <v>45991.154294791668</v>
      </c>
      <c r="J112" s="2">
        <v>45991.3237912037</v>
      </c>
      <c r="K112" s="2">
        <f t="shared" si="5"/>
        <v>0.16949641203245847</v>
      </c>
      <c r="L112" s="7">
        <v>1600</v>
      </c>
      <c r="M112" s="1" t="s">
        <v>396</v>
      </c>
      <c r="N112" s="53" t="s">
        <v>391</v>
      </c>
      <c r="P112" s="1" t="s">
        <v>219</v>
      </c>
      <c r="Q112" s="118" t="s">
        <v>368</v>
      </c>
    </row>
    <row r="113" spans="1:17" ht="30">
      <c r="A113" s="1" t="s">
        <v>213</v>
      </c>
      <c r="B113" s="1" t="s">
        <v>364</v>
      </c>
      <c r="C113" s="20">
        <v>45991</v>
      </c>
      <c r="D113" s="26" t="s">
        <v>397</v>
      </c>
      <c r="E113" s="10">
        <v>38.441420000000001</v>
      </c>
      <c r="F113" s="10">
        <v>13.541880000000001</v>
      </c>
      <c r="G113" s="10">
        <v>38.441380000000002</v>
      </c>
      <c r="H113" s="180">
        <v>13.53975</v>
      </c>
      <c r="I113" s="2">
        <v>45991.524392013889</v>
      </c>
      <c r="J113" s="2">
        <v>45991.6795255787</v>
      </c>
      <c r="K113" s="2">
        <f t="shared" si="5"/>
        <v>0.15513356481096707</v>
      </c>
      <c r="L113" s="7">
        <v>250</v>
      </c>
      <c r="M113" s="1" t="s">
        <v>398</v>
      </c>
      <c r="N113" s="53" t="s">
        <v>399</v>
      </c>
      <c r="P113" s="1" t="s">
        <v>224</v>
      </c>
      <c r="Q113" s="118" t="s">
        <v>368</v>
      </c>
    </row>
    <row r="114" spans="1:17" ht="30">
      <c r="A114" s="1" t="s">
        <v>213</v>
      </c>
      <c r="B114" s="1" t="s">
        <v>364</v>
      </c>
      <c r="C114" s="20">
        <v>45991</v>
      </c>
      <c r="D114" s="26" t="s">
        <v>400</v>
      </c>
      <c r="E114" s="10">
        <v>38.438639999999999</v>
      </c>
      <c r="F114" s="10">
        <v>13.546139999999999</v>
      </c>
      <c r="G114" s="10">
        <v>38.439830000000001</v>
      </c>
      <c r="H114" s="10">
        <v>13.546279999999999</v>
      </c>
      <c r="I114" s="2">
        <v>45991.745856481481</v>
      </c>
      <c r="J114" s="2">
        <v>45991.778553240743</v>
      </c>
      <c r="K114" s="2">
        <f t="shared" si="5"/>
        <v>3.2696759262762498E-2</v>
      </c>
      <c r="L114" s="7">
        <v>141</v>
      </c>
      <c r="M114" s="1" t="s">
        <v>401</v>
      </c>
      <c r="N114" s="53" t="s">
        <v>399</v>
      </c>
      <c r="P114" s="1" t="s">
        <v>224</v>
      </c>
      <c r="Q114" s="118" t="s">
        <v>368</v>
      </c>
    </row>
    <row r="115" spans="1:17" ht="30">
      <c r="A115" s="1" t="s">
        <v>213</v>
      </c>
      <c r="B115" s="1" t="s">
        <v>364</v>
      </c>
      <c r="C115" s="20">
        <v>45991</v>
      </c>
      <c r="D115" s="26" t="s">
        <v>402</v>
      </c>
      <c r="E115" s="10">
        <v>38.437269999999998</v>
      </c>
      <c r="F115" s="10">
        <v>13.54613</v>
      </c>
      <c r="G115" s="10">
        <v>38.438949999999998</v>
      </c>
      <c r="H115" s="10">
        <v>13.543570000000001</v>
      </c>
      <c r="I115" s="2">
        <v>45991.809976851851</v>
      </c>
      <c r="J115" s="2">
        <v>45991.952893518515</v>
      </c>
      <c r="K115" s="2">
        <f t="shared" si="5"/>
        <v>0.14291666666395031</v>
      </c>
      <c r="L115" s="7">
        <v>300</v>
      </c>
      <c r="M115" s="1" t="s">
        <v>403</v>
      </c>
      <c r="N115" s="53" t="s">
        <v>399</v>
      </c>
      <c r="P115" s="1" t="s">
        <v>219</v>
      </c>
      <c r="Q115" s="118" t="s">
        <v>368</v>
      </c>
    </row>
    <row r="116" spans="1:17">
      <c r="A116" s="1" t="s">
        <v>213</v>
      </c>
      <c r="B116" s="1" t="s">
        <v>404</v>
      </c>
      <c r="C116" s="20">
        <v>45993</v>
      </c>
      <c r="D116" s="26" t="s">
        <v>405</v>
      </c>
      <c r="E116" s="10">
        <v>38.601579999999998</v>
      </c>
      <c r="F116" s="10">
        <v>12.935930000000001</v>
      </c>
      <c r="G116" s="10">
        <v>38.607799999999997</v>
      </c>
      <c r="H116" s="10">
        <v>12.930339999999999</v>
      </c>
      <c r="I116" s="2">
        <v>0.16559027777777777</v>
      </c>
      <c r="J116" s="2">
        <v>0.35096064814814815</v>
      </c>
      <c r="K116" s="2">
        <f t="shared" si="5"/>
        <v>0.18537037037037038</v>
      </c>
      <c r="L116" s="7">
        <v>801</v>
      </c>
      <c r="M116" s="1" t="s">
        <v>406</v>
      </c>
      <c r="N116" s="53" t="s">
        <v>407</v>
      </c>
      <c r="O116" s="53" t="s">
        <v>408</v>
      </c>
      <c r="P116" s="1" t="s">
        <v>409</v>
      </c>
      <c r="Q116" s="118" t="s">
        <v>368</v>
      </c>
    </row>
    <row r="117" spans="1:17">
      <c r="A117" s="1" t="s">
        <v>213</v>
      </c>
      <c r="B117" s="1" t="s">
        <v>404</v>
      </c>
      <c r="C117" s="20">
        <v>45993</v>
      </c>
      <c r="D117" s="26" t="s">
        <v>410</v>
      </c>
      <c r="E117" s="10">
        <v>38.654949999999999</v>
      </c>
      <c r="F117" s="10">
        <v>12.961790000000001</v>
      </c>
      <c r="G117" s="10">
        <v>38.661360000000002</v>
      </c>
      <c r="H117" s="10">
        <v>12.94333</v>
      </c>
      <c r="I117" s="2">
        <v>0.50872685185185185</v>
      </c>
      <c r="J117" s="2">
        <v>0.72584490740740737</v>
      </c>
      <c r="K117" s="2">
        <f t="shared" ref="K117" si="13">J117-I117</f>
        <v>0.21711805555555552</v>
      </c>
      <c r="L117" s="7">
        <v>1751</v>
      </c>
      <c r="M117" s="1" t="s">
        <v>411</v>
      </c>
      <c r="N117" s="53" t="s">
        <v>412</v>
      </c>
      <c r="O117" s="53" t="s">
        <v>413</v>
      </c>
      <c r="P117" s="1" t="s">
        <v>409</v>
      </c>
      <c r="Q117" s="118" t="s">
        <v>368</v>
      </c>
    </row>
    <row r="118" spans="1:17">
      <c r="A118" s="1" t="s">
        <v>213</v>
      </c>
      <c r="B118" s="1" t="s">
        <v>404</v>
      </c>
      <c r="C118" s="20">
        <v>45993</v>
      </c>
      <c r="D118" s="26" t="s">
        <v>414</v>
      </c>
      <c r="E118" s="10">
        <v>38.661970567899999</v>
      </c>
      <c r="F118" s="10">
        <v>12.866629040899999</v>
      </c>
      <c r="G118" s="10">
        <v>38.674337000000001</v>
      </c>
      <c r="H118" s="10">
        <v>12.86647</v>
      </c>
      <c r="I118" s="56">
        <v>0.86324074074074075</v>
      </c>
      <c r="J118" s="2">
        <v>1.0161342592592593</v>
      </c>
      <c r="K118" s="2">
        <f t="shared" ref="K118" si="14">J118-I118</f>
        <v>0.15289351851851851</v>
      </c>
      <c r="L118" s="7" t="s">
        <v>415</v>
      </c>
      <c r="M118" s="1" t="s">
        <v>416</v>
      </c>
      <c r="N118" s="53" t="s">
        <v>417</v>
      </c>
      <c r="P118" s="1" t="s">
        <v>418</v>
      </c>
      <c r="Q118" s="118" t="s">
        <v>368</v>
      </c>
    </row>
    <row r="119" spans="1:17">
      <c r="A119" s="1" t="s">
        <v>213</v>
      </c>
      <c r="B119" s="1" t="s">
        <v>404</v>
      </c>
      <c r="C119" s="20">
        <v>45994</v>
      </c>
      <c r="D119" s="26" t="s">
        <v>419</v>
      </c>
      <c r="E119" s="10">
        <v>38.683115000000001</v>
      </c>
      <c r="F119" s="10">
        <v>12.850960000000001</v>
      </c>
      <c r="G119" s="10">
        <v>38.680768743000002</v>
      </c>
      <c r="H119" s="10">
        <v>12.8661632972</v>
      </c>
      <c r="I119" s="2">
        <v>0.1135300925925926</v>
      </c>
      <c r="J119" s="2">
        <v>0.22131944444444446</v>
      </c>
      <c r="K119" s="2">
        <f t="shared" si="5"/>
        <v>0.10778935185185186</v>
      </c>
      <c r="L119" s="7">
        <v>514</v>
      </c>
      <c r="M119" s="1" t="s">
        <v>420</v>
      </c>
      <c r="N119" s="53" t="s">
        <v>421</v>
      </c>
      <c r="P119" s="1" t="s">
        <v>418</v>
      </c>
      <c r="Q119" s="118" t="s">
        <v>368</v>
      </c>
    </row>
    <row r="120" spans="1:17">
      <c r="A120" s="1" t="s">
        <v>213</v>
      </c>
      <c r="B120" s="1" t="s">
        <v>404</v>
      </c>
      <c r="C120" s="20">
        <v>45994</v>
      </c>
      <c r="D120" s="26" t="s">
        <v>422</v>
      </c>
      <c r="E120" s="10">
        <v>38.685749999999999</v>
      </c>
      <c r="F120" s="10">
        <v>12.82644</v>
      </c>
      <c r="G120" s="10">
        <v>38.691980000000001</v>
      </c>
      <c r="H120" s="10">
        <v>12.825570000000001</v>
      </c>
      <c r="I120" s="2">
        <v>0.34125</v>
      </c>
      <c r="J120" s="2">
        <v>0.53961805555555553</v>
      </c>
      <c r="K120" s="2">
        <f t="shared" ref="K120" si="15">J120-I120</f>
        <v>0.19836805555555553</v>
      </c>
      <c r="L120" s="7">
        <v>680</v>
      </c>
      <c r="M120" s="1" t="s">
        <v>423</v>
      </c>
      <c r="N120" s="53" t="s">
        <v>424</v>
      </c>
      <c r="P120" s="1" t="s">
        <v>409</v>
      </c>
      <c r="Q120" s="118" t="s">
        <v>368</v>
      </c>
    </row>
    <row r="121" spans="1:17">
      <c r="A121" s="1" t="s">
        <v>213</v>
      </c>
      <c r="B121" s="1" t="s">
        <v>404</v>
      </c>
      <c r="C121" s="20">
        <v>45994</v>
      </c>
      <c r="D121" s="26" t="s">
        <v>425</v>
      </c>
      <c r="E121" s="10">
        <v>38.725850000000001</v>
      </c>
      <c r="F121" s="10">
        <v>12.835637</v>
      </c>
      <c r="G121" s="10">
        <v>38.715648000000002</v>
      </c>
      <c r="H121" s="10">
        <v>12.828746000000001</v>
      </c>
      <c r="I121" s="2">
        <v>0.64694444444444443</v>
      </c>
      <c r="J121" s="2">
        <v>21.880381944444444</v>
      </c>
      <c r="K121" s="2">
        <f t="shared" ref="K121" si="16">J121-I121</f>
        <v>21.233437500000001</v>
      </c>
      <c r="L121" s="7">
        <v>1293</v>
      </c>
      <c r="M121" s="1" t="s">
        <v>426</v>
      </c>
      <c r="N121" s="53" t="s">
        <v>427</v>
      </c>
      <c r="P121" s="1" t="s">
        <v>418</v>
      </c>
      <c r="Q121" s="118" t="s">
        <v>368</v>
      </c>
    </row>
    <row r="122" spans="1:17">
      <c r="A122" s="1" t="s">
        <v>213</v>
      </c>
      <c r="B122" s="1" t="s">
        <v>404</v>
      </c>
      <c r="C122" s="20">
        <v>45995</v>
      </c>
      <c r="D122" s="62" t="s">
        <v>428</v>
      </c>
      <c r="E122" s="10">
        <v>38.720937999999997</v>
      </c>
      <c r="F122" s="10">
        <v>12.87543</v>
      </c>
      <c r="G122" s="10">
        <v>38.715329903099999</v>
      </c>
      <c r="H122" s="10">
        <v>12.874846227000001</v>
      </c>
      <c r="I122" s="63">
        <v>2.3784722222222221E-2</v>
      </c>
      <c r="J122" s="2">
        <v>4.1926620370370369</v>
      </c>
      <c r="K122" s="2">
        <f t="shared" si="5"/>
        <v>4.1688773148148144</v>
      </c>
      <c r="L122" s="7">
        <v>610</v>
      </c>
      <c r="M122" s="1" t="s">
        <v>429</v>
      </c>
      <c r="N122" s="53" t="s">
        <v>430</v>
      </c>
      <c r="P122" s="1" t="s">
        <v>418</v>
      </c>
      <c r="Q122" s="118" t="s">
        <v>368</v>
      </c>
    </row>
    <row r="123" spans="1:17" ht="30">
      <c r="A123" s="1" t="s">
        <v>213</v>
      </c>
      <c r="B123" s="1" t="s">
        <v>404</v>
      </c>
      <c r="C123" s="20">
        <v>45995</v>
      </c>
      <c r="D123" s="62" t="s">
        <v>431</v>
      </c>
      <c r="E123" s="10">
        <v>38.705030000000001</v>
      </c>
      <c r="F123" s="10">
        <v>12.888030000000001</v>
      </c>
      <c r="G123" s="10">
        <v>38.691310000000001</v>
      </c>
      <c r="H123" s="10">
        <v>12.893079999999999</v>
      </c>
      <c r="I123" s="63">
        <v>0.30039351851851853</v>
      </c>
      <c r="J123" s="2">
        <v>0.54918981481481477</v>
      </c>
      <c r="K123" s="2">
        <f t="shared" ref="K123:K127" si="17">J123-I123</f>
        <v>0.24879629629629624</v>
      </c>
      <c r="L123" s="7">
        <v>1844</v>
      </c>
      <c r="M123" s="1" t="s">
        <v>432</v>
      </c>
      <c r="N123" s="53" t="s">
        <v>433</v>
      </c>
      <c r="P123" s="1" t="s">
        <v>409</v>
      </c>
      <c r="Q123" s="118" t="s">
        <v>368</v>
      </c>
    </row>
    <row r="124" spans="1:17">
      <c r="A124" s="1" t="s">
        <v>213</v>
      </c>
      <c r="B124" s="1" t="s">
        <v>434</v>
      </c>
      <c r="C124" s="20">
        <v>45996</v>
      </c>
      <c r="D124" s="62" t="s">
        <v>435</v>
      </c>
      <c r="E124" s="10">
        <v>38.866346999999998</v>
      </c>
      <c r="F124" s="10">
        <v>14.910114999999999</v>
      </c>
      <c r="G124" s="10">
        <v>38.854379999999999</v>
      </c>
      <c r="H124" s="10">
        <v>14.916550000000001</v>
      </c>
      <c r="I124" s="63">
        <v>0.52638888888888891</v>
      </c>
      <c r="J124" s="2">
        <v>0.68541666666666667</v>
      </c>
      <c r="K124" s="2">
        <f t="shared" si="17"/>
        <v>0.15902777777777777</v>
      </c>
      <c r="L124" s="7">
        <v>1450</v>
      </c>
      <c r="M124" s="1" t="s">
        <v>436</v>
      </c>
      <c r="N124" s="53" t="s">
        <v>437</v>
      </c>
      <c r="O124" s="53" t="s">
        <v>438</v>
      </c>
      <c r="P124" s="1" t="s">
        <v>409</v>
      </c>
      <c r="Q124" s="118" t="s">
        <v>368</v>
      </c>
    </row>
    <row r="125" spans="1:17">
      <c r="A125" s="1" t="s">
        <v>213</v>
      </c>
      <c r="B125" s="1" t="s">
        <v>434</v>
      </c>
      <c r="C125" s="20">
        <v>45996</v>
      </c>
      <c r="D125" s="26" t="s">
        <v>439</v>
      </c>
      <c r="E125" s="10">
        <v>38.830599999999997</v>
      </c>
      <c r="F125" s="10">
        <v>14.92521</v>
      </c>
      <c r="G125" s="10">
        <v>38.846989999999998</v>
      </c>
      <c r="H125" s="10">
        <v>14.92609</v>
      </c>
      <c r="I125" s="2">
        <v>0.82464120370370375</v>
      </c>
      <c r="J125" s="2">
        <v>0.98056712962962966</v>
      </c>
      <c r="K125" s="2">
        <f t="shared" si="17"/>
        <v>0.15592592592592591</v>
      </c>
      <c r="L125" s="7">
        <v>1905</v>
      </c>
      <c r="M125" s="1" t="s">
        <v>440</v>
      </c>
      <c r="N125" s="53" t="s">
        <v>441</v>
      </c>
      <c r="P125" s="1" t="s">
        <v>418</v>
      </c>
      <c r="Q125" s="118" t="s">
        <v>368</v>
      </c>
    </row>
    <row r="126" spans="1:17">
      <c r="A126" s="1" t="s">
        <v>213</v>
      </c>
      <c r="B126" s="1" t="s">
        <v>434</v>
      </c>
      <c r="C126" s="20">
        <v>45997</v>
      </c>
      <c r="D126" s="26" t="s">
        <v>442</v>
      </c>
      <c r="E126" s="10">
        <v>38.861469999999997</v>
      </c>
      <c r="F126" s="10">
        <v>14.94364</v>
      </c>
      <c r="G126" s="10">
        <v>38.856400000000001</v>
      </c>
      <c r="H126" s="10">
        <v>14.938700000000001</v>
      </c>
      <c r="I126" s="2">
        <v>0.11142361111111111</v>
      </c>
      <c r="J126" s="2">
        <v>0.26041666666666669</v>
      </c>
      <c r="K126" s="2">
        <f t="shared" si="17"/>
        <v>0.14899305555555559</v>
      </c>
      <c r="L126" s="7">
        <v>700</v>
      </c>
      <c r="M126" s="1" t="s">
        <v>443</v>
      </c>
      <c r="N126" s="53" t="s">
        <v>444</v>
      </c>
      <c r="P126" s="1" t="s">
        <v>418</v>
      </c>
      <c r="Q126" s="118" t="s">
        <v>368</v>
      </c>
    </row>
    <row r="127" spans="1:17" ht="45">
      <c r="A127" s="1" t="s">
        <v>213</v>
      </c>
      <c r="B127" s="1" t="s">
        <v>434</v>
      </c>
      <c r="C127" s="20">
        <v>45998</v>
      </c>
      <c r="D127" s="26" t="s">
        <v>442</v>
      </c>
      <c r="E127" s="10">
        <v>38.855670000000003</v>
      </c>
      <c r="F127" s="10">
        <v>14.937760000000001</v>
      </c>
      <c r="G127" s="10">
        <v>38.853789999999996</v>
      </c>
      <c r="H127" s="10">
        <v>14.93573</v>
      </c>
      <c r="I127" s="2">
        <v>0.39407407407407408</v>
      </c>
      <c r="J127" s="2">
        <v>0.52986111111111112</v>
      </c>
      <c r="K127" s="2">
        <f t="shared" si="17"/>
        <v>0.13578703703703704</v>
      </c>
      <c r="L127" s="7">
        <v>400</v>
      </c>
      <c r="M127" s="1" t="s">
        <v>445</v>
      </c>
      <c r="N127" s="53" t="s">
        <v>446</v>
      </c>
      <c r="O127" s="53" t="s">
        <v>447</v>
      </c>
      <c r="P127" s="1" t="s">
        <v>409</v>
      </c>
      <c r="Q127" s="118" t="s">
        <v>368</v>
      </c>
    </row>
    <row r="128" spans="1:17">
      <c r="A128" s="1" t="s">
        <v>213</v>
      </c>
      <c r="B128" s="1" t="s">
        <v>404</v>
      </c>
      <c r="C128" s="20">
        <v>45999</v>
      </c>
      <c r="D128" s="26" t="s">
        <v>448</v>
      </c>
      <c r="E128" s="10">
        <v>38.591709999999999</v>
      </c>
      <c r="F128" s="10">
        <v>12.77994</v>
      </c>
      <c r="G128" s="10">
        <v>38.60089</v>
      </c>
      <c r="H128" s="10">
        <v>12.77664</v>
      </c>
      <c r="I128" s="2">
        <v>0.26623842592592595</v>
      </c>
      <c r="J128" s="2">
        <v>0.35138888888888886</v>
      </c>
      <c r="K128" s="2">
        <f t="shared" ref="K128:K188" si="18">J128-I128</f>
        <v>8.5150462962962914E-2</v>
      </c>
      <c r="L128" s="7">
        <v>1050</v>
      </c>
      <c r="M128" s="1" t="s">
        <v>449</v>
      </c>
      <c r="N128" s="53" t="s">
        <v>450</v>
      </c>
      <c r="O128" s="53" t="s">
        <v>451</v>
      </c>
      <c r="P128" s="1" t="s">
        <v>409</v>
      </c>
      <c r="Q128" s="118" t="s">
        <v>368</v>
      </c>
    </row>
    <row r="129" spans="1:17">
      <c r="A129" s="1" t="s">
        <v>213</v>
      </c>
      <c r="B129" s="1" t="s">
        <v>404</v>
      </c>
      <c r="C129" s="20">
        <v>45999</v>
      </c>
      <c r="D129" s="26" t="s">
        <v>452</v>
      </c>
      <c r="E129" s="10">
        <v>38.66142</v>
      </c>
      <c r="F129" s="10">
        <v>12.79487</v>
      </c>
      <c r="G129" s="10">
        <v>38.67071</v>
      </c>
      <c r="H129" s="10">
        <v>12.787599999999999</v>
      </c>
      <c r="I129" s="2">
        <v>0.47638888888888886</v>
      </c>
      <c r="J129" s="2">
        <v>0.58680555555555558</v>
      </c>
      <c r="K129" s="2">
        <f t="shared" ref="K129" si="19">J129-I129</f>
        <v>0.11041666666666672</v>
      </c>
      <c r="L129" s="7">
        <v>1205</v>
      </c>
      <c r="M129" s="1" t="s">
        <v>453</v>
      </c>
      <c r="N129" s="53" t="s">
        <v>454</v>
      </c>
      <c r="O129" s="53" t="s">
        <v>455</v>
      </c>
      <c r="P129" s="1" t="s">
        <v>409</v>
      </c>
      <c r="Q129" s="118" t="s">
        <v>368</v>
      </c>
    </row>
    <row r="130" spans="1:17" s="64" customFormat="1" ht="30">
      <c r="A130" s="64" t="s">
        <v>213</v>
      </c>
      <c r="B130" s="64" t="s">
        <v>404</v>
      </c>
      <c r="C130" s="65">
        <v>45999</v>
      </c>
      <c r="D130" s="66" t="s">
        <v>456</v>
      </c>
      <c r="E130" s="67">
        <v>38.725810000000003</v>
      </c>
      <c r="F130" s="67">
        <v>12.75056</v>
      </c>
      <c r="G130" s="67"/>
      <c r="H130" s="67"/>
      <c r="I130" s="68"/>
      <c r="J130" s="68">
        <v>0.72222222222222221</v>
      </c>
      <c r="K130" s="68">
        <f t="shared" ref="K130" si="20">J130-I130</f>
        <v>0.72222222222222221</v>
      </c>
      <c r="L130" s="69"/>
      <c r="M130" s="64">
        <v>1740</v>
      </c>
      <c r="N130" s="70"/>
      <c r="O130" s="70" t="s">
        <v>457</v>
      </c>
      <c r="P130" s="64" t="s">
        <v>409</v>
      </c>
      <c r="Q130" s="119" t="s">
        <v>368</v>
      </c>
    </row>
    <row r="131" spans="1:17">
      <c r="A131" s="1" t="s">
        <v>213</v>
      </c>
      <c r="B131" s="1" t="s">
        <v>404</v>
      </c>
      <c r="C131" s="20">
        <v>45999</v>
      </c>
      <c r="D131" s="62" t="s">
        <v>456</v>
      </c>
      <c r="E131" s="10">
        <v>38.724014314999998</v>
      </c>
      <c r="F131" s="10">
        <v>12.750009621</v>
      </c>
      <c r="G131" s="10">
        <v>38.717012277999999</v>
      </c>
      <c r="H131" s="10">
        <v>12.747479418999999</v>
      </c>
      <c r="I131" s="63">
        <v>0.9105092592592593</v>
      </c>
      <c r="J131" s="2">
        <v>46000.17428240741</v>
      </c>
      <c r="K131" s="2">
        <f>J131-I131</f>
        <v>45999.263773148152</v>
      </c>
      <c r="L131" s="7">
        <v>1120</v>
      </c>
      <c r="M131" s="1" t="s">
        <v>458</v>
      </c>
      <c r="N131" s="53" t="s">
        <v>459</v>
      </c>
      <c r="O131" s="53" t="s">
        <v>460</v>
      </c>
      <c r="P131" s="1" t="s">
        <v>418</v>
      </c>
      <c r="Q131" s="118" t="s">
        <v>368</v>
      </c>
    </row>
    <row r="132" spans="1:17">
      <c r="A132" s="1" t="s">
        <v>213</v>
      </c>
      <c r="B132" s="1" t="s">
        <v>404</v>
      </c>
      <c r="C132" s="20">
        <v>46000</v>
      </c>
      <c r="D132" s="62" t="s">
        <v>461</v>
      </c>
      <c r="E132" s="10">
        <v>38.719259999999998</v>
      </c>
      <c r="F132" s="10">
        <v>12.57694</v>
      </c>
      <c r="G132" s="10">
        <v>38.713279999999997</v>
      </c>
      <c r="H132" s="10">
        <v>12.582739999999999</v>
      </c>
      <c r="I132" s="63">
        <v>0.35486111111111113</v>
      </c>
      <c r="J132" s="2">
        <v>0.42430555555555555</v>
      </c>
      <c r="K132" s="2">
        <f>J132-I132</f>
        <v>6.944444444444442E-2</v>
      </c>
      <c r="L132" s="7">
        <v>860</v>
      </c>
      <c r="M132" s="1" t="s">
        <v>462</v>
      </c>
      <c r="N132" s="53" t="s">
        <v>463</v>
      </c>
      <c r="O132" s="53" t="s">
        <v>464</v>
      </c>
      <c r="P132" s="1" t="s">
        <v>409</v>
      </c>
      <c r="Q132" s="118" t="s">
        <v>368</v>
      </c>
    </row>
    <row r="133" spans="1:17">
      <c r="A133" s="1" t="s">
        <v>213</v>
      </c>
      <c r="B133" s="1" t="s">
        <v>404</v>
      </c>
      <c r="C133" s="20">
        <v>46000</v>
      </c>
      <c r="D133" s="62" t="s">
        <v>465</v>
      </c>
      <c r="E133" s="10">
        <v>38.720680000000002</v>
      </c>
      <c r="F133" s="10">
        <v>12.748860000000001</v>
      </c>
      <c r="I133" s="63">
        <v>0.56527777777777777</v>
      </c>
      <c r="J133" s="2">
        <v>0.73402777777777772</v>
      </c>
      <c r="K133" s="2">
        <f>J133-I133</f>
        <v>0.16874999999999996</v>
      </c>
      <c r="M133" s="1">
        <v>1303</v>
      </c>
      <c r="N133" s="53" t="s">
        <v>466</v>
      </c>
      <c r="O133" s="53" t="s">
        <v>467</v>
      </c>
      <c r="P133" s="1" t="s">
        <v>409</v>
      </c>
      <c r="Q133" s="118" t="s">
        <v>368</v>
      </c>
    </row>
    <row r="134" spans="1:17" ht="45">
      <c r="A134" s="1" t="s">
        <v>213</v>
      </c>
      <c r="B134" s="1" t="s">
        <v>468</v>
      </c>
      <c r="C134" s="20">
        <v>46000</v>
      </c>
      <c r="D134" s="73" t="s">
        <v>469</v>
      </c>
      <c r="E134" s="10">
        <v>38.743301078999998</v>
      </c>
      <c r="F134" s="10">
        <v>12.631227673</v>
      </c>
      <c r="G134" s="10">
        <v>38.750415070000003</v>
      </c>
      <c r="H134" s="10">
        <v>12.64151098</v>
      </c>
      <c r="I134" s="2">
        <v>0.91236111111111107</v>
      </c>
      <c r="J134" s="2">
        <v>46001.031712962962</v>
      </c>
      <c r="K134" s="2">
        <f>J134-I134</f>
        <v>46000.119351851848</v>
      </c>
      <c r="L134" s="7">
        <v>1197</v>
      </c>
      <c r="M134" s="1" t="s">
        <v>470</v>
      </c>
      <c r="N134" s="53" t="s">
        <v>471</v>
      </c>
      <c r="O134" s="53" t="s">
        <v>472</v>
      </c>
      <c r="P134" s="51" t="s">
        <v>418</v>
      </c>
      <c r="Q134" s="118" t="s">
        <v>368</v>
      </c>
    </row>
    <row r="135" spans="1:17">
      <c r="A135" s="1" t="s">
        <v>213</v>
      </c>
      <c r="B135" s="1" t="s">
        <v>468</v>
      </c>
      <c r="C135" s="20">
        <v>46001</v>
      </c>
      <c r="D135" s="73" t="s">
        <v>473</v>
      </c>
      <c r="E135" s="10">
        <v>38.766330000000004</v>
      </c>
      <c r="F135" s="10">
        <v>12.66411102</v>
      </c>
      <c r="G135" s="10">
        <v>38.775019999999998</v>
      </c>
      <c r="H135" s="10">
        <v>12.66771</v>
      </c>
      <c r="I135" s="2">
        <v>0.17320601851851852</v>
      </c>
      <c r="J135" s="2">
        <v>0.26208333333333333</v>
      </c>
      <c r="K135" s="2">
        <f t="shared" si="18"/>
        <v>8.8877314814814812E-2</v>
      </c>
      <c r="L135" s="7">
        <v>1100</v>
      </c>
      <c r="M135" s="1" t="s">
        <v>474</v>
      </c>
      <c r="N135" s="53" t="s">
        <v>471</v>
      </c>
      <c r="P135" s="51" t="s">
        <v>418</v>
      </c>
      <c r="Q135" s="118" t="s">
        <v>368</v>
      </c>
    </row>
    <row r="136" spans="1:17">
      <c r="A136" s="1" t="s">
        <v>213</v>
      </c>
      <c r="B136" s="1" t="s">
        <v>468</v>
      </c>
      <c r="C136" s="20">
        <v>46001</v>
      </c>
      <c r="D136" s="73" t="s">
        <v>475</v>
      </c>
      <c r="E136" s="10">
        <v>38.784350000000003</v>
      </c>
      <c r="F136" s="10">
        <v>12.63856</v>
      </c>
      <c r="G136" s="10">
        <v>38.799469999999999</v>
      </c>
      <c r="H136" s="10">
        <v>12.62588</v>
      </c>
      <c r="I136" s="2">
        <v>0.40277777777777779</v>
      </c>
      <c r="J136" s="2">
        <v>0.54513888888888884</v>
      </c>
      <c r="K136" s="2">
        <f t="shared" ref="K136" si="21">J136-I136</f>
        <v>0.14236111111111105</v>
      </c>
      <c r="L136" s="7">
        <v>2000</v>
      </c>
      <c r="M136" s="1" t="s">
        <v>476</v>
      </c>
      <c r="N136" s="53" t="s">
        <v>477</v>
      </c>
      <c r="O136" s="53" t="s">
        <v>478</v>
      </c>
      <c r="P136" s="1" t="s">
        <v>409</v>
      </c>
      <c r="Q136" s="118" t="s">
        <v>368</v>
      </c>
    </row>
    <row r="137" spans="1:17">
      <c r="A137" s="1" t="s">
        <v>213</v>
      </c>
      <c r="B137" s="1" t="s">
        <v>468</v>
      </c>
      <c r="C137" s="20">
        <v>46001</v>
      </c>
      <c r="D137" s="73" t="s">
        <v>479</v>
      </c>
      <c r="E137" s="10">
        <v>38.811979999999998</v>
      </c>
      <c r="F137" s="10">
        <v>12.62185</v>
      </c>
      <c r="G137" s="181">
        <v>38.802750000000003</v>
      </c>
      <c r="H137" s="181">
        <v>12.61848</v>
      </c>
      <c r="I137" s="63">
        <v>0.67435185185185187</v>
      </c>
      <c r="J137" s="2">
        <v>46002.157187500001</v>
      </c>
      <c r="K137" s="2">
        <f t="shared" si="18"/>
        <v>46001.482835648152</v>
      </c>
      <c r="L137" s="51">
        <v>1049</v>
      </c>
      <c r="M137" s="1" t="s">
        <v>480</v>
      </c>
      <c r="N137" s="122" t="s">
        <v>481</v>
      </c>
      <c r="O137" s="53" t="s">
        <v>482</v>
      </c>
      <c r="P137" s="1" t="s">
        <v>483</v>
      </c>
      <c r="Q137" s="118" t="s">
        <v>368</v>
      </c>
    </row>
    <row r="138" spans="1:17">
      <c r="A138" s="1" t="s">
        <v>213</v>
      </c>
      <c r="B138" s="1" t="s">
        <v>468</v>
      </c>
      <c r="C138" s="20">
        <v>46002</v>
      </c>
      <c r="D138" s="73" t="s">
        <v>484</v>
      </c>
      <c r="E138" s="10">
        <v>38.768090000000001</v>
      </c>
      <c r="F138" s="10">
        <v>12.61745</v>
      </c>
      <c r="G138" s="181">
        <v>38.772750000000002</v>
      </c>
      <c r="H138" s="181">
        <v>12.617279999999999</v>
      </c>
      <c r="I138" s="63">
        <v>0.31388888888888888</v>
      </c>
      <c r="J138" s="2">
        <v>0.35694444444444445</v>
      </c>
      <c r="K138" s="2">
        <f t="shared" ref="K138" si="22">J138-I138</f>
        <v>4.3055555555555569E-2</v>
      </c>
      <c r="L138" s="51">
        <v>510</v>
      </c>
      <c r="M138" s="1" t="s">
        <v>485</v>
      </c>
      <c r="N138" s="122" t="s">
        <v>486</v>
      </c>
      <c r="O138" s="53" t="s">
        <v>487</v>
      </c>
      <c r="P138" s="1" t="s">
        <v>409</v>
      </c>
      <c r="Q138" s="118" t="s">
        <v>368</v>
      </c>
    </row>
    <row r="139" spans="1:17">
      <c r="A139" s="1" t="s">
        <v>213</v>
      </c>
      <c r="B139" s="1" t="s">
        <v>488</v>
      </c>
      <c r="C139" s="20">
        <v>46002</v>
      </c>
      <c r="D139" s="26" t="s">
        <v>489</v>
      </c>
      <c r="E139" s="10">
        <v>38.82414</v>
      </c>
      <c r="F139" s="10">
        <v>12.729749999999999</v>
      </c>
      <c r="G139" s="10">
        <v>38.818260000000002</v>
      </c>
      <c r="H139" s="10">
        <v>12.73315</v>
      </c>
      <c r="I139" s="2">
        <v>0.53541666666666665</v>
      </c>
      <c r="J139" s="2">
        <v>0.59583333333333333</v>
      </c>
      <c r="K139" s="2">
        <f t="shared" si="18"/>
        <v>6.0416666666666674E-2</v>
      </c>
      <c r="L139" s="7">
        <v>700</v>
      </c>
      <c r="M139" s="1" t="s">
        <v>490</v>
      </c>
      <c r="N139" s="122" t="s">
        <v>486</v>
      </c>
      <c r="O139" s="53" t="s">
        <v>491</v>
      </c>
      <c r="P139" s="1" t="s">
        <v>409</v>
      </c>
      <c r="Q139" s="118" t="s">
        <v>368</v>
      </c>
    </row>
    <row r="140" spans="1:17">
      <c r="A140" s="1" t="s">
        <v>213</v>
      </c>
      <c r="B140" s="1" t="s">
        <v>488</v>
      </c>
      <c r="C140" s="20">
        <v>46002</v>
      </c>
      <c r="D140" s="26" t="s">
        <v>489</v>
      </c>
      <c r="E140" s="10">
        <v>38.818049999999999</v>
      </c>
      <c r="F140" s="10">
        <v>12.73326</v>
      </c>
      <c r="G140" s="10">
        <v>38.811575333</v>
      </c>
      <c r="H140" s="10">
        <v>12.737271048</v>
      </c>
      <c r="I140" s="2">
        <v>0.74652777777777779</v>
      </c>
      <c r="J140" s="2">
        <v>0.81211805555555561</v>
      </c>
      <c r="K140" s="2">
        <f t="shared" ref="K140" si="23">J140-I140</f>
        <v>6.5590277777777817E-2</v>
      </c>
      <c r="L140" s="7">
        <v>1531</v>
      </c>
      <c r="M140" s="1" t="s">
        <v>492</v>
      </c>
      <c r="N140" s="122" t="s">
        <v>493</v>
      </c>
      <c r="O140" s="53" t="s">
        <v>494</v>
      </c>
      <c r="P140" s="1" t="s">
        <v>409</v>
      </c>
      <c r="Q140" s="118" t="s">
        <v>368</v>
      </c>
    </row>
    <row r="141" spans="1:17" ht="30">
      <c r="A141" s="1" t="s">
        <v>213</v>
      </c>
      <c r="B141" s="1" t="s">
        <v>488</v>
      </c>
      <c r="C141" s="20">
        <v>46003</v>
      </c>
      <c r="D141" s="73" t="s">
        <v>495</v>
      </c>
      <c r="E141" s="10">
        <v>38.811269494999998</v>
      </c>
      <c r="F141" s="10">
        <v>12.789278013000001</v>
      </c>
      <c r="G141" s="10">
        <v>38.797300665999998</v>
      </c>
      <c r="H141" s="10">
        <v>12.796161723999999</v>
      </c>
      <c r="I141" s="2">
        <v>2.6249999999999999E-2</v>
      </c>
      <c r="J141" s="2">
        <v>0.13739583333333333</v>
      </c>
      <c r="K141" s="2">
        <f t="shared" si="18"/>
        <v>0.11114583333333333</v>
      </c>
      <c r="L141" s="7">
        <v>1657</v>
      </c>
      <c r="M141" s="1" t="s">
        <v>496</v>
      </c>
      <c r="N141" s="53" t="s">
        <v>497</v>
      </c>
      <c r="O141" s="123" t="s">
        <v>498</v>
      </c>
      <c r="P141" s="51" t="s">
        <v>418</v>
      </c>
      <c r="Q141" s="118" t="s">
        <v>368</v>
      </c>
    </row>
    <row r="142" spans="1:17">
      <c r="A142" s="1" t="s">
        <v>213</v>
      </c>
      <c r="B142" s="1" t="s">
        <v>488</v>
      </c>
      <c r="C142" s="20">
        <v>46003</v>
      </c>
      <c r="D142" s="73" t="s">
        <v>499</v>
      </c>
      <c r="E142" s="10">
        <v>38.80565</v>
      </c>
      <c r="F142" s="10">
        <v>12.82732</v>
      </c>
      <c r="G142" s="10">
        <v>38.795990000000003</v>
      </c>
      <c r="H142" s="10">
        <v>12.83911</v>
      </c>
      <c r="I142" s="2">
        <v>0.31575231481481481</v>
      </c>
      <c r="J142" s="2">
        <v>0.52222222222222225</v>
      </c>
      <c r="K142" s="2">
        <f t="shared" ref="K142" si="24">J142-I142</f>
        <v>0.20646990740740745</v>
      </c>
      <c r="L142" s="7">
        <v>1500</v>
      </c>
      <c r="M142" s="1" t="s">
        <v>500</v>
      </c>
      <c r="N142" s="53" t="s">
        <v>501</v>
      </c>
      <c r="O142" s="123" t="s">
        <v>502</v>
      </c>
      <c r="P142" s="1" t="s">
        <v>409</v>
      </c>
      <c r="Q142" s="118" t="s">
        <v>368</v>
      </c>
    </row>
    <row r="143" spans="1:17" ht="30">
      <c r="A143" s="1" t="s">
        <v>213</v>
      </c>
      <c r="B143" s="1" t="s">
        <v>488</v>
      </c>
      <c r="C143" s="20">
        <v>46003</v>
      </c>
      <c r="D143" s="73" t="s">
        <v>503</v>
      </c>
      <c r="E143" s="10">
        <v>38.753990000999998</v>
      </c>
      <c r="F143" s="10">
        <v>12.838462720000001</v>
      </c>
      <c r="G143" s="10">
        <v>38.767745300000001</v>
      </c>
      <c r="H143" s="10">
        <v>12.836892888</v>
      </c>
      <c r="I143" s="2">
        <v>0.82549768518518518</v>
      </c>
      <c r="J143" s="2">
        <v>0.93594907407407413</v>
      </c>
      <c r="K143" s="2">
        <f t="shared" ref="K143" si="25">J143-I143</f>
        <v>0.11045138888888895</v>
      </c>
      <c r="L143" s="7">
        <v>1527</v>
      </c>
      <c r="M143" s="1" t="s">
        <v>504</v>
      </c>
      <c r="N143" s="53" t="s">
        <v>505</v>
      </c>
      <c r="O143" s="123" t="s">
        <v>506</v>
      </c>
      <c r="P143" s="51" t="s">
        <v>418</v>
      </c>
      <c r="Q143" s="118" t="s">
        <v>368</v>
      </c>
    </row>
    <row r="144" spans="1:17">
      <c r="A144" s="1" t="s">
        <v>213</v>
      </c>
      <c r="B144" s="1" t="s">
        <v>488</v>
      </c>
      <c r="C144" s="20">
        <v>46004</v>
      </c>
      <c r="D144" s="62" t="s">
        <v>507</v>
      </c>
      <c r="E144" s="10">
        <v>38.761684281999997</v>
      </c>
      <c r="F144" s="10">
        <v>12.805530796999999</v>
      </c>
      <c r="G144" s="10">
        <v>38.775860000000002</v>
      </c>
      <c r="H144" s="10">
        <v>12.817679999999999</v>
      </c>
      <c r="I144" s="2">
        <v>0.22417824074074075</v>
      </c>
      <c r="J144" s="2">
        <v>0.35148148148148151</v>
      </c>
      <c r="K144" s="2">
        <f t="shared" si="18"/>
        <v>0.12730324074074076</v>
      </c>
      <c r="L144" s="7">
        <v>1900</v>
      </c>
      <c r="M144" s="1" t="s">
        <v>508</v>
      </c>
      <c r="N144" s="53" t="s">
        <v>505</v>
      </c>
      <c r="O144" s="123" t="s">
        <v>509</v>
      </c>
      <c r="P144" s="1" t="s">
        <v>409</v>
      </c>
      <c r="Q144" s="118"/>
    </row>
    <row r="145" spans="1:17">
      <c r="A145" s="1" t="s">
        <v>213</v>
      </c>
      <c r="B145" s="1" t="s">
        <v>488</v>
      </c>
      <c r="C145" s="20">
        <v>46005</v>
      </c>
      <c r="D145" s="62" t="s">
        <v>510</v>
      </c>
      <c r="E145" s="10">
        <v>38.767189999999999</v>
      </c>
      <c r="F145" s="10">
        <v>12.76355</v>
      </c>
      <c r="G145" s="10">
        <v>38.077900316200001</v>
      </c>
      <c r="H145" s="10">
        <v>12.767623159999999</v>
      </c>
      <c r="I145" s="2">
        <v>0.65625</v>
      </c>
      <c r="J145" s="125">
        <v>0.81671296296296292</v>
      </c>
      <c r="K145" s="2">
        <f t="shared" si="18"/>
        <v>0.16046296296296292</v>
      </c>
      <c r="L145" s="7">
        <v>1350</v>
      </c>
      <c r="M145" s="1">
        <v>2086</v>
      </c>
      <c r="N145" s="53" t="s">
        <v>511</v>
      </c>
      <c r="O145" s="124" t="s">
        <v>512</v>
      </c>
      <c r="P145" s="29" t="s">
        <v>418</v>
      </c>
      <c r="Q145" s="118" t="s">
        <v>368</v>
      </c>
    </row>
    <row r="146" spans="1:17" s="44" customFormat="1">
      <c r="A146" s="44" t="s">
        <v>213</v>
      </c>
      <c r="B146" s="44" t="s">
        <v>488</v>
      </c>
      <c r="C146" s="45">
        <v>46005</v>
      </c>
      <c r="D146" s="129" t="s">
        <v>513</v>
      </c>
      <c r="E146" s="47">
        <v>38.803392674999998</v>
      </c>
      <c r="F146" s="47">
        <v>12.831446109</v>
      </c>
      <c r="G146" s="47"/>
      <c r="H146" s="47"/>
      <c r="I146" s="48">
        <v>0.13476851851851851</v>
      </c>
      <c r="J146" s="48">
        <v>0.24305555555555555</v>
      </c>
      <c r="K146" s="48">
        <f t="shared" si="18"/>
        <v>0.10828703703703704</v>
      </c>
      <c r="L146" s="49"/>
      <c r="M146" s="44">
        <v>1861</v>
      </c>
      <c r="N146" s="54" t="s">
        <v>514</v>
      </c>
      <c r="O146" s="130" t="s">
        <v>515</v>
      </c>
      <c r="P146" s="44" t="s">
        <v>483</v>
      </c>
      <c r="Q146" s="131" t="s">
        <v>368</v>
      </c>
    </row>
    <row r="147" spans="1:17">
      <c r="A147" s="1" t="s">
        <v>213</v>
      </c>
      <c r="B147" s="1" t="s">
        <v>516</v>
      </c>
      <c r="C147" s="20">
        <v>46005</v>
      </c>
      <c r="D147" s="26" t="s">
        <v>517</v>
      </c>
      <c r="E147" s="10">
        <v>38.746459999999999</v>
      </c>
      <c r="F147" s="10">
        <v>12.938929999999999</v>
      </c>
      <c r="G147" s="10">
        <v>38.743569999999998</v>
      </c>
      <c r="H147" s="10">
        <v>12.933400000000001</v>
      </c>
      <c r="I147" s="2">
        <v>0.42638888888888887</v>
      </c>
      <c r="J147" s="2">
        <v>0.53125</v>
      </c>
      <c r="K147" s="2">
        <f t="shared" si="18"/>
        <v>0.10486111111111113</v>
      </c>
      <c r="L147" s="7">
        <v>606</v>
      </c>
      <c r="M147" s="1" t="s">
        <v>518</v>
      </c>
      <c r="N147" s="53" t="s">
        <v>519</v>
      </c>
      <c r="O147" s="53" t="s">
        <v>520</v>
      </c>
      <c r="P147" s="1" t="s">
        <v>409</v>
      </c>
      <c r="Q147" s="132"/>
    </row>
    <row r="148" spans="1:17">
      <c r="A148" s="1" t="s">
        <v>213</v>
      </c>
      <c r="B148" s="1" t="s">
        <v>516</v>
      </c>
      <c r="C148" s="20">
        <v>46005</v>
      </c>
      <c r="D148" s="26" t="s">
        <v>521</v>
      </c>
      <c r="E148" s="10">
        <v>38.737258558000001</v>
      </c>
      <c r="F148" s="10">
        <v>12.933206552</v>
      </c>
      <c r="G148" s="10">
        <v>38.734103793999999</v>
      </c>
      <c r="H148" s="10">
        <v>12.928652059999999</v>
      </c>
      <c r="I148" s="2">
        <v>0.79003472222222226</v>
      </c>
      <c r="J148" s="2">
        <v>0.91667824074074078</v>
      </c>
      <c r="K148" s="2">
        <f t="shared" si="18"/>
        <v>0.12664351851851852</v>
      </c>
      <c r="L148" s="7">
        <v>694</v>
      </c>
      <c r="M148" s="1">
        <v>1592</v>
      </c>
      <c r="N148" s="124" t="s">
        <v>522</v>
      </c>
      <c r="O148" s="124" t="s">
        <v>523</v>
      </c>
      <c r="P148" s="51" t="s">
        <v>418</v>
      </c>
      <c r="Q148" s="132"/>
    </row>
    <row r="149" spans="1:17">
      <c r="A149" s="1" t="s">
        <v>213</v>
      </c>
      <c r="B149" s="1" t="s">
        <v>516</v>
      </c>
      <c r="C149" s="20">
        <v>46007</v>
      </c>
      <c r="D149" s="1" t="s">
        <v>524</v>
      </c>
      <c r="E149" s="10">
        <v>38.73563</v>
      </c>
      <c r="F149" s="10">
        <v>12.94003</v>
      </c>
      <c r="G149" s="10">
        <v>38.729979999999998</v>
      </c>
      <c r="H149" s="10">
        <v>12.93097</v>
      </c>
      <c r="I149" s="2">
        <v>0.19087962962962962</v>
      </c>
      <c r="J149" s="2">
        <v>0.28333333333333333</v>
      </c>
      <c r="K149" s="2">
        <f t="shared" si="18"/>
        <v>9.2453703703703705E-2</v>
      </c>
      <c r="L149" s="7">
        <v>1000</v>
      </c>
      <c r="M149" s="1" t="s">
        <v>525</v>
      </c>
      <c r="N149" s="53" t="s">
        <v>505</v>
      </c>
      <c r="P149" s="1" t="s">
        <v>526</v>
      </c>
    </row>
    <row r="150" spans="1:17">
      <c r="A150" s="1" t="s">
        <v>213</v>
      </c>
      <c r="B150" s="1" t="s">
        <v>516</v>
      </c>
      <c r="C150" s="20">
        <v>46007</v>
      </c>
      <c r="D150" s="1" t="s">
        <v>527</v>
      </c>
      <c r="E150" s="10">
        <v>38.746220000000001</v>
      </c>
      <c r="F150" s="10">
        <v>12.915139999999999</v>
      </c>
      <c r="G150" s="10">
        <v>38.737319999999997</v>
      </c>
      <c r="H150" s="10">
        <v>12.917870000000001</v>
      </c>
      <c r="I150" s="2">
        <v>0.39556712962962964</v>
      </c>
      <c r="J150" s="2">
        <v>0.50906249999999997</v>
      </c>
      <c r="K150" s="2">
        <f t="shared" si="18"/>
        <v>0.11349537037037033</v>
      </c>
      <c r="L150" s="7">
        <v>1000</v>
      </c>
      <c r="M150" s="1" t="s">
        <v>528</v>
      </c>
      <c r="N150" s="53" t="s">
        <v>505</v>
      </c>
      <c r="P150" s="1" t="s">
        <v>529</v>
      </c>
    </row>
    <row r="151" spans="1:17">
      <c r="A151" s="1" t="s">
        <v>213</v>
      </c>
      <c r="B151" s="1" t="s">
        <v>516</v>
      </c>
      <c r="C151" s="20">
        <v>46007</v>
      </c>
      <c r="D151" s="1" t="s">
        <v>530</v>
      </c>
      <c r="E151" s="10">
        <v>38.744799999999998</v>
      </c>
      <c r="F151" s="10">
        <v>12.09451</v>
      </c>
      <c r="G151" s="10">
        <v>38.734360000000002</v>
      </c>
      <c r="H151" s="10">
        <v>12.89568</v>
      </c>
      <c r="I151" s="2">
        <v>0.65537037037037038</v>
      </c>
      <c r="J151" s="2">
        <v>0.8067361111111111</v>
      </c>
      <c r="K151" s="2">
        <f t="shared" si="18"/>
        <v>0.15136574074074072</v>
      </c>
      <c r="L151" s="7">
        <v>1840</v>
      </c>
      <c r="M151" s="1" t="s">
        <v>531</v>
      </c>
      <c r="N151" s="53" t="s">
        <v>532</v>
      </c>
      <c r="O151" s="53" t="s">
        <v>533</v>
      </c>
      <c r="P151" s="1" t="s">
        <v>534</v>
      </c>
    </row>
    <row r="152" spans="1:17">
      <c r="A152" s="1" t="s">
        <v>213</v>
      </c>
      <c r="B152" s="1" t="s">
        <v>516</v>
      </c>
      <c r="C152" s="20">
        <v>46007</v>
      </c>
      <c r="D152" s="1" t="s">
        <v>535</v>
      </c>
      <c r="E152" s="10">
        <v>38.736229999999999</v>
      </c>
      <c r="F152" s="10">
        <v>12.876580000000001</v>
      </c>
      <c r="G152" s="10">
        <v>38.733559999999997</v>
      </c>
      <c r="H152" s="10">
        <v>12.876519999999999</v>
      </c>
      <c r="I152" s="2">
        <v>0.89930555555555558</v>
      </c>
      <c r="J152" s="2">
        <v>0.9809606481481481</v>
      </c>
      <c r="K152" s="2">
        <f t="shared" si="18"/>
        <v>8.1655092592592515E-2</v>
      </c>
      <c r="L152" s="7">
        <v>300</v>
      </c>
      <c r="M152" s="1" t="s">
        <v>536</v>
      </c>
      <c r="N152" s="53" t="s">
        <v>537</v>
      </c>
      <c r="O152" s="53" t="s">
        <v>538</v>
      </c>
      <c r="P152" s="1" t="s">
        <v>539</v>
      </c>
    </row>
    <row r="153" spans="1:17" ht="30">
      <c r="A153" s="1" t="s">
        <v>213</v>
      </c>
      <c r="B153" s="1" t="s">
        <v>540</v>
      </c>
      <c r="C153" s="20">
        <v>46007</v>
      </c>
      <c r="D153" s="1" t="s">
        <v>541</v>
      </c>
      <c r="E153" s="10">
        <v>39.1188</v>
      </c>
      <c r="F153" s="10">
        <v>12.505190000000001</v>
      </c>
      <c r="G153" s="10">
        <v>39.137149999999998</v>
      </c>
      <c r="H153" s="10">
        <v>12.471410000000001</v>
      </c>
      <c r="I153" s="134">
        <v>0.28958333333333336</v>
      </c>
      <c r="J153" s="134">
        <v>0.56458333333333333</v>
      </c>
      <c r="K153" s="134">
        <f>J153-I153</f>
        <v>0.27499999999999997</v>
      </c>
      <c r="L153" s="135">
        <v>2600</v>
      </c>
      <c r="M153" s="132" t="s">
        <v>542</v>
      </c>
      <c r="N153" s="53" t="s">
        <v>543</v>
      </c>
      <c r="O153" s="53" t="s">
        <v>544</v>
      </c>
      <c r="P153" s="1" t="s">
        <v>545</v>
      </c>
    </row>
    <row r="154" spans="1:17">
      <c r="A154" s="1" t="s">
        <v>213</v>
      </c>
      <c r="B154" s="1" t="s">
        <v>540</v>
      </c>
      <c r="C154" s="20">
        <v>46008</v>
      </c>
      <c r="D154" s="1" t="s">
        <v>546</v>
      </c>
      <c r="E154" s="10">
        <v>39.128729999999997</v>
      </c>
      <c r="F154" s="10">
        <v>12.46621</v>
      </c>
      <c r="G154" s="10">
        <v>39.13409</v>
      </c>
      <c r="H154" s="10">
        <v>12.469440000000001</v>
      </c>
      <c r="I154" s="2">
        <v>4.2268518518518518E-2</v>
      </c>
      <c r="J154" s="2">
        <v>0.15414351851851851</v>
      </c>
      <c r="K154" s="2">
        <f t="shared" si="18"/>
        <v>0.111875</v>
      </c>
      <c r="L154" s="7">
        <v>750</v>
      </c>
      <c r="M154" s="1" t="s">
        <v>547</v>
      </c>
      <c r="N154" s="53" t="s">
        <v>548</v>
      </c>
      <c r="O154" s="53" t="s">
        <v>549</v>
      </c>
      <c r="P154" s="1" t="s">
        <v>539</v>
      </c>
    </row>
    <row r="155" spans="1:17">
      <c r="A155" s="1" t="s">
        <v>213</v>
      </c>
      <c r="B155" s="1" t="s">
        <v>550</v>
      </c>
      <c r="C155" s="20">
        <v>46009</v>
      </c>
      <c r="D155" s="1" t="s">
        <v>551</v>
      </c>
      <c r="E155" s="10">
        <v>39.004669999999997</v>
      </c>
      <c r="F155" s="10">
        <v>12.232150000000001</v>
      </c>
      <c r="G155" s="10">
        <v>38.98057</v>
      </c>
      <c r="H155" s="10">
        <v>12.21449</v>
      </c>
      <c r="I155" s="2">
        <v>0.38929398148148148</v>
      </c>
      <c r="J155" s="2">
        <v>0.74194444444444441</v>
      </c>
      <c r="K155" s="2">
        <f t="shared" si="18"/>
        <v>0.35265046296296293</v>
      </c>
      <c r="L155" s="7">
        <v>3400</v>
      </c>
      <c r="M155" s="1" t="s">
        <v>552</v>
      </c>
      <c r="N155" s="53" t="s">
        <v>553</v>
      </c>
      <c r="O155" s="53" t="s">
        <v>554</v>
      </c>
      <c r="P155" s="1" t="s">
        <v>534</v>
      </c>
    </row>
    <row r="156" spans="1:17">
      <c r="A156" s="1" t="s">
        <v>213</v>
      </c>
      <c r="B156" s="1" t="s">
        <v>550</v>
      </c>
      <c r="C156" s="20">
        <v>46009</v>
      </c>
      <c r="D156" s="1" t="s">
        <v>555</v>
      </c>
      <c r="E156" s="10">
        <v>38.973239999999997</v>
      </c>
      <c r="F156" s="10">
        <v>12.235860000000001</v>
      </c>
      <c r="G156" s="10">
        <v>38.986060000000002</v>
      </c>
      <c r="H156" s="10">
        <v>12.226739999999999</v>
      </c>
      <c r="I156" s="2">
        <v>0.8469444444444445</v>
      </c>
      <c r="J156" s="2">
        <v>0.31634259259259262</v>
      </c>
      <c r="K156" s="2">
        <v>0.46939814814814818</v>
      </c>
      <c r="L156" s="7">
        <v>2500</v>
      </c>
      <c r="M156" s="1" t="s">
        <v>556</v>
      </c>
      <c r="N156" s="53" t="s">
        <v>557</v>
      </c>
      <c r="O156" s="53" t="s">
        <v>554</v>
      </c>
      <c r="P156" s="1" t="s">
        <v>539</v>
      </c>
    </row>
    <row r="157" spans="1:17">
      <c r="A157" s="1" t="s">
        <v>213</v>
      </c>
      <c r="B157" s="1" t="s">
        <v>558</v>
      </c>
      <c r="C157" s="20">
        <v>46010</v>
      </c>
      <c r="D157" s="1" t="s">
        <v>559</v>
      </c>
      <c r="E157" s="10">
        <v>38.931550000000001</v>
      </c>
      <c r="F157" s="10">
        <v>12.329739999999999</v>
      </c>
      <c r="G157" s="10">
        <v>38.935639999999999</v>
      </c>
      <c r="H157" s="10">
        <v>12.359059999999999</v>
      </c>
      <c r="I157" s="2">
        <v>46010.487314814818</v>
      </c>
      <c r="J157" s="2">
        <v>46010.707002314812</v>
      </c>
      <c r="K157" s="2">
        <f t="shared" si="18"/>
        <v>0.21968749999359716</v>
      </c>
      <c r="L157" s="7">
        <v>3300</v>
      </c>
      <c r="M157" s="1" t="s">
        <v>560</v>
      </c>
      <c r="N157" s="53" t="s">
        <v>561</v>
      </c>
      <c r="P157" s="1" t="s">
        <v>534</v>
      </c>
    </row>
    <row r="158" spans="1:17">
      <c r="A158" s="1" t="s">
        <v>213</v>
      </c>
      <c r="B158" s="1" t="s">
        <v>558</v>
      </c>
      <c r="C158" s="20">
        <v>46010</v>
      </c>
      <c r="D158" s="1" t="s">
        <v>562</v>
      </c>
      <c r="E158" s="10">
        <v>38.931480000000001</v>
      </c>
      <c r="F158" s="10">
        <v>12.37077</v>
      </c>
      <c r="G158" s="10">
        <v>38.944519999999997</v>
      </c>
      <c r="H158" s="10">
        <v>12.367509999999999</v>
      </c>
      <c r="I158" s="2">
        <v>0.77700231481481485</v>
      </c>
      <c r="J158" s="2">
        <v>0.96269675925925924</v>
      </c>
      <c r="K158" s="2">
        <f t="shared" si="18"/>
        <v>0.18569444444444438</v>
      </c>
      <c r="M158" s="1" t="s">
        <v>563</v>
      </c>
      <c r="N158" s="53" t="s">
        <v>564</v>
      </c>
      <c r="P158" s="1" t="s">
        <v>539</v>
      </c>
    </row>
    <row r="159" spans="1:17">
      <c r="A159" s="1" t="s">
        <v>213</v>
      </c>
      <c r="B159" s="1" t="s">
        <v>214</v>
      </c>
      <c r="C159" s="20">
        <v>46011</v>
      </c>
      <c r="D159" s="1" t="s">
        <v>565</v>
      </c>
      <c r="E159" s="10">
        <v>38.643360000000001</v>
      </c>
      <c r="F159" s="10">
        <v>12.280250000000001</v>
      </c>
      <c r="G159" s="10">
        <v>38.63946</v>
      </c>
      <c r="H159" s="10">
        <v>12.29055</v>
      </c>
      <c r="I159" s="2">
        <v>0.20497685185185185</v>
      </c>
      <c r="J159" s="2">
        <v>0.3301736111111111</v>
      </c>
      <c r="K159" s="2">
        <f t="shared" si="18"/>
        <v>0.12519675925925924</v>
      </c>
      <c r="L159" s="7">
        <v>1130</v>
      </c>
      <c r="M159" s="1" t="s">
        <v>566</v>
      </c>
      <c r="N159" s="53" t="s">
        <v>567</v>
      </c>
      <c r="P159" s="1" t="s">
        <v>568</v>
      </c>
    </row>
    <row r="160" spans="1:17">
      <c r="A160" s="1" t="s">
        <v>213</v>
      </c>
      <c r="B160" s="1" t="s">
        <v>214</v>
      </c>
      <c r="C160" s="20">
        <v>46011</v>
      </c>
      <c r="D160" s="1" t="s">
        <v>569</v>
      </c>
      <c r="E160" s="10">
        <v>38.667400000000001</v>
      </c>
      <c r="F160" s="10">
        <v>12.210940000000001</v>
      </c>
      <c r="G160" s="10">
        <v>38.673000000000002</v>
      </c>
      <c r="H160" s="10">
        <v>12.20772</v>
      </c>
      <c r="I160" s="2">
        <v>0.48668981481481483</v>
      </c>
      <c r="J160" s="2">
        <v>0.57267361111111115</v>
      </c>
      <c r="K160" s="2">
        <f t="shared" si="18"/>
        <v>8.5983796296296322E-2</v>
      </c>
      <c r="L160" s="7">
        <v>677</v>
      </c>
      <c r="M160" s="1" t="s">
        <v>570</v>
      </c>
      <c r="N160" s="138" t="s">
        <v>571</v>
      </c>
      <c r="P160" s="1" t="s">
        <v>534</v>
      </c>
    </row>
    <row r="161" spans="1:17">
      <c r="A161" s="1" t="s">
        <v>213</v>
      </c>
      <c r="B161" s="1" t="s">
        <v>214</v>
      </c>
      <c r="C161" s="20">
        <v>46011</v>
      </c>
      <c r="D161" s="1" t="s">
        <v>572</v>
      </c>
      <c r="E161" s="10">
        <v>38.634880000000003</v>
      </c>
      <c r="F161" s="10">
        <v>12.202209999999999</v>
      </c>
      <c r="G161" s="10">
        <v>38.629309999999997</v>
      </c>
      <c r="H161" s="10">
        <v>12.211600000000001</v>
      </c>
      <c r="I161" s="2">
        <v>0.67321759259259262</v>
      </c>
      <c r="J161" s="2">
        <v>0.92454861111111108</v>
      </c>
      <c r="K161" s="2">
        <f t="shared" si="18"/>
        <v>0.25133101851851847</v>
      </c>
      <c r="L161" s="7">
        <v>1100</v>
      </c>
      <c r="M161" s="1" t="s">
        <v>573</v>
      </c>
      <c r="N161" s="138" t="s">
        <v>574</v>
      </c>
      <c r="P161" s="1" t="s">
        <v>529</v>
      </c>
    </row>
    <row r="162" spans="1:17">
      <c r="A162" s="1" t="s">
        <v>213</v>
      </c>
      <c r="B162" s="1" t="s">
        <v>214</v>
      </c>
      <c r="C162" s="20">
        <v>46012</v>
      </c>
      <c r="D162" s="1" t="s">
        <v>575</v>
      </c>
      <c r="E162" s="10">
        <v>38.55986</v>
      </c>
      <c r="F162" s="10">
        <v>12.226610000000001</v>
      </c>
      <c r="G162" s="10">
        <v>38.566380000000002</v>
      </c>
      <c r="H162" s="10">
        <v>12.22663</v>
      </c>
      <c r="I162" s="2">
        <v>6.0937499999999999E-2</v>
      </c>
      <c r="J162" s="2">
        <v>0.12783564814814816</v>
      </c>
      <c r="K162" s="2">
        <f t="shared" si="18"/>
        <v>6.6898148148148151E-2</v>
      </c>
      <c r="L162" s="7">
        <v>730</v>
      </c>
      <c r="M162" s="1" t="s">
        <v>576</v>
      </c>
      <c r="N162" s="138" t="s">
        <v>577</v>
      </c>
      <c r="P162" s="1" t="s">
        <v>539</v>
      </c>
    </row>
    <row r="163" spans="1:17">
      <c r="A163" s="1" t="s">
        <v>213</v>
      </c>
      <c r="B163" s="1" t="s">
        <v>214</v>
      </c>
      <c r="C163" s="20">
        <v>46012</v>
      </c>
      <c r="D163" s="1" t="s">
        <v>578</v>
      </c>
      <c r="E163" s="10">
        <v>38.59592</v>
      </c>
      <c r="F163" s="10">
        <v>12.12039</v>
      </c>
      <c r="G163" s="10">
        <v>38.602089999999997</v>
      </c>
      <c r="H163" s="10">
        <v>12.12533</v>
      </c>
      <c r="I163" s="2">
        <v>0.26869212962962963</v>
      </c>
      <c r="J163" s="2">
        <v>0.34797453703703701</v>
      </c>
      <c r="K163" s="2">
        <f t="shared" si="18"/>
        <v>7.9282407407407385E-2</v>
      </c>
      <c r="L163" s="7">
        <v>815</v>
      </c>
      <c r="M163" s="1" t="s">
        <v>579</v>
      </c>
      <c r="N163" s="138" t="s">
        <v>580</v>
      </c>
      <c r="O163" s="53" t="s">
        <v>581</v>
      </c>
      <c r="P163" s="1" t="s">
        <v>568</v>
      </c>
    </row>
    <row r="164" spans="1:17">
      <c r="A164" s="1" t="s">
        <v>213</v>
      </c>
      <c r="B164" s="1" t="s">
        <v>582</v>
      </c>
      <c r="C164" s="20">
        <v>46012</v>
      </c>
      <c r="D164" s="1" t="s">
        <v>583</v>
      </c>
      <c r="E164" s="10">
        <v>38.595759999999999</v>
      </c>
      <c r="F164" s="10">
        <v>11.853300000000001</v>
      </c>
      <c r="G164" s="10">
        <v>38.599890000000002</v>
      </c>
      <c r="H164" s="10">
        <v>11.84272</v>
      </c>
      <c r="I164" s="2">
        <v>0.53011574074074075</v>
      </c>
      <c r="J164" s="2">
        <v>0.73745370370370367</v>
      </c>
      <c r="K164" s="2">
        <f t="shared" si="18"/>
        <v>0.20733796296296292</v>
      </c>
      <c r="L164" s="7">
        <v>1033</v>
      </c>
      <c r="M164" s="1" t="s">
        <v>584</v>
      </c>
      <c r="N164" s="138" t="s">
        <v>585</v>
      </c>
      <c r="P164" s="1" t="s">
        <v>534</v>
      </c>
    </row>
    <row r="165" spans="1:17">
      <c r="A165" s="1" t="s">
        <v>213</v>
      </c>
      <c r="B165" s="1" t="s">
        <v>582</v>
      </c>
      <c r="C165" s="20">
        <v>46012</v>
      </c>
      <c r="D165" s="1" t="s">
        <v>586</v>
      </c>
      <c r="E165" s="10">
        <v>38.609810000000003</v>
      </c>
      <c r="F165" s="10">
        <v>11.84454</v>
      </c>
      <c r="G165" s="10">
        <v>38.609220000000001</v>
      </c>
      <c r="H165" s="10">
        <v>11.83662</v>
      </c>
      <c r="I165" s="2">
        <v>0.80315972222222221</v>
      </c>
      <c r="J165" s="2">
        <v>0.99365740740740738</v>
      </c>
      <c r="K165" s="2">
        <f t="shared" si="18"/>
        <v>0.19049768518518517</v>
      </c>
      <c r="L165" s="7">
        <v>900</v>
      </c>
      <c r="M165" s="1" t="s">
        <v>587</v>
      </c>
      <c r="N165" s="138" t="s">
        <v>588</v>
      </c>
      <c r="P165" s="1" t="s">
        <v>539</v>
      </c>
    </row>
    <row r="166" spans="1:17" ht="45">
      <c r="A166" s="1" t="s">
        <v>213</v>
      </c>
      <c r="B166" s="1" t="s">
        <v>582</v>
      </c>
      <c r="C166" s="20">
        <v>46013</v>
      </c>
      <c r="D166" s="1" t="s">
        <v>589</v>
      </c>
      <c r="E166" s="10">
        <v>38.605229999999999</v>
      </c>
      <c r="F166" s="10">
        <v>11.823119999999999</v>
      </c>
      <c r="G166" s="10">
        <v>38.602849999999997</v>
      </c>
      <c r="H166" s="10">
        <v>11.823919999999999</v>
      </c>
      <c r="I166" s="2">
        <v>6.655092592592593E-2</v>
      </c>
      <c r="J166" s="2">
        <v>1.1939583333333332</v>
      </c>
      <c r="K166" s="2">
        <f t="shared" si="18"/>
        <v>1.1274074074074072</v>
      </c>
      <c r="L166" s="7">
        <v>530</v>
      </c>
      <c r="M166" s="1" t="s">
        <v>590</v>
      </c>
      <c r="N166" s="138" t="s">
        <v>591</v>
      </c>
      <c r="O166" s="53" t="s">
        <v>592</v>
      </c>
      <c r="P166" s="1" t="s">
        <v>539</v>
      </c>
    </row>
    <row r="167" spans="1:17">
      <c r="A167" s="1" t="s">
        <v>213</v>
      </c>
      <c r="B167" s="1" t="s">
        <v>582</v>
      </c>
      <c r="C167" s="20">
        <v>46013</v>
      </c>
      <c r="D167" s="1" t="s">
        <v>593</v>
      </c>
      <c r="E167" s="10">
        <v>38.5899</v>
      </c>
      <c r="F167" s="10">
        <v>11.83907</v>
      </c>
      <c r="G167" s="10">
        <v>38.59402</v>
      </c>
      <c r="H167" s="10">
        <v>11.8287</v>
      </c>
      <c r="I167" s="2">
        <v>0.40708333333333335</v>
      </c>
      <c r="J167" s="2">
        <v>0.52177083333333329</v>
      </c>
      <c r="K167" s="2">
        <f t="shared" si="18"/>
        <v>0.11468749999999994</v>
      </c>
      <c r="L167" s="7">
        <v>1026</v>
      </c>
      <c r="M167" s="1" t="s">
        <v>594</v>
      </c>
      <c r="N167" s="138" t="s">
        <v>595</v>
      </c>
      <c r="P167" s="1" t="s">
        <v>534</v>
      </c>
    </row>
    <row r="168" spans="1:17">
      <c r="A168" s="1" t="s">
        <v>213</v>
      </c>
      <c r="B168" s="1" t="s">
        <v>582</v>
      </c>
      <c r="C168" s="20">
        <v>46016</v>
      </c>
      <c r="D168" s="1" t="s">
        <v>596</v>
      </c>
      <c r="E168" s="10">
        <v>38.573740000000001</v>
      </c>
      <c r="F168" s="10">
        <v>11.838039999999999</v>
      </c>
      <c r="G168" s="10">
        <v>38.573459999999997</v>
      </c>
      <c r="H168" s="10">
        <v>11.8287</v>
      </c>
      <c r="I168" s="2">
        <v>0.26574074074074072</v>
      </c>
      <c r="J168" s="2">
        <v>0.40179398148148149</v>
      </c>
      <c r="K168" s="2">
        <f t="shared" si="18"/>
        <v>0.13605324074074077</v>
      </c>
      <c r="L168" s="7">
        <v>1018</v>
      </c>
      <c r="M168" s="1" t="s">
        <v>597</v>
      </c>
      <c r="N168" s="53" t="s">
        <v>598</v>
      </c>
      <c r="P168" s="1" t="s">
        <v>534</v>
      </c>
    </row>
    <row r="169" spans="1:17">
      <c r="A169" s="1" t="s">
        <v>213</v>
      </c>
      <c r="B169" s="1" t="s">
        <v>582</v>
      </c>
      <c r="C169" s="20">
        <v>46016</v>
      </c>
      <c r="D169" s="1" t="s">
        <v>599</v>
      </c>
      <c r="E169" s="10">
        <v>38.57938</v>
      </c>
      <c r="F169" s="10">
        <v>11.817304999999999</v>
      </c>
      <c r="G169" s="10">
        <v>38.583880000000001</v>
      </c>
      <c r="H169" s="10">
        <v>11.811109999999999</v>
      </c>
      <c r="I169" s="2">
        <v>0.47226851851851853</v>
      </c>
      <c r="J169" s="2">
        <v>0.74384259259259256</v>
      </c>
      <c r="K169" s="2">
        <f t="shared" si="18"/>
        <v>0.27157407407407402</v>
      </c>
      <c r="L169" s="7">
        <v>1100</v>
      </c>
      <c r="M169" s="1" t="s">
        <v>600</v>
      </c>
      <c r="N169" s="53" t="s">
        <v>598</v>
      </c>
      <c r="P169" s="1" t="s">
        <v>534</v>
      </c>
    </row>
    <row r="170" spans="1:17">
      <c r="A170" s="1" t="s">
        <v>213</v>
      </c>
      <c r="B170" s="1" t="s">
        <v>582</v>
      </c>
      <c r="C170" s="20">
        <v>46016</v>
      </c>
      <c r="D170" s="1" t="s">
        <v>601</v>
      </c>
      <c r="E170" s="10">
        <v>38.583419999999997</v>
      </c>
      <c r="F170" s="10">
        <v>11.80301</v>
      </c>
      <c r="G170" s="10">
        <v>38.596670000000003</v>
      </c>
      <c r="H170" s="10">
        <v>11.80885</v>
      </c>
      <c r="I170" s="2">
        <v>46016.795914351853</v>
      </c>
      <c r="J170" s="2">
        <v>46017.055115740739</v>
      </c>
      <c r="K170" s="2">
        <f>J170-I170</f>
        <v>0.25920138888614019</v>
      </c>
      <c r="L170" s="7">
        <v>1800</v>
      </c>
      <c r="M170" s="1" t="s">
        <v>602</v>
      </c>
      <c r="N170" s="53" t="s">
        <v>603</v>
      </c>
      <c r="P170" s="1" t="s">
        <v>539</v>
      </c>
    </row>
    <row r="171" spans="1:17">
      <c r="A171" s="1" t="s">
        <v>213</v>
      </c>
      <c r="B171" s="1" t="s">
        <v>582</v>
      </c>
      <c r="C171" s="20">
        <v>46017</v>
      </c>
      <c r="D171" s="1" t="s">
        <v>604</v>
      </c>
      <c r="E171" s="10">
        <v>38.607660000000003</v>
      </c>
      <c r="F171" s="10">
        <v>11.80673</v>
      </c>
      <c r="G171" s="10">
        <v>38.605969999999999</v>
      </c>
      <c r="H171" s="10">
        <v>11.81073</v>
      </c>
      <c r="I171" s="2">
        <v>0.12864583333333332</v>
      </c>
      <c r="J171" s="2">
        <v>0.17724537037037036</v>
      </c>
      <c r="K171" s="2">
        <f t="shared" si="18"/>
        <v>4.8599537037037038E-2</v>
      </c>
      <c r="L171" s="7">
        <v>430</v>
      </c>
      <c r="M171" s="1" t="s">
        <v>605</v>
      </c>
      <c r="N171" s="53" t="s">
        <v>606</v>
      </c>
      <c r="P171" s="1" t="s">
        <v>539</v>
      </c>
    </row>
    <row r="172" spans="1:17">
      <c r="A172" s="1" t="s">
        <v>213</v>
      </c>
      <c r="B172" s="1" t="s">
        <v>582</v>
      </c>
      <c r="C172" s="20">
        <v>46017</v>
      </c>
      <c r="D172" s="1" t="s">
        <v>607</v>
      </c>
      <c r="E172" s="10">
        <v>38.587150000000001</v>
      </c>
      <c r="F172" s="10">
        <v>11.77182</v>
      </c>
      <c r="G172" s="10">
        <v>38.582729999999998</v>
      </c>
      <c r="H172" s="10">
        <v>11.77534</v>
      </c>
      <c r="I172" s="2">
        <v>0.31328703703703703</v>
      </c>
      <c r="J172" s="2">
        <v>0.42163194444444446</v>
      </c>
      <c r="K172" s="2">
        <f t="shared" si="18"/>
        <v>0.10834490740740743</v>
      </c>
      <c r="L172" s="7">
        <v>768</v>
      </c>
      <c r="M172" s="1" t="s">
        <v>608</v>
      </c>
      <c r="N172" s="53" t="s">
        <v>609</v>
      </c>
      <c r="P172" s="1" t="s">
        <v>534</v>
      </c>
      <c r="Q172" s="118" t="s">
        <v>610</v>
      </c>
    </row>
    <row r="173" spans="1:17">
      <c r="A173" s="1" t="s">
        <v>213</v>
      </c>
      <c r="B173" s="1" t="s">
        <v>611</v>
      </c>
      <c r="C173" s="20">
        <v>46017</v>
      </c>
      <c r="D173" s="1" t="s">
        <v>612</v>
      </c>
      <c r="E173" s="10">
        <v>38.526940000000003</v>
      </c>
      <c r="F173" s="10">
        <v>11.84041</v>
      </c>
      <c r="G173" s="10">
        <v>38.517519999999998</v>
      </c>
      <c r="H173" s="10">
        <v>11.832520000000001</v>
      </c>
      <c r="I173" s="2">
        <v>0.55628472222222225</v>
      </c>
      <c r="J173" s="2">
        <v>0.74682870370370369</v>
      </c>
      <c r="K173" s="2">
        <f t="shared" si="18"/>
        <v>0.19054398148148144</v>
      </c>
      <c r="L173" s="7">
        <v>1600</v>
      </c>
      <c r="M173" s="1" t="s">
        <v>613</v>
      </c>
      <c r="N173" s="53" t="s">
        <v>614</v>
      </c>
      <c r="P173" s="1" t="s">
        <v>534</v>
      </c>
      <c r="Q173" s="118" t="s">
        <v>610</v>
      </c>
    </row>
    <row r="174" spans="1:17" ht="30">
      <c r="A174" s="1" t="s">
        <v>213</v>
      </c>
      <c r="B174" s="1" t="s">
        <v>611</v>
      </c>
      <c r="C174" s="20">
        <v>46017</v>
      </c>
      <c r="D174" s="1" t="s">
        <v>615</v>
      </c>
      <c r="E174" s="10">
        <v>38.501629999999999</v>
      </c>
      <c r="F174" s="10">
        <v>11.833019999999999</v>
      </c>
      <c r="G174" s="10">
        <v>38.489910000000002</v>
      </c>
      <c r="H174" s="10">
        <v>11.840339999999999</v>
      </c>
      <c r="I174" s="2">
        <v>46017.836678240739</v>
      </c>
      <c r="J174" s="2">
        <v>46018.156493055554</v>
      </c>
      <c r="K174" s="2">
        <f t="shared" si="18"/>
        <v>0.31981481481489027</v>
      </c>
      <c r="L174" s="7">
        <v>1560</v>
      </c>
      <c r="M174" s="1" t="s">
        <v>616</v>
      </c>
      <c r="N174" s="53" t="s">
        <v>617</v>
      </c>
      <c r="O174" s="53" t="s">
        <v>618</v>
      </c>
      <c r="P174" s="1" t="s">
        <v>539</v>
      </c>
      <c r="Q174" s="118" t="s">
        <v>610</v>
      </c>
    </row>
    <row r="175" spans="1:17">
      <c r="A175" s="1" t="s">
        <v>213</v>
      </c>
      <c r="B175" s="1" t="s">
        <v>611</v>
      </c>
      <c r="C175" s="20">
        <v>46018</v>
      </c>
      <c r="D175" s="1" t="s">
        <v>619</v>
      </c>
      <c r="E175" s="10">
        <v>38.45964</v>
      </c>
      <c r="F175" s="10">
        <v>11.796659999999999</v>
      </c>
      <c r="G175" s="10">
        <v>38.457999999999998</v>
      </c>
      <c r="H175" s="10">
        <v>11.8164</v>
      </c>
      <c r="I175" s="2">
        <v>0.28016203703703701</v>
      </c>
      <c r="J175" s="2">
        <v>0.43358796296296298</v>
      </c>
      <c r="K175" s="2">
        <f t="shared" si="18"/>
        <v>0.15342592592592597</v>
      </c>
      <c r="L175" s="7">
        <v>2500</v>
      </c>
      <c r="M175" s="1" t="s">
        <v>620</v>
      </c>
      <c r="N175" s="154"/>
      <c r="P175" s="1" t="s">
        <v>534</v>
      </c>
    </row>
    <row r="176" spans="1:17">
      <c r="A176" s="1" t="s">
        <v>213</v>
      </c>
      <c r="B176" s="1" t="s">
        <v>611</v>
      </c>
      <c r="C176" s="20">
        <v>46018</v>
      </c>
      <c r="D176" s="1" t="s">
        <v>621</v>
      </c>
      <c r="E176" s="10">
        <v>38.51435</v>
      </c>
      <c r="F176" s="10">
        <v>11.723710000000001</v>
      </c>
      <c r="G176" s="10">
        <v>38.482210000000002</v>
      </c>
      <c r="H176" s="10">
        <v>11.72134</v>
      </c>
      <c r="I176" s="2">
        <v>0.58278935185185188</v>
      </c>
      <c r="J176" s="2">
        <v>0.89428240740740739</v>
      </c>
      <c r="K176" s="2">
        <f t="shared" si="18"/>
        <v>0.31149305555555551</v>
      </c>
      <c r="L176" s="7">
        <v>1820</v>
      </c>
      <c r="M176" s="1" t="s">
        <v>622</v>
      </c>
      <c r="N176" s="138" t="s">
        <v>623</v>
      </c>
      <c r="O176" s="53" t="s">
        <v>624</v>
      </c>
      <c r="P176" s="1" t="s">
        <v>529</v>
      </c>
    </row>
    <row r="177" spans="1:16">
      <c r="A177" s="1" t="s">
        <v>213</v>
      </c>
      <c r="B177" s="1" t="s">
        <v>611</v>
      </c>
      <c r="C177" s="20">
        <v>46018</v>
      </c>
      <c r="D177" s="1" t="s">
        <v>625</v>
      </c>
      <c r="E177" s="10">
        <v>38.464410000000001</v>
      </c>
      <c r="F177" s="10">
        <v>11.64907</v>
      </c>
      <c r="G177" s="10">
        <v>38.453650000000003</v>
      </c>
      <c r="H177" s="10">
        <v>11.65127</v>
      </c>
      <c r="I177" s="2">
        <v>1.8749999999999999E-2</v>
      </c>
      <c r="J177" s="2">
        <v>0.16513888888888889</v>
      </c>
      <c r="K177" s="2">
        <f t="shared" si="18"/>
        <v>0.1463888888888889</v>
      </c>
      <c r="L177" s="7">
        <v>1230</v>
      </c>
      <c r="M177" s="1" t="s">
        <v>626</v>
      </c>
      <c r="N177" s="138" t="s">
        <v>627</v>
      </c>
      <c r="P177" s="1" t="s">
        <v>539</v>
      </c>
    </row>
    <row r="178" spans="1:16">
      <c r="A178" s="1" t="s">
        <v>213</v>
      </c>
      <c r="B178" s="1" t="s">
        <v>611</v>
      </c>
      <c r="C178" s="20">
        <v>46019</v>
      </c>
      <c r="D178" s="1" t="s">
        <v>628</v>
      </c>
      <c r="E178" s="10">
        <v>38.408540000000002</v>
      </c>
      <c r="F178" s="10">
        <v>11.65273</v>
      </c>
      <c r="G178" s="10">
        <v>38.416670000000003</v>
      </c>
      <c r="H178" s="10">
        <v>11.647</v>
      </c>
      <c r="I178" s="2">
        <v>0.26996527777777779</v>
      </c>
      <c r="J178" s="2">
        <v>0.38468750000000002</v>
      </c>
      <c r="K178" s="2">
        <f t="shared" si="18"/>
        <v>0.11472222222222223</v>
      </c>
      <c r="L178" s="7">
        <v>1171</v>
      </c>
      <c r="M178" s="1" t="s">
        <v>629</v>
      </c>
      <c r="N178" s="138" t="s">
        <v>630</v>
      </c>
      <c r="P178" s="1" t="s">
        <v>534</v>
      </c>
    </row>
    <row r="179" spans="1:16">
      <c r="A179" s="1" t="s">
        <v>213</v>
      </c>
      <c r="B179" s="1" t="s">
        <v>611</v>
      </c>
      <c r="C179" s="20">
        <v>46019</v>
      </c>
      <c r="D179" s="1" t="s">
        <v>631</v>
      </c>
      <c r="E179" s="10">
        <v>38.381680000000003</v>
      </c>
      <c r="F179" s="10">
        <v>11.61591</v>
      </c>
      <c r="G179" s="10">
        <v>38.391480000000001</v>
      </c>
      <c r="H179" s="10">
        <v>11.608790000000001</v>
      </c>
      <c r="I179" s="2">
        <v>0.49841435185185184</v>
      </c>
      <c r="J179" s="2">
        <v>0.67376157407407411</v>
      </c>
      <c r="K179" s="2">
        <f t="shared" si="18"/>
        <v>0.17534722222222227</v>
      </c>
      <c r="L179" s="7">
        <v>1251</v>
      </c>
      <c r="M179" s="1" t="s">
        <v>632</v>
      </c>
      <c r="N179" s="138" t="s">
        <v>633</v>
      </c>
      <c r="P179" s="1" t="s">
        <v>534</v>
      </c>
    </row>
    <row r="180" spans="1:16">
      <c r="A180" s="1" t="s">
        <v>213</v>
      </c>
      <c r="B180" s="1" t="s">
        <v>611</v>
      </c>
      <c r="C180" s="20">
        <v>46019</v>
      </c>
      <c r="D180" s="1" t="s">
        <v>634</v>
      </c>
      <c r="E180" s="10">
        <v>38.441090000000003</v>
      </c>
      <c r="F180" s="10">
        <v>11.59093</v>
      </c>
      <c r="G180" s="10">
        <v>38.428049999999999</v>
      </c>
      <c r="H180" s="10">
        <v>11.585140000000001</v>
      </c>
      <c r="I180" s="2">
        <v>0.78005787037037033</v>
      </c>
      <c r="J180" s="2">
        <v>0.94020833333333331</v>
      </c>
      <c r="K180" s="2">
        <f t="shared" si="18"/>
        <v>0.16015046296296298</v>
      </c>
      <c r="L180" s="7">
        <v>1420</v>
      </c>
      <c r="M180" s="1" t="s">
        <v>635</v>
      </c>
      <c r="N180" s="138" t="s">
        <v>636</v>
      </c>
      <c r="P180" s="1" t="s">
        <v>539</v>
      </c>
    </row>
    <row r="181" spans="1:16">
      <c r="A181" s="213" t="s">
        <v>637</v>
      </c>
      <c r="B181" s="213"/>
      <c r="C181" s="213"/>
      <c r="D181" s="213"/>
      <c r="E181" s="213"/>
      <c r="F181" s="213"/>
      <c r="G181" s="213"/>
      <c r="H181" s="213"/>
      <c r="I181" s="213"/>
      <c r="J181" s="213"/>
      <c r="K181" s="213"/>
      <c r="L181" s="213"/>
      <c r="M181" s="213"/>
      <c r="N181" s="213"/>
      <c r="O181" s="213"/>
      <c r="P181" s="213"/>
    </row>
    <row r="182" spans="1:16">
      <c r="A182" s="1" t="s">
        <v>213</v>
      </c>
      <c r="B182" s="1" t="s">
        <v>611</v>
      </c>
      <c r="C182" s="20">
        <v>46022</v>
      </c>
      <c r="D182" s="1" t="s">
        <v>638</v>
      </c>
      <c r="E182" s="10">
        <v>38.310271951200001</v>
      </c>
      <c r="F182" s="10">
        <v>11.844813369200001</v>
      </c>
      <c r="G182" s="10">
        <v>38.3154194054</v>
      </c>
      <c r="H182" s="10">
        <v>11.851921992699999</v>
      </c>
      <c r="I182" s="2">
        <v>6.9513888888888889E-2</v>
      </c>
      <c r="J182" s="2">
        <v>0.15627314814814816</v>
      </c>
      <c r="K182" s="2">
        <f t="shared" si="18"/>
        <v>8.6759259259259272E-2</v>
      </c>
      <c r="L182" s="7">
        <v>1010</v>
      </c>
      <c r="M182" s="1" t="s">
        <v>639</v>
      </c>
      <c r="N182" s="138" t="s">
        <v>640</v>
      </c>
      <c r="O182" s="53" t="s">
        <v>641</v>
      </c>
      <c r="P182" s="1" t="s">
        <v>642</v>
      </c>
    </row>
    <row r="183" spans="1:16">
      <c r="A183" s="1" t="s">
        <v>213</v>
      </c>
      <c r="B183" s="1" t="s">
        <v>611</v>
      </c>
      <c r="C183" s="20">
        <v>46022</v>
      </c>
      <c r="D183" s="1" t="s">
        <v>643</v>
      </c>
      <c r="E183" s="10">
        <v>38.357149999999997</v>
      </c>
      <c r="F183" s="10">
        <v>11.862120000000001</v>
      </c>
      <c r="G183" s="10">
        <v>38.369109999999999</v>
      </c>
      <c r="H183" s="10">
        <v>11.85651</v>
      </c>
      <c r="I183" s="2">
        <v>0.27978009259259257</v>
      </c>
      <c r="J183" s="2">
        <v>0.40134259259259258</v>
      </c>
      <c r="K183" s="2">
        <f>J183-I183</f>
        <v>0.12156250000000002</v>
      </c>
      <c r="L183" s="7">
        <v>1467</v>
      </c>
      <c r="M183" s="1" t="s">
        <v>644</v>
      </c>
      <c r="N183" s="138" t="s">
        <v>645</v>
      </c>
      <c r="P183" s="1" t="s">
        <v>646</v>
      </c>
    </row>
    <row r="184" spans="1:16">
      <c r="A184" s="1" t="s">
        <v>213</v>
      </c>
      <c r="B184" s="1" t="s">
        <v>611</v>
      </c>
      <c r="C184" s="20">
        <v>46022</v>
      </c>
      <c r="D184" s="1" t="s">
        <v>647</v>
      </c>
      <c r="E184" s="10">
        <v>38.337359999999997</v>
      </c>
      <c r="F184" s="10">
        <v>11.744249999999999</v>
      </c>
      <c r="G184" s="10">
        <v>38.33822</v>
      </c>
      <c r="H184" s="10">
        <v>11.753920000000001</v>
      </c>
      <c r="I184" s="2">
        <v>0.5245023148148148</v>
      </c>
      <c r="J184" s="2">
        <v>0.62206018518518513</v>
      </c>
      <c r="K184" s="2">
        <f>J184-I184</f>
        <v>9.7557870370370336E-2</v>
      </c>
      <c r="L184" s="7">
        <v>915</v>
      </c>
      <c r="M184" s="1" t="s">
        <v>648</v>
      </c>
      <c r="N184" s="138" t="s">
        <v>649</v>
      </c>
      <c r="O184" s="53" t="s">
        <v>650</v>
      </c>
      <c r="P184" s="1" t="s">
        <v>646</v>
      </c>
    </row>
    <row r="185" spans="1:16">
      <c r="A185" s="1" t="s">
        <v>213</v>
      </c>
      <c r="B185" s="1" t="s">
        <v>611</v>
      </c>
      <c r="C185" s="20">
        <v>46022</v>
      </c>
      <c r="D185" s="1" t="s">
        <v>651</v>
      </c>
      <c r="E185" s="10">
        <v>38.372087371799999</v>
      </c>
      <c r="F185" s="10">
        <v>11.528404952500001</v>
      </c>
      <c r="G185" s="10">
        <v>38.371722734999999</v>
      </c>
      <c r="H185" s="10">
        <v>11.5226907854</v>
      </c>
      <c r="I185" s="2">
        <v>0.81472222222222224</v>
      </c>
      <c r="J185" s="2">
        <v>0.94030092592592596</v>
      </c>
      <c r="K185" s="2">
        <f t="shared" si="18"/>
        <v>0.12557870370370372</v>
      </c>
      <c r="L185" s="7">
        <v>635</v>
      </c>
      <c r="M185" s="1" t="s">
        <v>652</v>
      </c>
      <c r="N185" s="138" t="s">
        <v>653</v>
      </c>
      <c r="O185" s="53" t="s">
        <v>654</v>
      </c>
      <c r="P185" s="1" t="s">
        <v>642</v>
      </c>
    </row>
    <row r="186" spans="1:16" ht="30">
      <c r="A186" s="1" t="s">
        <v>213</v>
      </c>
      <c r="B186" s="1" t="s">
        <v>611</v>
      </c>
      <c r="C186" s="20">
        <v>46023</v>
      </c>
      <c r="D186" s="1" t="s">
        <v>655</v>
      </c>
      <c r="E186" s="10">
        <v>38.414406706900003</v>
      </c>
      <c r="F186" s="10">
        <v>11.443793215099999</v>
      </c>
      <c r="G186" s="10">
        <v>38.409693210299999</v>
      </c>
      <c r="H186" s="10">
        <v>11.4533276654</v>
      </c>
      <c r="I186" s="2">
        <v>7.7615740740740735E-2</v>
      </c>
      <c r="J186" s="2">
        <f t="shared" ref="J186" ca="1" si="26">IF(K186&lt;&gt;0,IF(J186=0,NOW(),J186),)</f>
        <v>46023.204436342596</v>
      </c>
      <c r="K186" s="2">
        <f t="shared" ca="1" si="18"/>
        <v>46023.126820601858</v>
      </c>
      <c r="L186" s="7">
        <v>1010</v>
      </c>
      <c r="M186" s="1" t="s">
        <v>656</v>
      </c>
      <c r="N186" s="138" t="s">
        <v>657</v>
      </c>
      <c r="O186" s="53" t="s">
        <v>658</v>
      </c>
      <c r="P186" s="1" t="s">
        <v>659</v>
      </c>
    </row>
    <row r="187" spans="1:16">
      <c r="A187" s="1" t="s">
        <v>213</v>
      </c>
      <c r="B187" s="1" t="s">
        <v>611</v>
      </c>
      <c r="C187" s="20">
        <v>46023</v>
      </c>
      <c r="D187" s="1" t="s">
        <v>660</v>
      </c>
      <c r="E187" s="10">
        <v>38.346449999999997</v>
      </c>
      <c r="F187" s="10">
        <v>11.389799999999999</v>
      </c>
      <c r="G187" s="10">
        <v>38.352719999999998</v>
      </c>
      <c r="H187" s="10">
        <v>11.40549</v>
      </c>
      <c r="I187" s="2">
        <v>0.43631944444444443</v>
      </c>
      <c r="J187" s="2">
        <v>0.62387731481481479</v>
      </c>
      <c r="K187" s="2">
        <f t="shared" si="18"/>
        <v>0.18755787037037036</v>
      </c>
      <c r="L187" s="7">
        <v>1831</v>
      </c>
      <c r="M187" s="1" t="s">
        <v>661</v>
      </c>
      <c r="N187" s="138" t="s">
        <v>662</v>
      </c>
      <c r="O187" s="53" t="s">
        <v>663</v>
      </c>
      <c r="P187" s="1" t="s">
        <v>646</v>
      </c>
    </row>
    <row r="188" spans="1:16" ht="30">
      <c r="A188" s="1" t="s">
        <v>213</v>
      </c>
      <c r="B188" s="1" t="s">
        <v>611</v>
      </c>
      <c r="C188" s="20">
        <v>46023</v>
      </c>
      <c r="D188" s="1" t="s">
        <v>664</v>
      </c>
      <c r="E188" s="10">
        <v>38.386315755799998</v>
      </c>
      <c r="F188" s="10">
        <v>11.3611028536</v>
      </c>
      <c r="G188" s="10">
        <v>38.3915773919</v>
      </c>
      <c r="H188" s="10">
        <v>11.3714872618</v>
      </c>
      <c r="I188" s="2">
        <v>0.71928240740740745</v>
      </c>
      <c r="J188" s="2">
        <v>0.83792824074074079</v>
      </c>
      <c r="K188" s="2">
        <f t="shared" si="18"/>
        <v>0.11864583333333334</v>
      </c>
      <c r="L188" s="7">
        <v>1100</v>
      </c>
      <c r="M188" s="1" t="s">
        <v>665</v>
      </c>
      <c r="N188" s="138" t="s">
        <v>666</v>
      </c>
      <c r="O188" s="53" t="s">
        <v>667</v>
      </c>
      <c r="P188" s="1" t="s">
        <v>642</v>
      </c>
    </row>
    <row r="189" spans="1:16" ht="30">
      <c r="A189" s="1" t="s">
        <v>213</v>
      </c>
      <c r="B189" s="1" t="s">
        <v>611</v>
      </c>
      <c r="C189" s="20" t="s">
        <v>668</v>
      </c>
      <c r="D189" s="1" t="s">
        <v>669</v>
      </c>
      <c r="E189" s="10">
        <v>38.3847977382</v>
      </c>
      <c r="F189" s="10">
        <v>11.3256991463</v>
      </c>
      <c r="G189" s="10">
        <v>38.376785929999997</v>
      </c>
      <c r="H189" s="10">
        <v>11.32342474</v>
      </c>
      <c r="I189" s="2">
        <v>0.96296296296296291</v>
      </c>
      <c r="J189" s="2">
        <v>5.2523148148148145E-2</v>
      </c>
      <c r="K189" s="2">
        <v>8.9560185185185187E-2</v>
      </c>
      <c r="L189" s="7">
        <v>910</v>
      </c>
      <c r="M189" s="1" t="s">
        <v>670</v>
      </c>
      <c r="N189" s="138" t="s">
        <v>671</v>
      </c>
      <c r="O189" s="53" t="s">
        <v>672</v>
      </c>
      <c r="P189" s="1" t="s">
        <v>642</v>
      </c>
    </row>
    <row r="190" spans="1:16" ht="45">
      <c r="A190" s="1" t="s">
        <v>213</v>
      </c>
      <c r="B190" s="1" t="s">
        <v>611</v>
      </c>
      <c r="C190" s="20">
        <v>46024</v>
      </c>
      <c r="D190" s="1" t="s">
        <v>673</v>
      </c>
      <c r="E190" s="10">
        <v>38.310277225699998</v>
      </c>
      <c r="F190" s="10">
        <v>11.3788588948</v>
      </c>
      <c r="G190" s="10">
        <v>38.316789999999997</v>
      </c>
      <c r="H190" s="10">
        <v>11.38937</v>
      </c>
      <c r="I190" s="2">
        <v>0.19687499999999999</v>
      </c>
      <c r="J190" s="2">
        <v>0.38491898148148146</v>
      </c>
      <c r="K190" s="2">
        <f t="shared" ref="K190:K254" si="27">J190-I190</f>
        <v>0.18804398148148146</v>
      </c>
      <c r="L190" s="7">
        <v>1490</v>
      </c>
      <c r="M190" s="1" t="s">
        <v>674</v>
      </c>
      <c r="N190" s="138" t="s">
        <v>675</v>
      </c>
      <c r="O190" s="53" t="s">
        <v>676</v>
      </c>
      <c r="P190" s="1" t="s">
        <v>677</v>
      </c>
    </row>
    <row r="191" spans="1:16">
      <c r="A191" s="1" t="s">
        <v>213</v>
      </c>
      <c r="B191" s="1" t="s">
        <v>611</v>
      </c>
      <c r="C191" s="20">
        <v>46024</v>
      </c>
      <c r="D191" s="1" t="s">
        <v>678</v>
      </c>
      <c r="E191" s="10">
        <v>38.448421570000001</v>
      </c>
      <c r="F191" s="10">
        <v>11.279229969999999</v>
      </c>
      <c r="G191" s="10">
        <v>38.439810999999999</v>
      </c>
      <c r="H191" s="10">
        <v>11.285486819999999</v>
      </c>
      <c r="I191" s="2">
        <v>0.5444444444444444</v>
      </c>
      <c r="J191" s="2">
        <v>0.63611111111111107</v>
      </c>
      <c r="K191" s="2">
        <f t="shared" si="27"/>
        <v>9.1666666666666674E-2</v>
      </c>
      <c r="L191" s="7">
        <v>1102</v>
      </c>
      <c r="M191" s="51" t="s">
        <v>679</v>
      </c>
      <c r="N191" s="138" t="s">
        <v>680</v>
      </c>
      <c r="O191" s="53" t="s">
        <v>681</v>
      </c>
      <c r="P191" s="1" t="s">
        <v>646</v>
      </c>
    </row>
    <row r="192" spans="1:16" ht="75">
      <c r="A192" s="1" t="s">
        <v>213</v>
      </c>
      <c r="B192" s="1" t="s">
        <v>611</v>
      </c>
      <c r="C192" s="20">
        <v>46024</v>
      </c>
      <c r="D192" s="1" t="s">
        <v>682</v>
      </c>
      <c r="E192" s="10">
        <v>38.511504530800003</v>
      </c>
      <c r="F192" s="10">
        <v>11.380232492399999</v>
      </c>
      <c r="G192" s="10">
        <v>38.502131295200002</v>
      </c>
      <c r="H192" s="10">
        <v>11.3703874024</v>
      </c>
      <c r="I192" s="2">
        <v>0.79694444444444446</v>
      </c>
      <c r="J192" s="2">
        <v>0.92396990740740736</v>
      </c>
      <c r="K192" s="2">
        <f t="shared" si="27"/>
        <v>0.12702546296296291</v>
      </c>
      <c r="L192" s="7">
        <v>1595</v>
      </c>
      <c r="M192" s="1" t="s">
        <v>683</v>
      </c>
      <c r="N192" s="138" t="s">
        <v>684</v>
      </c>
      <c r="O192" s="53" t="s">
        <v>685</v>
      </c>
      <c r="P192" s="1" t="s">
        <v>642</v>
      </c>
    </row>
    <row r="193" spans="1:16" ht="30">
      <c r="A193" s="1" t="s">
        <v>213</v>
      </c>
      <c r="B193" s="1" t="s">
        <v>686</v>
      </c>
      <c r="C193" s="20">
        <v>46025</v>
      </c>
      <c r="D193" s="1" t="s">
        <v>687</v>
      </c>
      <c r="E193" s="10">
        <v>38.594671105099998</v>
      </c>
      <c r="F193" s="10">
        <v>11.471437351200001</v>
      </c>
      <c r="G193" s="10">
        <v>38.6033076529</v>
      </c>
      <c r="H193" s="10">
        <v>11.460011336539999</v>
      </c>
      <c r="I193" s="2">
        <v>0.26765046296296297</v>
      </c>
      <c r="J193" s="2">
        <v>0.38858796296296294</v>
      </c>
      <c r="K193" s="2">
        <f t="shared" si="27"/>
        <v>0.12093749999999998</v>
      </c>
      <c r="L193" s="7">
        <v>1667</v>
      </c>
      <c r="M193" s="1" t="s">
        <v>688</v>
      </c>
      <c r="N193" s="138" t="s">
        <v>689</v>
      </c>
      <c r="O193" s="154" t="s">
        <v>690</v>
      </c>
      <c r="P193" s="1" t="s">
        <v>646</v>
      </c>
    </row>
    <row r="194" spans="1:16">
      <c r="A194" s="1" t="s">
        <v>213</v>
      </c>
      <c r="B194" s="1" t="s">
        <v>686</v>
      </c>
      <c r="C194" s="20">
        <v>46025</v>
      </c>
      <c r="D194" s="1" t="s">
        <v>691</v>
      </c>
      <c r="E194" s="10">
        <v>38.585433799999997</v>
      </c>
      <c r="F194" s="10">
        <v>11.438513520000001</v>
      </c>
      <c r="G194" s="10">
        <v>38.590903500000003</v>
      </c>
      <c r="H194" s="10">
        <v>11.44843303</v>
      </c>
      <c r="I194" s="2">
        <v>0.55101851851851846</v>
      </c>
      <c r="J194" s="2">
        <v>0.64104166666666662</v>
      </c>
      <c r="K194" s="2">
        <f t="shared" si="27"/>
        <v>9.0023148148148158E-2</v>
      </c>
      <c r="L194" s="7">
        <v>1497</v>
      </c>
      <c r="M194" s="1" t="s">
        <v>692</v>
      </c>
      <c r="N194" s="138" t="s">
        <v>693</v>
      </c>
      <c r="O194" s="124" t="s">
        <v>694</v>
      </c>
      <c r="P194" s="1" t="s">
        <v>646</v>
      </c>
    </row>
    <row r="195" spans="1:16">
      <c r="A195" s="1" t="s">
        <v>213</v>
      </c>
      <c r="B195" s="1" t="s">
        <v>686</v>
      </c>
      <c r="C195" s="20">
        <v>46025</v>
      </c>
      <c r="D195" s="1" t="s">
        <v>695</v>
      </c>
      <c r="E195" s="10">
        <v>38.608066043299999</v>
      </c>
      <c r="F195" s="10">
        <v>11.4300643004</v>
      </c>
      <c r="G195" s="10">
        <v>38.617091520300001</v>
      </c>
      <c r="H195" s="10">
        <v>11.447661177300001</v>
      </c>
      <c r="I195" s="2">
        <v>0.79517361111111107</v>
      </c>
      <c r="J195" s="2">
        <v>0.94238425925925928</v>
      </c>
      <c r="K195" s="2">
        <f t="shared" si="27"/>
        <v>0.14721064814814822</v>
      </c>
      <c r="L195" s="7">
        <v>2005</v>
      </c>
      <c r="M195" s="1" t="s">
        <v>696</v>
      </c>
      <c r="N195" s="138" t="s">
        <v>697</v>
      </c>
      <c r="O195" s="53" t="s">
        <v>698</v>
      </c>
      <c r="P195" s="1" t="s">
        <v>642</v>
      </c>
    </row>
    <row r="196" spans="1:16" ht="30">
      <c r="A196" s="1" t="s">
        <v>213</v>
      </c>
      <c r="B196" s="1" t="s">
        <v>686</v>
      </c>
      <c r="C196" s="20">
        <v>46026</v>
      </c>
      <c r="D196" s="1" t="s">
        <v>699</v>
      </c>
      <c r="E196" s="10">
        <v>38.638240000000003</v>
      </c>
      <c r="F196" s="10">
        <v>11.498950000000001</v>
      </c>
      <c r="G196" s="10">
        <v>38.641590000000001</v>
      </c>
      <c r="H196" s="10">
        <v>11.46796</v>
      </c>
      <c r="I196" s="2">
        <v>8.7314814814814817E-2</v>
      </c>
      <c r="J196" s="2">
        <v>0.27152777777777776</v>
      </c>
      <c r="K196" s="2">
        <f t="shared" si="27"/>
        <v>0.18421296296296294</v>
      </c>
      <c r="L196" s="7">
        <v>2940</v>
      </c>
      <c r="M196" s="1" t="s">
        <v>700</v>
      </c>
      <c r="N196" s="138" t="s">
        <v>701</v>
      </c>
      <c r="O196" s="53" t="s">
        <v>702</v>
      </c>
      <c r="P196" s="1" t="s">
        <v>677</v>
      </c>
    </row>
    <row r="197" spans="1:16" ht="30">
      <c r="A197" s="1" t="s">
        <v>213</v>
      </c>
      <c r="B197" s="1" t="s">
        <v>686</v>
      </c>
      <c r="C197" s="20">
        <v>46026</v>
      </c>
      <c r="D197" s="1" t="s">
        <v>703</v>
      </c>
      <c r="E197" s="10">
        <v>38.654283319999998</v>
      </c>
      <c r="F197" s="10">
        <v>11.43353478</v>
      </c>
      <c r="G197" s="10">
        <v>38.653886219999997</v>
      </c>
      <c r="H197" s="10">
        <v>11.449558359999999</v>
      </c>
      <c r="I197" s="2">
        <v>0.44097222222222221</v>
      </c>
      <c r="J197" s="2">
        <v>0.60486111111111107</v>
      </c>
      <c r="K197" s="2">
        <f t="shared" si="27"/>
        <v>0.16388888888888886</v>
      </c>
      <c r="L197" s="7">
        <v>1405</v>
      </c>
      <c r="M197" s="1" t="s">
        <v>704</v>
      </c>
      <c r="N197" s="138" t="s">
        <v>705</v>
      </c>
      <c r="O197" s="53" t="s">
        <v>706</v>
      </c>
      <c r="P197" s="1" t="s">
        <v>646</v>
      </c>
    </row>
    <row r="198" spans="1:16">
      <c r="A198" s="1" t="s">
        <v>213</v>
      </c>
      <c r="B198" s="1" t="s">
        <v>686</v>
      </c>
      <c r="C198" s="20">
        <v>46026</v>
      </c>
      <c r="D198" s="1" t="s">
        <v>707</v>
      </c>
      <c r="E198" s="10">
        <v>38.683188565800002</v>
      </c>
      <c r="F198" s="10">
        <v>11.457349600600001</v>
      </c>
      <c r="G198" s="10">
        <v>38.675991041300001</v>
      </c>
      <c r="H198" s="10">
        <v>11.4667908024</v>
      </c>
      <c r="I198" s="2">
        <v>0.76844907407407403</v>
      </c>
      <c r="J198" s="2">
        <v>0.91572916666666671</v>
      </c>
      <c r="K198" s="2">
        <f t="shared" si="27"/>
        <v>0.14728009259259267</v>
      </c>
      <c r="L198" s="7">
        <v>1225</v>
      </c>
      <c r="M198" s="1" t="s">
        <v>708</v>
      </c>
      <c r="N198" s="53" t="s">
        <v>709</v>
      </c>
      <c r="O198" s="53" t="s">
        <v>710</v>
      </c>
      <c r="P198" s="1" t="s">
        <v>642</v>
      </c>
    </row>
    <row r="199" spans="1:16" ht="30">
      <c r="A199" s="1" t="s">
        <v>213</v>
      </c>
      <c r="B199" s="1" t="s">
        <v>686</v>
      </c>
      <c r="C199" s="20">
        <v>46027</v>
      </c>
      <c r="D199" s="1" t="s">
        <v>711</v>
      </c>
      <c r="E199" s="10">
        <v>38.709941388700003</v>
      </c>
      <c r="F199" s="10">
        <v>11.468963307599999</v>
      </c>
      <c r="G199" s="10">
        <v>38.699349834300001</v>
      </c>
      <c r="H199" s="10">
        <v>11.4736708802</v>
      </c>
      <c r="I199" s="2">
        <v>8.4062499999999998E-2</v>
      </c>
      <c r="J199" s="2">
        <v>0.20162037037037037</v>
      </c>
      <c r="K199" s="2">
        <f t="shared" si="27"/>
        <v>0.11755787037037037</v>
      </c>
      <c r="L199" s="7">
        <v>1303</v>
      </c>
      <c r="M199" s="1" t="s">
        <v>712</v>
      </c>
      <c r="N199" s="53" t="s">
        <v>713</v>
      </c>
      <c r="O199" s="53" t="s">
        <v>714</v>
      </c>
      <c r="P199" s="1" t="s">
        <v>642</v>
      </c>
    </row>
    <row r="200" spans="1:16" ht="30">
      <c r="A200" s="1" t="s">
        <v>213</v>
      </c>
      <c r="B200" s="1" t="s">
        <v>686</v>
      </c>
      <c r="C200" s="20">
        <v>46027</v>
      </c>
      <c r="D200" s="1" t="s">
        <v>715</v>
      </c>
      <c r="E200" s="10">
        <v>38.696772280899999</v>
      </c>
      <c r="F200" s="10">
        <v>11.490394817</v>
      </c>
      <c r="G200" s="10">
        <v>38.683232779000001</v>
      </c>
      <c r="H200" s="10">
        <v>11.4740188008</v>
      </c>
      <c r="I200" s="2">
        <v>0.28835648148148146</v>
      </c>
      <c r="J200" s="2">
        <v>0.48678240740740741</v>
      </c>
      <c r="K200" s="2">
        <f t="shared" si="27"/>
        <v>0.19842592592592595</v>
      </c>
      <c r="L200" s="7">
        <v>1867</v>
      </c>
      <c r="M200" s="1" t="s">
        <v>716</v>
      </c>
      <c r="N200" s="53" t="s">
        <v>717</v>
      </c>
      <c r="O200" s="53" t="s">
        <v>718</v>
      </c>
      <c r="P200" s="1" t="s">
        <v>646</v>
      </c>
    </row>
    <row r="201" spans="1:16" ht="45">
      <c r="A201" s="1" t="s">
        <v>213</v>
      </c>
      <c r="B201" s="1" t="s">
        <v>719</v>
      </c>
      <c r="C201" s="20">
        <v>46027</v>
      </c>
      <c r="D201" s="1" t="s">
        <v>720</v>
      </c>
      <c r="E201" s="10">
        <v>39.629420941600003</v>
      </c>
      <c r="F201" s="10">
        <v>10.370388656899999</v>
      </c>
      <c r="G201" s="10">
        <v>39.635210946400001</v>
      </c>
      <c r="H201" s="10">
        <v>10.351041259200001</v>
      </c>
      <c r="I201" s="2">
        <v>0.9992361111111111</v>
      </c>
      <c r="J201" s="2">
        <v>0.21091435185185184</v>
      </c>
      <c r="K201" s="2">
        <v>0.21167824074074074</v>
      </c>
      <c r="L201" s="7">
        <v>2180</v>
      </c>
      <c r="M201" s="1" t="s">
        <v>721</v>
      </c>
      <c r="N201" s="53" t="s">
        <v>722</v>
      </c>
      <c r="O201" s="53" t="s">
        <v>723</v>
      </c>
      <c r="P201" s="1" t="s">
        <v>642</v>
      </c>
    </row>
    <row r="202" spans="1:16">
      <c r="A202" s="1" t="s">
        <v>213</v>
      </c>
      <c r="B202" s="1" t="s">
        <v>719</v>
      </c>
      <c r="C202" s="20">
        <v>46028</v>
      </c>
      <c r="D202" s="1" t="s">
        <v>724</v>
      </c>
      <c r="E202" s="10">
        <v>39.653205139400001</v>
      </c>
      <c r="F202" s="10">
        <v>10.327056623300001</v>
      </c>
      <c r="G202" s="10">
        <v>39.645342867799997</v>
      </c>
      <c r="H202" s="10">
        <v>10.341890787300001</v>
      </c>
      <c r="I202" s="2">
        <v>0.37234953703703705</v>
      </c>
      <c r="J202" s="2">
        <v>0.58108796296296295</v>
      </c>
      <c r="K202" s="2">
        <f t="shared" si="27"/>
        <v>0.2087384259259259</v>
      </c>
      <c r="L202" s="7">
        <v>2060</v>
      </c>
      <c r="M202" s="1" t="s">
        <v>725</v>
      </c>
      <c r="N202" s="53" t="s">
        <v>726</v>
      </c>
      <c r="O202" s="53" t="s">
        <v>727</v>
      </c>
      <c r="P202" s="1" t="s">
        <v>646</v>
      </c>
    </row>
    <row r="203" spans="1:16" ht="60">
      <c r="A203" s="1" t="s">
        <v>213</v>
      </c>
      <c r="B203" s="1" t="s">
        <v>719</v>
      </c>
      <c r="C203" s="20">
        <v>46028</v>
      </c>
      <c r="D203" s="1" t="s">
        <v>728</v>
      </c>
      <c r="E203" s="10">
        <v>39.668203671900002</v>
      </c>
      <c r="F203" s="10">
        <v>10.3522597112</v>
      </c>
      <c r="G203" s="10">
        <v>39.669556472899998</v>
      </c>
      <c r="H203" s="10">
        <v>10.372336727</v>
      </c>
      <c r="I203" s="2">
        <v>0.78997685185185185</v>
      </c>
      <c r="J203" s="2">
        <v>7.6296296296296293E-2</v>
      </c>
      <c r="K203" s="2">
        <v>0.28631944444444446</v>
      </c>
      <c r="L203" s="7">
        <v>2088</v>
      </c>
      <c r="M203" s="1" t="s">
        <v>729</v>
      </c>
      <c r="N203" s="53" t="s">
        <v>730</v>
      </c>
      <c r="O203" s="53" t="s">
        <v>731</v>
      </c>
      <c r="P203" s="1" t="s">
        <v>642</v>
      </c>
    </row>
    <row r="204" spans="1:16" ht="30">
      <c r="A204" s="1" t="s">
        <v>213</v>
      </c>
      <c r="B204" s="1" t="s">
        <v>719</v>
      </c>
      <c r="C204" s="20">
        <v>46029</v>
      </c>
      <c r="D204" s="1" t="s">
        <v>732</v>
      </c>
      <c r="E204" s="10">
        <v>39.677879150000003</v>
      </c>
      <c r="F204" s="10">
        <v>10.323969379999999</v>
      </c>
      <c r="G204" s="10">
        <v>39.681985760000003</v>
      </c>
      <c r="H204" s="10">
        <v>10.344606580000001</v>
      </c>
      <c r="I204" s="2">
        <v>0.27780092592592592</v>
      </c>
      <c r="J204" s="2">
        <v>0.45339120370370373</v>
      </c>
      <c r="K204" s="2">
        <f t="shared" si="27"/>
        <v>0.1755902777777778</v>
      </c>
      <c r="L204" s="7">
        <v>1749</v>
      </c>
      <c r="M204" s="1" t="s">
        <v>733</v>
      </c>
      <c r="N204" s="53" t="s">
        <v>734</v>
      </c>
      <c r="O204" s="53" t="s">
        <v>735</v>
      </c>
      <c r="P204" s="1" t="s">
        <v>646</v>
      </c>
    </row>
    <row r="205" spans="1:16" ht="45">
      <c r="A205" s="1" t="s">
        <v>213</v>
      </c>
      <c r="B205" s="1" t="s">
        <v>736</v>
      </c>
      <c r="C205" s="20">
        <v>46029</v>
      </c>
      <c r="D205" s="1" t="s">
        <v>737</v>
      </c>
      <c r="E205" s="10">
        <v>39.9425373081</v>
      </c>
      <c r="F205" s="10">
        <v>10.1653524482</v>
      </c>
      <c r="G205" s="10">
        <v>39.948832898900001</v>
      </c>
      <c r="H205" s="10">
        <v>10.1743192712</v>
      </c>
      <c r="I205" s="2">
        <v>0.70464120370370376</v>
      </c>
      <c r="J205" s="2">
        <v>0.81715277777777773</v>
      </c>
      <c r="K205" s="2">
        <f t="shared" si="27"/>
        <v>0.11251157407407397</v>
      </c>
      <c r="L205" s="7">
        <v>1208</v>
      </c>
      <c r="M205" s="1" t="s">
        <v>738</v>
      </c>
      <c r="N205" s="53" t="s">
        <v>739</v>
      </c>
      <c r="O205" s="53" t="s">
        <v>740</v>
      </c>
      <c r="P205" s="1" t="s">
        <v>741</v>
      </c>
    </row>
    <row r="206" spans="1:16" ht="45">
      <c r="A206" s="1" t="s">
        <v>213</v>
      </c>
      <c r="B206" s="1" t="s">
        <v>736</v>
      </c>
      <c r="C206" s="20">
        <v>46029</v>
      </c>
      <c r="D206" s="1" t="s">
        <v>742</v>
      </c>
      <c r="E206" s="10">
        <v>39.948918327000001</v>
      </c>
      <c r="F206" s="10">
        <v>10.152172866100001</v>
      </c>
      <c r="G206" s="10">
        <v>39.959915606199999</v>
      </c>
      <c r="H206" s="10">
        <v>10.139319245399999</v>
      </c>
      <c r="I206" s="2">
        <v>0.92347222222222225</v>
      </c>
      <c r="J206" s="2">
        <v>5.921296296296296E-2</v>
      </c>
      <c r="K206" s="2">
        <v>9.4074074074074074E-2</v>
      </c>
      <c r="L206" s="7">
        <v>1820</v>
      </c>
      <c r="M206" s="1" t="s">
        <v>743</v>
      </c>
      <c r="N206" s="53" t="s">
        <v>744</v>
      </c>
      <c r="O206" s="53" t="s">
        <v>745</v>
      </c>
      <c r="P206" s="1" t="s">
        <v>642</v>
      </c>
    </row>
    <row r="207" spans="1:16">
      <c r="A207" s="1" t="s">
        <v>213</v>
      </c>
      <c r="B207" s="1" t="s">
        <v>736</v>
      </c>
      <c r="C207" s="20">
        <v>46030</v>
      </c>
      <c r="D207" s="1" t="s">
        <v>746</v>
      </c>
      <c r="E207" s="10">
        <v>39.970233260000001</v>
      </c>
      <c r="F207" s="10">
        <v>10.15562478</v>
      </c>
      <c r="G207" s="10">
        <v>39.981407799999999</v>
      </c>
      <c r="H207" s="10">
        <v>10.164098259999999</v>
      </c>
      <c r="I207" s="2">
        <v>0.14358796296296297</v>
      </c>
      <c r="J207" s="2">
        <v>0.25719907407407405</v>
      </c>
      <c r="K207" s="2">
        <f t="shared" si="27"/>
        <v>0.11361111111111108</v>
      </c>
      <c r="L207" s="7">
        <v>1822</v>
      </c>
      <c r="M207" s="1" t="s">
        <v>747</v>
      </c>
      <c r="N207" s="53" t="s">
        <v>748</v>
      </c>
      <c r="O207" s="53" t="s">
        <v>749</v>
      </c>
      <c r="P207" s="1" t="s">
        <v>677</v>
      </c>
    </row>
    <row r="208" spans="1:16" ht="30">
      <c r="A208" s="1" t="s">
        <v>213</v>
      </c>
      <c r="B208" s="1" t="s">
        <v>736</v>
      </c>
      <c r="C208" s="20">
        <v>46030</v>
      </c>
      <c r="D208" s="1" t="s">
        <v>750</v>
      </c>
      <c r="E208" s="10">
        <v>39.9818929407</v>
      </c>
      <c r="F208" s="10">
        <v>10.2021635577</v>
      </c>
      <c r="G208" s="10">
        <v>39.981123182899999</v>
      </c>
      <c r="H208" s="10">
        <v>10.1811145022</v>
      </c>
      <c r="I208" s="2">
        <v>0.52023148148148146</v>
      </c>
      <c r="J208" s="2">
        <v>0.68046296296296294</v>
      </c>
      <c r="K208" s="2">
        <f t="shared" si="27"/>
        <v>0.16023148148148147</v>
      </c>
      <c r="L208" s="7">
        <v>1829</v>
      </c>
      <c r="M208" s="1" t="s">
        <v>751</v>
      </c>
      <c r="N208" s="53" t="s">
        <v>752</v>
      </c>
      <c r="O208" s="53" t="s">
        <v>753</v>
      </c>
      <c r="P208" s="1" t="s">
        <v>646</v>
      </c>
    </row>
    <row r="209" spans="1:16" ht="30">
      <c r="A209" s="1" t="s">
        <v>213</v>
      </c>
      <c r="B209" s="1" t="s">
        <v>736</v>
      </c>
      <c r="C209" s="20">
        <v>46030</v>
      </c>
      <c r="D209" s="1" t="s">
        <v>754</v>
      </c>
      <c r="E209" s="10">
        <v>40.007363917799999</v>
      </c>
      <c r="F209" s="10">
        <v>10.138933864</v>
      </c>
      <c r="G209" s="10">
        <v>40.013780026399999</v>
      </c>
      <c r="H209" s="10">
        <v>10.150722846600001</v>
      </c>
      <c r="I209" s="2">
        <v>0.83193287037037034</v>
      </c>
      <c r="J209" s="2">
        <v>0.91912037037037042</v>
      </c>
      <c r="K209" s="2">
        <f t="shared" si="27"/>
        <v>8.7187500000000084E-2</v>
      </c>
      <c r="L209" s="7">
        <v>1245</v>
      </c>
      <c r="M209" s="1" t="s">
        <v>755</v>
      </c>
      <c r="N209" s="53" t="s">
        <v>756</v>
      </c>
      <c r="O209" s="53" t="s">
        <v>757</v>
      </c>
      <c r="P209" s="1" t="s">
        <v>642</v>
      </c>
    </row>
    <row r="210" spans="1:16">
      <c r="A210" s="1" t="s">
        <v>213</v>
      </c>
      <c r="B210" s="1" t="s">
        <v>736</v>
      </c>
      <c r="C210" s="20">
        <v>46031</v>
      </c>
      <c r="D210" s="1" t="s">
        <v>758</v>
      </c>
      <c r="E210" s="10">
        <v>40.035994585300003</v>
      </c>
      <c r="F210" s="10">
        <v>10.192238700000001</v>
      </c>
      <c r="G210" s="10">
        <v>40.028619833100002</v>
      </c>
      <c r="H210" s="10">
        <v>10.175026857800001</v>
      </c>
      <c r="I210" s="2">
        <v>6.9953703703703699E-2</v>
      </c>
      <c r="J210" s="2">
        <f ca="1">IF(K210&lt;&gt;0,IF(J210=0,NOW(),J210),)</f>
        <v>46031.207169444446</v>
      </c>
      <c r="K210" s="2">
        <f t="shared" ca="1" si="27"/>
        <v>46031.137215740739</v>
      </c>
      <c r="L210" s="7">
        <v>1710</v>
      </c>
      <c r="M210" s="1" t="s">
        <v>759</v>
      </c>
      <c r="N210" s="53" t="s">
        <v>760</v>
      </c>
      <c r="O210" s="53" t="s">
        <v>761</v>
      </c>
      <c r="P210" s="1" t="s">
        <v>642</v>
      </c>
    </row>
    <row r="211" spans="1:16" ht="45">
      <c r="A211" s="1" t="s">
        <v>213</v>
      </c>
      <c r="B211" s="1" t="s">
        <v>736</v>
      </c>
      <c r="C211" s="20">
        <v>46031</v>
      </c>
      <c r="D211" s="1" t="s">
        <v>762</v>
      </c>
      <c r="E211" s="10">
        <v>40.024859507000002</v>
      </c>
      <c r="F211" s="10">
        <v>10.110260696999999</v>
      </c>
      <c r="G211" s="10">
        <v>40.027975018699998</v>
      </c>
      <c r="H211" s="10">
        <v>10.126178886</v>
      </c>
      <c r="I211" s="2">
        <v>0.32271990740740741</v>
      </c>
      <c r="J211" s="2">
        <v>0.48681712962962964</v>
      </c>
      <c r="K211" s="2">
        <f t="shared" si="27"/>
        <v>0.16409722222222223</v>
      </c>
      <c r="L211" s="7">
        <v>1431</v>
      </c>
      <c r="M211" s="1" t="s">
        <v>763</v>
      </c>
      <c r="N211" s="53" t="s">
        <v>764</v>
      </c>
      <c r="O211" s="161" t="s">
        <v>765</v>
      </c>
      <c r="P211" s="1" t="s">
        <v>646</v>
      </c>
    </row>
    <row r="212" spans="1:16">
      <c r="A212" s="1" t="s">
        <v>213</v>
      </c>
      <c r="B212" s="1" t="s">
        <v>736</v>
      </c>
      <c r="C212" s="20">
        <v>46031</v>
      </c>
      <c r="D212" s="1" t="s">
        <v>766</v>
      </c>
      <c r="E212" s="10">
        <v>40.052971399999997</v>
      </c>
      <c r="F212" s="10">
        <v>10.14715988</v>
      </c>
      <c r="G212" s="10">
        <v>40.045779799999998</v>
      </c>
      <c r="H212" s="10">
        <v>10.135879210000001</v>
      </c>
      <c r="I212" s="2">
        <v>0.62966435185185188</v>
      </c>
      <c r="J212" s="2">
        <v>0.71163194444444444</v>
      </c>
      <c r="K212" s="2">
        <f t="shared" si="27"/>
        <v>8.1967592592592564E-2</v>
      </c>
      <c r="L212" s="7">
        <v>1356</v>
      </c>
      <c r="M212" s="1" t="s">
        <v>767</v>
      </c>
      <c r="N212" s="53" t="s">
        <v>748</v>
      </c>
      <c r="O212" s="53" t="s">
        <v>768</v>
      </c>
      <c r="P212" s="1" t="s">
        <v>646</v>
      </c>
    </row>
    <row r="213" spans="1:16" s="64" customFormat="1">
      <c r="A213" s="64" t="s">
        <v>213</v>
      </c>
      <c r="B213" s="64" t="s">
        <v>736</v>
      </c>
      <c r="C213" s="65">
        <v>46031</v>
      </c>
      <c r="D213" s="64" t="s">
        <v>769</v>
      </c>
      <c r="E213" s="67">
        <v>40.076651030000001</v>
      </c>
      <c r="F213" s="67">
        <v>10.113455760000001</v>
      </c>
      <c r="G213" s="67">
        <v>40.076488480000002</v>
      </c>
      <c r="H213" s="67">
        <v>10.114760070000001</v>
      </c>
      <c r="I213" s="68">
        <v>0.87199074074074079</v>
      </c>
      <c r="J213" s="68">
        <v>0.89927083333333335</v>
      </c>
      <c r="K213" s="68">
        <f t="shared" si="27"/>
        <v>2.7280092592592564E-2</v>
      </c>
      <c r="L213" s="69">
        <v>120</v>
      </c>
      <c r="M213" s="64" t="s">
        <v>770</v>
      </c>
      <c r="N213" s="70" t="s">
        <v>748</v>
      </c>
      <c r="O213" s="70" t="s">
        <v>771</v>
      </c>
      <c r="P213" s="64" t="s">
        <v>642</v>
      </c>
    </row>
    <row r="214" spans="1:16" ht="30">
      <c r="A214" s="1" t="s">
        <v>213</v>
      </c>
      <c r="B214" s="1" t="s">
        <v>736</v>
      </c>
      <c r="C214" s="20">
        <v>46033</v>
      </c>
      <c r="D214" s="1" t="s">
        <v>772</v>
      </c>
      <c r="E214" s="10">
        <v>40.0764770523</v>
      </c>
      <c r="F214" s="10">
        <v>10.115264699700001</v>
      </c>
      <c r="G214" s="10">
        <v>40.074590768599997</v>
      </c>
      <c r="H214" s="10">
        <v>10.1275570438</v>
      </c>
      <c r="I214" s="2">
        <v>0.3694560185185185</v>
      </c>
      <c r="J214" s="2">
        <v>0.4659490740740741</v>
      </c>
      <c r="K214" s="2">
        <f>J214-I214</f>
        <v>9.6493055555555596E-2</v>
      </c>
      <c r="L214" s="7">
        <v>1428</v>
      </c>
      <c r="M214" s="1" t="s">
        <v>773</v>
      </c>
      <c r="N214" s="53" t="s">
        <v>774</v>
      </c>
      <c r="O214" s="53" t="s">
        <v>775</v>
      </c>
      <c r="P214" s="1" t="s">
        <v>646</v>
      </c>
    </row>
    <row r="215" spans="1:16" ht="45">
      <c r="A215" s="1" t="s">
        <v>213</v>
      </c>
      <c r="B215" s="1" t="s">
        <v>776</v>
      </c>
      <c r="C215" s="20">
        <v>46033</v>
      </c>
      <c r="D215" s="1" t="s">
        <v>777</v>
      </c>
      <c r="E215" s="10">
        <v>38.809689808599998</v>
      </c>
      <c r="F215" s="10">
        <v>9.6934260698999992</v>
      </c>
      <c r="G215" s="10">
        <v>38.830591289099999</v>
      </c>
      <c r="H215" s="10">
        <v>9.6615431213999994</v>
      </c>
      <c r="I215" s="2">
        <v>0.94982638888888893</v>
      </c>
      <c r="J215" s="2">
        <v>0.21817129629629631</v>
      </c>
      <c r="K215" s="2">
        <v>0.26834490740740741</v>
      </c>
      <c r="L215" s="7">
        <v>3631</v>
      </c>
      <c r="M215" s="1" t="s">
        <v>778</v>
      </c>
      <c r="N215" s="53" t="s">
        <v>779</v>
      </c>
      <c r="O215" s="53" t="s">
        <v>780</v>
      </c>
      <c r="P215" s="1" t="s">
        <v>642</v>
      </c>
    </row>
    <row r="216" spans="1:16">
      <c r="A216" s="1" t="s">
        <v>213</v>
      </c>
      <c r="B216" s="1" t="s">
        <v>776</v>
      </c>
      <c r="C216" s="20">
        <v>46034</v>
      </c>
      <c r="D216" s="1" t="s">
        <v>781</v>
      </c>
      <c r="E216" s="10">
        <v>38.752429290000002</v>
      </c>
      <c r="F216" s="10">
        <v>9.6155668970000008</v>
      </c>
      <c r="G216" s="10">
        <v>38.768401869999998</v>
      </c>
      <c r="H216" s="10">
        <v>9.6050254529999997</v>
      </c>
      <c r="I216" s="2">
        <v>0.34693287037037035</v>
      </c>
      <c r="J216" s="166">
        <v>0.57681712962962961</v>
      </c>
      <c r="K216" s="2">
        <f>J216-I216</f>
        <v>0.22988425925925926</v>
      </c>
      <c r="L216" s="1">
        <v>2109</v>
      </c>
      <c r="M216" s="1" t="s">
        <v>782</v>
      </c>
      <c r="N216" s="53" t="s">
        <v>783</v>
      </c>
      <c r="O216" s="53" t="s">
        <v>784</v>
      </c>
      <c r="P216" s="1" t="s">
        <v>646</v>
      </c>
    </row>
    <row r="217" spans="1:16" ht="30">
      <c r="A217" s="1" t="s">
        <v>213</v>
      </c>
      <c r="B217" s="1" t="s">
        <v>776</v>
      </c>
      <c r="C217" s="20">
        <v>46034</v>
      </c>
      <c r="D217" s="1" t="s">
        <v>785</v>
      </c>
      <c r="E217" s="10">
        <v>38.685627671399999</v>
      </c>
      <c r="F217" s="10">
        <v>9.6168809132999993</v>
      </c>
      <c r="G217" s="10">
        <v>38.694371836999998</v>
      </c>
      <c r="H217" s="10">
        <v>9.6000194076999996</v>
      </c>
      <c r="I217" s="2">
        <v>0.66484953703703709</v>
      </c>
      <c r="J217" s="2">
        <v>0.79630787037037032</v>
      </c>
      <c r="K217" s="2">
        <f>J217-I217</f>
        <v>0.13145833333333323</v>
      </c>
      <c r="L217" s="7">
        <v>1773</v>
      </c>
      <c r="M217" s="1" t="s">
        <v>786</v>
      </c>
      <c r="N217" s="53" t="s">
        <v>787</v>
      </c>
      <c r="O217" s="53" t="s">
        <v>788</v>
      </c>
      <c r="P217" s="1" t="s">
        <v>741</v>
      </c>
    </row>
    <row r="218" spans="1:16" ht="30">
      <c r="A218" s="1" t="s">
        <v>213</v>
      </c>
      <c r="B218" s="1" t="s">
        <v>776</v>
      </c>
      <c r="C218" s="20">
        <v>46034</v>
      </c>
      <c r="D218" s="1" t="s">
        <v>789</v>
      </c>
      <c r="E218" s="10">
        <v>38.6565865006</v>
      </c>
      <c r="F218" s="10">
        <v>9.557405417</v>
      </c>
      <c r="G218" s="10">
        <v>38.658680605199997</v>
      </c>
      <c r="H218" s="10">
        <v>9.5392284996000001</v>
      </c>
      <c r="I218" s="2">
        <v>0.9017708333333333</v>
      </c>
      <c r="J218" s="2">
        <v>2.7349537037037037E-2</v>
      </c>
      <c r="K218" s="2">
        <v>0.12557870370370369</v>
      </c>
      <c r="L218" s="7">
        <v>1630</v>
      </c>
      <c r="M218" s="1" t="s">
        <v>790</v>
      </c>
      <c r="N218" s="53" t="s">
        <v>791</v>
      </c>
      <c r="O218" s="53" t="s">
        <v>792</v>
      </c>
      <c r="P218" s="1" t="s">
        <v>642</v>
      </c>
    </row>
    <row r="219" spans="1:16" ht="60">
      <c r="A219" s="1" t="s">
        <v>213</v>
      </c>
      <c r="B219" s="1" t="s">
        <v>776</v>
      </c>
      <c r="C219" s="20">
        <v>46035</v>
      </c>
      <c r="D219" s="1" t="s">
        <v>793</v>
      </c>
      <c r="E219" s="10">
        <v>38.61348675</v>
      </c>
      <c r="F219" s="10">
        <v>9.5395787120000008</v>
      </c>
      <c r="G219" s="10">
        <v>38.625124530000001</v>
      </c>
      <c r="H219" s="10">
        <v>9.5416533260000005</v>
      </c>
      <c r="I219" s="2">
        <v>0.13094907407407408</v>
      </c>
      <c r="J219" s="2">
        <v>0.28171296296296294</v>
      </c>
      <c r="K219" s="2">
        <f t="shared" si="27"/>
        <v>0.15076388888888886</v>
      </c>
      <c r="L219" s="7">
        <v>1353</v>
      </c>
      <c r="M219" s="1" t="s">
        <v>794</v>
      </c>
      <c r="N219" s="53" t="s">
        <v>795</v>
      </c>
      <c r="O219" s="53" t="s">
        <v>796</v>
      </c>
      <c r="P219" s="1" t="s">
        <v>677</v>
      </c>
    </row>
    <row r="220" spans="1:16" ht="45">
      <c r="A220" s="1" t="s">
        <v>213</v>
      </c>
      <c r="B220" s="1" t="s">
        <v>776</v>
      </c>
      <c r="C220" s="20">
        <v>46035</v>
      </c>
      <c r="D220" s="1" t="s">
        <v>797</v>
      </c>
      <c r="E220" s="10">
        <v>38.61302955</v>
      </c>
      <c r="F220" s="10">
        <v>9.5182608860000002</v>
      </c>
      <c r="G220" s="10">
        <v>38.618170200000002</v>
      </c>
      <c r="H220" s="10">
        <v>9.5176510440000008</v>
      </c>
      <c r="I220" s="2">
        <v>0.37754629629629627</v>
      </c>
      <c r="J220" s="166">
        <v>0.54798611111111106</v>
      </c>
      <c r="K220" s="2">
        <f t="shared" si="27"/>
        <v>0.17043981481481479</v>
      </c>
      <c r="L220" s="7">
        <v>614</v>
      </c>
      <c r="M220" s="1" t="s">
        <v>798</v>
      </c>
      <c r="N220" s="53" t="s">
        <v>799</v>
      </c>
      <c r="O220" s="53" t="s">
        <v>800</v>
      </c>
      <c r="P220" s="1" t="s">
        <v>646</v>
      </c>
    </row>
    <row r="221" spans="1:16" ht="45">
      <c r="A221" s="1" t="s">
        <v>213</v>
      </c>
      <c r="B221" s="1" t="s">
        <v>776</v>
      </c>
      <c r="C221" s="20">
        <v>46035</v>
      </c>
      <c r="D221" s="1" t="s">
        <v>801</v>
      </c>
      <c r="E221" s="10">
        <v>38.564087870000002</v>
      </c>
      <c r="F221" s="10">
        <v>9.4828807259999994</v>
      </c>
      <c r="G221" s="10">
        <v>38.573713859999998</v>
      </c>
      <c r="H221" s="10">
        <v>9.4756982389999997</v>
      </c>
      <c r="I221" s="166">
        <v>0.64601851851851855</v>
      </c>
      <c r="J221" s="2">
        <v>0.79744212962962968</v>
      </c>
      <c r="K221" s="2">
        <f t="shared" si="27"/>
        <v>0.15142361111111113</v>
      </c>
      <c r="L221" s="7">
        <v>1243</v>
      </c>
      <c r="M221" s="1" t="s">
        <v>802</v>
      </c>
      <c r="N221" s="53" t="s">
        <v>803</v>
      </c>
      <c r="O221" s="154" t="s">
        <v>804</v>
      </c>
      <c r="P221" s="1" t="s">
        <v>741</v>
      </c>
    </row>
    <row r="222" spans="1:16" ht="75">
      <c r="A222" s="1" t="s">
        <v>213</v>
      </c>
      <c r="B222" s="1" t="s">
        <v>776</v>
      </c>
      <c r="C222" s="20">
        <v>46035</v>
      </c>
      <c r="D222" s="1" t="s">
        <v>805</v>
      </c>
      <c r="E222" s="10">
        <v>38.503594577800001</v>
      </c>
      <c r="F222" s="10">
        <v>9.4221166403000005</v>
      </c>
      <c r="G222" s="10">
        <v>38.509213451000001</v>
      </c>
      <c r="H222" s="10">
        <v>9.4233891340000007</v>
      </c>
      <c r="I222" s="2">
        <v>0.91190972222222222</v>
      </c>
      <c r="J222" s="2">
        <v>4.7592592592592596E-2</v>
      </c>
      <c r="K222" s="2">
        <v>0.13567129629629629</v>
      </c>
      <c r="L222" s="7" t="s">
        <v>806</v>
      </c>
      <c r="M222" s="1" t="s">
        <v>807</v>
      </c>
      <c r="N222" s="53" t="s">
        <v>808</v>
      </c>
      <c r="O222" s="53" t="s">
        <v>809</v>
      </c>
      <c r="P222" s="1" t="s">
        <v>642</v>
      </c>
    </row>
    <row r="223" spans="1:16" ht="30">
      <c r="A223" s="1" t="s">
        <v>213</v>
      </c>
      <c r="B223" s="1" t="s">
        <v>776</v>
      </c>
      <c r="C223" s="20">
        <v>46036</v>
      </c>
      <c r="D223" s="1" t="s">
        <v>810</v>
      </c>
      <c r="E223" s="10">
        <v>38.545659960000002</v>
      </c>
      <c r="F223" s="10">
        <v>9.4237073840000001</v>
      </c>
      <c r="G223" s="10">
        <v>38.531968149999997</v>
      </c>
      <c r="H223" s="10">
        <v>9.4272233869999997</v>
      </c>
      <c r="I223" s="2">
        <v>0.15429398148148149</v>
      </c>
      <c r="J223" s="2">
        <v>0.48372685185185182</v>
      </c>
      <c r="K223" s="2">
        <f t="shared" si="27"/>
        <v>0.32943287037037033</v>
      </c>
      <c r="L223" s="7">
        <v>1607</v>
      </c>
      <c r="M223" s="1" t="s">
        <v>811</v>
      </c>
      <c r="N223" s="53" t="s">
        <v>812</v>
      </c>
      <c r="O223" s="173" t="s">
        <v>813</v>
      </c>
      <c r="P223" s="1" t="s">
        <v>677</v>
      </c>
    </row>
    <row r="224" spans="1:16">
      <c r="A224" s="213" t="s">
        <v>637</v>
      </c>
      <c r="B224" s="213"/>
      <c r="C224" s="213"/>
      <c r="D224" s="213"/>
      <c r="E224" s="213"/>
      <c r="F224" s="213"/>
      <c r="G224" s="213"/>
      <c r="H224" s="213"/>
      <c r="I224" s="213"/>
      <c r="J224" s="213"/>
      <c r="K224" s="213"/>
      <c r="L224" s="213"/>
      <c r="M224" s="213"/>
      <c r="N224" s="213"/>
      <c r="O224" s="213"/>
      <c r="P224" s="213"/>
    </row>
    <row r="225" spans="1:16" ht="60">
      <c r="A225" s="1" t="s">
        <v>213</v>
      </c>
      <c r="B225" s="1" t="s">
        <v>776</v>
      </c>
      <c r="C225" s="20">
        <v>46036</v>
      </c>
      <c r="D225" s="1" t="s">
        <v>814</v>
      </c>
      <c r="E225" s="10">
        <v>38.556739514299998</v>
      </c>
      <c r="F225" s="10">
        <v>9.4348811514000008</v>
      </c>
      <c r="G225" s="10">
        <v>38.564970344800003</v>
      </c>
      <c r="H225" s="10">
        <v>9.4438674392999999</v>
      </c>
      <c r="I225" s="2">
        <v>0.57326388888888891</v>
      </c>
      <c r="J225" s="2">
        <v>0.7275462962962963</v>
      </c>
      <c r="K225" s="2">
        <f t="shared" si="27"/>
        <v>0.1542824074074074</v>
      </c>
      <c r="L225" s="7">
        <v>1239</v>
      </c>
      <c r="M225" s="1" t="s">
        <v>815</v>
      </c>
      <c r="N225" s="53" t="s">
        <v>816</v>
      </c>
      <c r="O225" s="53" t="s">
        <v>817</v>
      </c>
      <c r="P225" s="1" t="s">
        <v>646</v>
      </c>
    </row>
    <row r="226" spans="1:16">
      <c r="A226" s="1" t="s">
        <v>213</v>
      </c>
      <c r="B226" s="1" t="s">
        <v>776</v>
      </c>
      <c r="C226" s="20">
        <v>46036</v>
      </c>
      <c r="D226" s="1" t="s">
        <v>818</v>
      </c>
      <c r="E226" s="10">
        <v>38.614088687900001</v>
      </c>
      <c r="F226" s="10">
        <v>9.4285891657000001</v>
      </c>
      <c r="G226" s="10">
        <v>38.613321941300001</v>
      </c>
      <c r="H226" s="10">
        <v>9.4397483037000001</v>
      </c>
      <c r="I226" s="2">
        <v>0.85135416666666663</v>
      </c>
      <c r="J226" s="2">
        <v>0.91144675925925922</v>
      </c>
      <c r="K226" s="2">
        <f t="shared" si="27"/>
        <v>6.0092592592592586E-2</v>
      </c>
      <c r="L226" s="7">
        <v>1003</v>
      </c>
      <c r="M226" s="1" t="s">
        <v>819</v>
      </c>
      <c r="N226" s="53" t="s">
        <v>820</v>
      </c>
      <c r="O226" s="53" t="s">
        <v>821</v>
      </c>
      <c r="P226" s="1" t="s">
        <v>642</v>
      </c>
    </row>
    <row r="227" spans="1:16" ht="60">
      <c r="A227" s="1" t="s">
        <v>213</v>
      </c>
      <c r="B227" s="1" t="s">
        <v>776</v>
      </c>
      <c r="C227" s="20">
        <v>46037</v>
      </c>
      <c r="D227" s="1" t="s">
        <v>822</v>
      </c>
      <c r="E227" s="10">
        <v>38.694886470999997</v>
      </c>
      <c r="F227" s="10">
        <v>9.4585340608999999</v>
      </c>
      <c r="G227" s="10">
        <v>38.6873532531</v>
      </c>
      <c r="H227" s="10">
        <v>9.4730189881999998</v>
      </c>
      <c r="I227" s="2">
        <v>3.4664351851851849E-2</v>
      </c>
      <c r="J227" s="2">
        <v>0.18666666666666668</v>
      </c>
      <c r="K227" s="2">
        <f t="shared" si="27"/>
        <v>0.15200231481481483</v>
      </c>
      <c r="L227" s="7">
        <v>1515</v>
      </c>
      <c r="M227" s="1" t="s">
        <v>823</v>
      </c>
      <c r="N227" s="53" t="s">
        <v>824</v>
      </c>
      <c r="O227" s="53" t="s">
        <v>825</v>
      </c>
      <c r="P227" s="1" t="s">
        <v>642</v>
      </c>
    </row>
    <row r="228" spans="1:16">
      <c r="A228" s="1" t="s">
        <v>213</v>
      </c>
      <c r="B228" s="1" t="s">
        <v>776</v>
      </c>
      <c r="C228" s="20">
        <v>46037</v>
      </c>
      <c r="D228" s="1" t="s">
        <v>826</v>
      </c>
      <c r="E228" s="10">
        <v>38.768661143599999</v>
      </c>
      <c r="F228" s="10">
        <v>9.5036744594000009</v>
      </c>
      <c r="G228" s="10">
        <v>38.754779235400001</v>
      </c>
      <c r="H228" s="10">
        <v>9.5215695239000002</v>
      </c>
      <c r="I228" s="2">
        <v>0.29523148148148148</v>
      </c>
      <c r="J228" s="2">
        <v>0.40097222222222223</v>
      </c>
      <c r="K228" s="2">
        <f t="shared" si="27"/>
        <v>0.10574074074074075</v>
      </c>
      <c r="L228" s="7">
        <v>2202</v>
      </c>
      <c r="M228" s="1" t="s">
        <v>827</v>
      </c>
      <c r="N228" s="53" t="s">
        <v>828</v>
      </c>
      <c r="O228" s="53" t="s">
        <v>829</v>
      </c>
      <c r="P228" s="1" t="s">
        <v>646</v>
      </c>
    </row>
    <row r="229" spans="1:16" ht="75">
      <c r="A229" s="1" t="s">
        <v>213</v>
      </c>
      <c r="B229" s="1" t="s">
        <v>776</v>
      </c>
      <c r="C229" s="20">
        <v>46037</v>
      </c>
      <c r="D229" s="1" t="s">
        <v>830</v>
      </c>
      <c r="E229" s="10">
        <v>38.809295233999997</v>
      </c>
      <c r="F229" s="10">
        <v>9.5754737219999999</v>
      </c>
      <c r="G229" s="10">
        <v>38.790332029600002</v>
      </c>
      <c r="H229" s="10">
        <v>9.5951387051000001</v>
      </c>
      <c r="I229" s="2">
        <v>0.51490740740740737</v>
      </c>
      <c r="J229" s="2">
        <v>0.8493518518518518</v>
      </c>
      <c r="K229" s="2">
        <f t="shared" si="27"/>
        <v>0.33444444444444443</v>
      </c>
      <c r="L229" s="7">
        <v>3083</v>
      </c>
      <c r="M229" s="1" t="s">
        <v>831</v>
      </c>
      <c r="N229" s="53" t="s">
        <v>832</v>
      </c>
      <c r="O229" s="53" t="s">
        <v>833</v>
      </c>
      <c r="P229" s="1" t="s">
        <v>741</v>
      </c>
    </row>
    <row r="230" spans="1:16">
      <c r="A230" s="1" t="s">
        <v>213</v>
      </c>
      <c r="B230" s="1" t="s">
        <v>776</v>
      </c>
      <c r="C230" s="20">
        <v>46037</v>
      </c>
      <c r="D230" s="1" t="s">
        <v>834</v>
      </c>
      <c r="E230" s="10">
        <v>38.858303561600003</v>
      </c>
      <c r="F230" s="10">
        <v>9.6577183131000002</v>
      </c>
      <c r="G230" s="10">
        <v>38.851619826399997</v>
      </c>
      <c r="H230" s="10">
        <v>9.6704919604999997</v>
      </c>
      <c r="I230" s="2">
        <v>0.98222222222222222</v>
      </c>
      <c r="J230" s="2">
        <v>6.2152777777777779E-2</v>
      </c>
      <c r="K230" s="2">
        <v>7.991898148148148E-2</v>
      </c>
      <c r="L230" s="7">
        <v>1347</v>
      </c>
      <c r="M230" s="1" t="s">
        <v>835</v>
      </c>
      <c r="N230" s="53" t="s">
        <v>836</v>
      </c>
      <c r="O230" s="53" t="s">
        <v>837</v>
      </c>
      <c r="P230" s="1" t="s">
        <v>642</v>
      </c>
    </row>
    <row r="231" spans="1:16">
      <c r="A231" s="1" t="s">
        <v>213</v>
      </c>
      <c r="B231" s="1" t="s">
        <v>776</v>
      </c>
      <c r="C231" s="20">
        <v>46039</v>
      </c>
      <c r="D231" s="1" t="s">
        <v>838</v>
      </c>
      <c r="E231" s="10">
        <v>38.966790000000003</v>
      </c>
      <c r="F231" s="10">
        <v>9.7448099999999993</v>
      </c>
      <c r="G231" s="10">
        <v>38.955300000000001</v>
      </c>
      <c r="H231" s="10">
        <v>9.7402259999999998</v>
      </c>
      <c r="I231" s="2">
        <v>0.25486111111111109</v>
      </c>
      <c r="J231" s="2">
        <v>46039.366583564813</v>
      </c>
      <c r="K231" s="2">
        <f t="shared" si="27"/>
        <v>46039.111722453701</v>
      </c>
      <c r="L231" s="7">
        <v>1385</v>
      </c>
      <c r="M231" s="1" t="s">
        <v>839</v>
      </c>
      <c r="N231" s="53" t="s">
        <v>840</v>
      </c>
      <c r="O231" s="53" t="s">
        <v>841</v>
      </c>
      <c r="P231" s="1" t="s">
        <v>842</v>
      </c>
    </row>
    <row r="232" spans="1:16" ht="30">
      <c r="A232" s="1" t="s">
        <v>213</v>
      </c>
      <c r="B232" s="1" t="s">
        <v>776</v>
      </c>
      <c r="C232" s="20">
        <v>46039</v>
      </c>
      <c r="D232" s="1" t="s">
        <v>843</v>
      </c>
      <c r="E232" s="10">
        <v>38.92633</v>
      </c>
      <c r="F232" s="10">
        <v>9.7897829999999999</v>
      </c>
      <c r="G232" s="10">
        <v>38.928060000000002</v>
      </c>
      <c r="H232" s="10">
        <v>9.7866490000000006</v>
      </c>
      <c r="I232" s="2">
        <v>0.71388888888888891</v>
      </c>
      <c r="J232" s="2">
        <v>0.80763888888888891</v>
      </c>
      <c r="K232" s="2">
        <f t="shared" si="27"/>
        <v>9.375E-2</v>
      </c>
      <c r="L232" s="7">
        <v>272</v>
      </c>
      <c r="M232" s="1" t="s">
        <v>844</v>
      </c>
      <c r="N232" s="53" t="s">
        <v>845</v>
      </c>
      <c r="O232" s="53" t="s">
        <v>846</v>
      </c>
      <c r="P232" s="1" t="s">
        <v>847</v>
      </c>
    </row>
    <row r="233" spans="1:16">
      <c r="A233" s="1" t="s">
        <v>213</v>
      </c>
      <c r="B233" s="1" t="s">
        <v>848</v>
      </c>
      <c r="C233" s="20">
        <v>46040</v>
      </c>
      <c r="D233" s="1" t="s">
        <v>849</v>
      </c>
      <c r="E233" s="10">
        <v>39.079264000000002</v>
      </c>
      <c r="F233" s="10">
        <v>10.192106000000001</v>
      </c>
      <c r="G233" s="10">
        <v>39.092168000000001</v>
      </c>
      <c r="H233" s="10">
        <v>10.194084999999999</v>
      </c>
      <c r="I233" s="2">
        <v>6.25E-2</v>
      </c>
      <c r="J233" s="2">
        <v>0.16805555555555557</v>
      </c>
      <c r="K233" s="2">
        <f t="shared" si="27"/>
        <v>0.10555555555555557</v>
      </c>
      <c r="L233" s="7">
        <v>1500</v>
      </c>
      <c r="M233" s="1" t="s">
        <v>850</v>
      </c>
      <c r="N233" s="53" t="s">
        <v>851</v>
      </c>
      <c r="O233" s="53" t="s">
        <v>852</v>
      </c>
      <c r="P233" s="1" t="s">
        <v>847</v>
      </c>
    </row>
    <row r="234" spans="1:16">
      <c r="A234" s="1" t="s">
        <v>213</v>
      </c>
      <c r="B234" s="1" t="s">
        <v>848</v>
      </c>
      <c r="C234" s="20">
        <v>46040</v>
      </c>
      <c r="D234" s="1" t="s">
        <v>853</v>
      </c>
      <c r="E234" s="10">
        <v>38.121569999999998</v>
      </c>
      <c r="F234" s="10">
        <v>10.18056</v>
      </c>
      <c r="G234" s="10">
        <v>39.121679999999998</v>
      </c>
      <c r="H234" s="10">
        <v>10.19008</v>
      </c>
      <c r="I234" s="2">
        <v>0.33819444444444446</v>
      </c>
      <c r="J234" s="2">
        <v>0.45208333333333334</v>
      </c>
      <c r="K234" s="2">
        <f t="shared" si="27"/>
        <v>0.11388888888888887</v>
      </c>
      <c r="L234" s="7">
        <v>900</v>
      </c>
      <c r="M234" s="1" t="s">
        <v>854</v>
      </c>
      <c r="N234" s="53" t="s">
        <v>855</v>
      </c>
      <c r="O234" s="53" t="s">
        <v>856</v>
      </c>
      <c r="P234" s="1" t="s">
        <v>842</v>
      </c>
    </row>
    <row r="235" spans="1:16">
      <c r="A235" s="214" t="s">
        <v>857</v>
      </c>
      <c r="B235" s="215"/>
      <c r="C235" s="215"/>
      <c r="D235" s="215"/>
      <c r="E235" s="215"/>
      <c r="F235" s="215"/>
      <c r="G235" s="215"/>
      <c r="H235" s="215"/>
      <c r="I235" s="215"/>
      <c r="J235" s="215"/>
      <c r="K235" s="215"/>
      <c r="L235" s="215"/>
      <c r="M235" s="215"/>
      <c r="N235" s="215"/>
      <c r="O235" s="215"/>
      <c r="P235" s="216"/>
    </row>
    <row r="236" spans="1:16">
      <c r="A236" s="1" t="s">
        <v>213</v>
      </c>
      <c r="B236" s="1" t="s">
        <v>848</v>
      </c>
      <c r="C236" s="20">
        <v>46044</v>
      </c>
      <c r="D236" s="1" t="s">
        <v>858</v>
      </c>
      <c r="E236" s="10">
        <v>39.078760000000003</v>
      </c>
      <c r="F236" s="10">
        <v>10.23319</v>
      </c>
      <c r="G236" s="10">
        <v>39.083759999999998</v>
      </c>
      <c r="H236" s="10">
        <v>10.241860000000001</v>
      </c>
      <c r="I236" s="2">
        <v>0.32708333333333334</v>
      </c>
      <c r="J236" s="2">
        <v>0.4548611111111111</v>
      </c>
      <c r="K236" s="2">
        <f t="shared" si="27"/>
        <v>0.12777777777777777</v>
      </c>
      <c r="L236" s="7">
        <v>945</v>
      </c>
      <c r="M236" s="1" t="s">
        <v>859</v>
      </c>
      <c r="N236" s="53" t="s">
        <v>860</v>
      </c>
      <c r="P236" s="1" t="s">
        <v>842</v>
      </c>
    </row>
    <row r="237" spans="1:16" ht="30.75">
      <c r="A237" s="1" t="s">
        <v>213</v>
      </c>
      <c r="B237" s="1" t="s">
        <v>848</v>
      </c>
      <c r="C237" s="20">
        <v>46044</v>
      </c>
      <c r="D237" s="1" t="s">
        <v>861</v>
      </c>
      <c r="E237" s="10">
        <v>39.045369999999998</v>
      </c>
      <c r="F237" s="10">
        <v>10.26207</v>
      </c>
      <c r="G237" s="10">
        <v>39.072767196000001</v>
      </c>
      <c r="H237" s="10">
        <v>10.269960605</v>
      </c>
      <c r="I237" s="2">
        <v>0.63680555555555551</v>
      </c>
      <c r="J237" s="2">
        <v>4.8611111111111112E-3</v>
      </c>
      <c r="K237" s="2">
        <v>0.36805555555555558</v>
      </c>
      <c r="L237" s="7">
        <v>3176</v>
      </c>
      <c r="M237" s="1" t="s">
        <v>862</v>
      </c>
      <c r="N237" s="53" t="s">
        <v>863</v>
      </c>
      <c r="O237" s="53" t="s">
        <v>864</v>
      </c>
      <c r="P237" s="1" t="s">
        <v>865</v>
      </c>
    </row>
    <row r="238" spans="1:16">
      <c r="A238" s="1" t="s">
        <v>213</v>
      </c>
      <c r="B238" s="1" t="s">
        <v>848</v>
      </c>
      <c r="C238" s="20">
        <v>46045</v>
      </c>
      <c r="D238" s="1" t="s">
        <v>866</v>
      </c>
      <c r="E238" s="10">
        <v>39.062567952999999</v>
      </c>
      <c r="F238" s="10">
        <v>10.284482547</v>
      </c>
      <c r="G238" s="10">
        <v>39.071412851200002</v>
      </c>
      <c r="H238" s="10">
        <v>10.2817496225</v>
      </c>
      <c r="I238" s="2">
        <v>0.10486111111111111</v>
      </c>
      <c r="J238" s="2">
        <v>0.22013888888888888</v>
      </c>
      <c r="K238" s="2">
        <f t="shared" si="27"/>
        <v>0.11527777777777777</v>
      </c>
      <c r="L238" s="7">
        <v>1000</v>
      </c>
      <c r="M238" s="1" t="s">
        <v>867</v>
      </c>
      <c r="N238" s="53" t="s">
        <v>868</v>
      </c>
      <c r="P238" s="1" t="s">
        <v>869</v>
      </c>
    </row>
    <row r="239" spans="1:16" ht="45.75">
      <c r="A239" s="1" t="s">
        <v>213</v>
      </c>
      <c r="B239" s="1" t="s">
        <v>848</v>
      </c>
      <c r="C239" s="20">
        <v>46045</v>
      </c>
      <c r="D239" s="1" t="s">
        <v>870</v>
      </c>
      <c r="E239" s="10">
        <v>39.130090000000003</v>
      </c>
      <c r="F239" s="10">
        <v>10.239369999999999</v>
      </c>
      <c r="G239" s="10">
        <v>39.121160000000003</v>
      </c>
      <c r="H239" s="10">
        <v>10.238899999999999</v>
      </c>
      <c r="I239" s="2">
        <v>0.43402777777777779</v>
      </c>
      <c r="J239" s="2">
        <v>0.52638888888888891</v>
      </c>
      <c r="K239" s="2">
        <f t="shared" ref="K239" si="28">J239-I239</f>
        <v>9.2361111111111116E-2</v>
      </c>
      <c r="L239" s="7">
        <v>1000</v>
      </c>
      <c r="M239" s="1" t="s">
        <v>871</v>
      </c>
      <c r="N239" s="53" t="s">
        <v>872</v>
      </c>
      <c r="O239" s="53" t="s">
        <v>873</v>
      </c>
      <c r="P239" s="1" t="s">
        <v>874</v>
      </c>
    </row>
    <row r="240" spans="1:16">
      <c r="A240" s="1" t="s">
        <v>213</v>
      </c>
      <c r="B240" s="1" t="s">
        <v>848</v>
      </c>
      <c r="C240" s="20">
        <v>46045</v>
      </c>
      <c r="D240" s="1" t="s">
        <v>875</v>
      </c>
      <c r="E240" s="10">
        <v>39.145429999999998</v>
      </c>
      <c r="F240" s="10">
        <v>10.271599999999999</v>
      </c>
      <c r="G240" s="10">
        <v>39.143210000000003</v>
      </c>
      <c r="H240" s="10">
        <v>10.26079</v>
      </c>
      <c r="I240" s="2">
        <v>0.72083333333333333</v>
      </c>
      <c r="J240" s="2">
        <v>0.83750000000000002</v>
      </c>
      <c r="K240" s="2">
        <f t="shared" ref="K240" si="29">J240-I240</f>
        <v>0.1166666666666667</v>
      </c>
      <c r="L240" s="7">
        <v>1179</v>
      </c>
      <c r="M240" s="1" t="s">
        <v>876</v>
      </c>
      <c r="N240" s="53" t="s">
        <v>877</v>
      </c>
      <c r="P240" s="1" t="s">
        <v>865</v>
      </c>
    </row>
    <row r="241" spans="1:16">
      <c r="A241" s="1" t="s">
        <v>213</v>
      </c>
      <c r="B241" s="1" t="s">
        <v>848</v>
      </c>
      <c r="C241" s="20">
        <v>46046</v>
      </c>
      <c r="D241" s="1" t="s">
        <v>878</v>
      </c>
      <c r="E241" s="10">
        <v>39.115881179870001</v>
      </c>
      <c r="F241" s="10">
        <v>10.306524448999999</v>
      </c>
      <c r="G241" s="10">
        <v>39.1119847585</v>
      </c>
      <c r="H241" s="10">
        <v>10.297184810899999</v>
      </c>
      <c r="I241" s="2">
        <v>0.12430555555555556</v>
      </c>
      <c r="J241" s="2">
        <v>0.2326388888888889</v>
      </c>
      <c r="K241" s="2">
        <f t="shared" si="27"/>
        <v>0.10833333333333334</v>
      </c>
      <c r="L241" s="7">
        <v>1000</v>
      </c>
      <c r="M241" s="1" t="s">
        <v>879</v>
      </c>
      <c r="N241" s="53" t="s">
        <v>880</v>
      </c>
      <c r="P241" s="1" t="s">
        <v>869</v>
      </c>
    </row>
    <row r="242" spans="1:16">
      <c r="A242" s="1" t="s">
        <v>213</v>
      </c>
      <c r="B242" s="1" t="s">
        <v>881</v>
      </c>
      <c r="C242" s="20">
        <v>46046</v>
      </c>
      <c r="D242" s="1" t="s">
        <v>882</v>
      </c>
      <c r="E242" s="10">
        <v>39.19941</v>
      </c>
      <c r="F242" s="10">
        <v>10.31963</v>
      </c>
      <c r="G242" s="10">
        <v>39.219389999999997</v>
      </c>
      <c r="H242" s="10">
        <v>10.330920000000001</v>
      </c>
      <c r="I242" s="2">
        <v>0.49444444444444446</v>
      </c>
      <c r="J242" s="2">
        <v>0.72986111111111107</v>
      </c>
      <c r="K242" s="2">
        <f t="shared" si="27"/>
        <v>0.23541666666666661</v>
      </c>
      <c r="L242" s="7">
        <v>2750</v>
      </c>
      <c r="M242" s="1" t="s">
        <v>883</v>
      </c>
      <c r="N242" s="53" t="s">
        <v>884</v>
      </c>
      <c r="O242" s="53" t="s">
        <v>885</v>
      </c>
      <c r="P242" s="1" t="s">
        <v>842</v>
      </c>
    </row>
    <row r="243" spans="1:16">
      <c r="A243" s="1" t="s">
        <v>213</v>
      </c>
      <c r="B243" s="1" t="s">
        <v>881</v>
      </c>
      <c r="C243" s="20">
        <v>46046</v>
      </c>
      <c r="D243" s="1" t="s">
        <v>886</v>
      </c>
      <c r="E243" s="10">
        <v>39.272075747899997</v>
      </c>
      <c r="F243" s="10">
        <v>10.3490092986</v>
      </c>
      <c r="G243" s="10">
        <v>39.283775937100003</v>
      </c>
      <c r="H243" s="10">
        <v>10.337284797400001</v>
      </c>
      <c r="I243" s="2">
        <v>0.91805555555555551</v>
      </c>
      <c r="J243" s="2">
        <v>0.14722222222222223</v>
      </c>
      <c r="K243" s="2">
        <v>0.22916666666666666</v>
      </c>
      <c r="L243" s="7">
        <v>1699</v>
      </c>
      <c r="M243" s="1" t="s">
        <v>887</v>
      </c>
      <c r="N243" s="53" t="s">
        <v>888</v>
      </c>
      <c r="P243" s="1" t="s">
        <v>889</v>
      </c>
    </row>
    <row r="244" spans="1:16">
      <c r="A244" s="1" t="s">
        <v>213</v>
      </c>
      <c r="B244" s="1" t="s">
        <v>719</v>
      </c>
      <c r="C244" s="20">
        <v>46047</v>
      </c>
      <c r="D244" s="1" t="s">
        <v>890</v>
      </c>
      <c r="E244" s="10">
        <v>39.726599999999998</v>
      </c>
      <c r="F244" s="10">
        <v>10.350709999999999</v>
      </c>
      <c r="I244" s="2">
        <v>0.43472222222222223</v>
      </c>
      <c r="K244" s="2">
        <f t="shared" si="27"/>
        <v>-0.43472222222222223</v>
      </c>
      <c r="M244" s="1">
        <v>1756</v>
      </c>
    </row>
    <row r="245" spans="1:16">
      <c r="K245" s="2">
        <f t="shared" si="27"/>
        <v>0</v>
      </c>
    </row>
    <row r="246" spans="1:16">
      <c r="K246" s="2">
        <f t="shared" si="27"/>
        <v>0</v>
      </c>
    </row>
    <row r="247" spans="1:16">
      <c r="K247" s="2">
        <f t="shared" si="27"/>
        <v>0</v>
      </c>
    </row>
    <row r="248" spans="1:16">
      <c r="K248" s="2">
        <f t="shared" si="27"/>
        <v>0</v>
      </c>
    </row>
    <row r="249" spans="1:16">
      <c r="K249" s="2">
        <f t="shared" si="27"/>
        <v>0</v>
      </c>
    </row>
    <row r="250" spans="1:16">
      <c r="K250" s="2">
        <f t="shared" si="27"/>
        <v>0</v>
      </c>
    </row>
    <row r="251" spans="1:16">
      <c r="K251" s="2">
        <f t="shared" si="27"/>
        <v>0</v>
      </c>
    </row>
    <row r="252" spans="1:16">
      <c r="K252" s="2">
        <f t="shared" si="27"/>
        <v>0</v>
      </c>
    </row>
    <row r="253" spans="1:16">
      <c r="K253" s="2">
        <f t="shared" si="27"/>
        <v>0</v>
      </c>
    </row>
    <row r="254" spans="1:16">
      <c r="K254" s="2">
        <f t="shared" si="27"/>
        <v>0</v>
      </c>
    </row>
    <row r="255" spans="1:16">
      <c r="K255" s="2">
        <f t="shared" ref="K255:K318" si="30">J255-I255</f>
        <v>0</v>
      </c>
    </row>
    <row r="256" spans="1:16">
      <c r="K256" s="2">
        <f t="shared" si="30"/>
        <v>0</v>
      </c>
    </row>
    <row r="257" spans="11:11">
      <c r="K257" s="2">
        <f t="shared" si="30"/>
        <v>0</v>
      </c>
    </row>
    <row r="258" spans="11:11">
      <c r="K258" s="2">
        <f t="shared" si="30"/>
        <v>0</v>
      </c>
    </row>
    <row r="259" spans="11:11">
      <c r="K259" s="2">
        <f t="shared" si="30"/>
        <v>0</v>
      </c>
    </row>
    <row r="260" spans="11:11">
      <c r="K260" s="2">
        <f t="shared" si="30"/>
        <v>0</v>
      </c>
    </row>
    <row r="261" spans="11:11">
      <c r="K261" s="2">
        <f t="shared" si="30"/>
        <v>0</v>
      </c>
    </row>
    <row r="262" spans="11:11">
      <c r="K262" s="2">
        <f t="shared" si="30"/>
        <v>0</v>
      </c>
    </row>
    <row r="263" spans="11:11">
      <c r="K263" s="2">
        <f t="shared" si="30"/>
        <v>0</v>
      </c>
    </row>
    <row r="264" spans="11:11">
      <c r="K264" s="2">
        <f t="shared" si="30"/>
        <v>0</v>
      </c>
    </row>
    <row r="265" spans="11:11">
      <c r="K265" s="2">
        <f t="shared" si="30"/>
        <v>0</v>
      </c>
    </row>
    <row r="266" spans="11:11">
      <c r="K266" s="2">
        <f t="shared" si="30"/>
        <v>0</v>
      </c>
    </row>
    <row r="267" spans="11:11">
      <c r="K267" s="2">
        <f t="shared" si="30"/>
        <v>0</v>
      </c>
    </row>
    <row r="268" spans="11:11">
      <c r="K268" s="2">
        <f t="shared" si="30"/>
        <v>0</v>
      </c>
    </row>
    <row r="269" spans="11:11">
      <c r="K269" s="2">
        <f t="shared" si="30"/>
        <v>0</v>
      </c>
    </row>
    <row r="270" spans="11:11">
      <c r="K270" s="2">
        <f t="shared" si="30"/>
        <v>0</v>
      </c>
    </row>
    <row r="271" spans="11:11">
      <c r="K271" s="2">
        <f t="shared" si="30"/>
        <v>0</v>
      </c>
    </row>
    <row r="272" spans="11:11">
      <c r="K272" s="2">
        <f t="shared" si="30"/>
        <v>0</v>
      </c>
    </row>
    <row r="273" spans="11:11">
      <c r="K273" s="2">
        <f t="shared" si="30"/>
        <v>0</v>
      </c>
    </row>
    <row r="274" spans="11:11">
      <c r="K274" s="2">
        <f t="shared" si="30"/>
        <v>0</v>
      </c>
    </row>
    <row r="275" spans="11:11">
      <c r="K275" s="2">
        <f t="shared" si="30"/>
        <v>0</v>
      </c>
    </row>
    <row r="276" spans="11:11">
      <c r="K276" s="2">
        <f t="shared" si="30"/>
        <v>0</v>
      </c>
    </row>
    <row r="277" spans="11:11">
      <c r="K277" s="2">
        <f t="shared" si="30"/>
        <v>0</v>
      </c>
    </row>
    <row r="278" spans="11:11">
      <c r="K278" s="2">
        <f t="shared" si="30"/>
        <v>0</v>
      </c>
    </row>
    <row r="279" spans="11:11">
      <c r="K279" s="2">
        <f t="shared" si="30"/>
        <v>0</v>
      </c>
    </row>
    <row r="280" spans="11:11">
      <c r="K280" s="2">
        <f t="shared" si="30"/>
        <v>0</v>
      </c>
    </row>
    <row r="281" spans="11:11">
      <c r="K281" s="2">
        <f t="shared" si="30"/>
        <v>0</v>
      </c>
    </row>
    <row r="282" spans="11:11">
      <c r="K282" s="2">
        <f t="shared" si="30"/>
        <v>0</v>
      </c>
    </row>
    <row r="283" spans="11:11">
      <c r="K283" s="2">
        <f t="shared" si="30"/>
        <v>0</v>
      </c>
    </row>
    <row r="284" spans="11:11">
      <c r="K284" s="2">
        <f t="shared" si="30"/>
        <v>0</v>
      </c>
    </row>
    <row r="285" spans="11:11">
      <c r="K285" s="2">
        <f t="shared" si="30"/>
        <v>0</v>
      </c>
    </row>
    <row r="286" spans="11:11">
      <c r="K286" s="2">
        <f t="shared" si="30"/>
        <v>0</v>
      </c>
    </row>
    <row r="287" spans="11:11">
      <c r="K287" s="2">
        <f t="shared" si="30"/>
        <v>0</v>
      </c>
    </row>
    <row r="288" spans="11:11">
      <c r="K288" s="2">
        <f t="shared" si="30"/>
        <v>0</v>
      </c>
    </row>
    <row r="289" spans="11:11">
      <c r="K289" s="2">
        <f t="shared" si="30"/>
        <v>0</v>
      </c>
    </row>
    <row r="290" spans="11:11">
      <c r="K290" s="2">
        <f t="shared" si="30"/>
        <v>0</v>
      </c>
    </row>
    <row r="291" spans="11:11">
      <c r="K291" s="2">
        <f t="shared" si="30"/>
        <v>0</v>
      </c>
    </row>
    <row r="292" spans="11:11">
      <c r="K292" s="2">
        <f t="shared" si="30"/>
        <v>0</v>
      </c>
    </row>
    <row r="293" spans="11:11">
      <c r="K293" s="2">
        <f t="shared" si="30"/>
        <v>0</v>
      </c>
    </row>
    <row r="294" spans="11:11">
      <c r="K294" s="2">
        <f t="shared" si="30"/>
        <v>0</v>
      </c>
    </row>
    <row r="295" spans="11:11">
      <c r="K295" s="2">
        <f t="shared" si="30"/>
        <v>0</v>
      </c>
    </row>
    <row r="296" spans="11:11">
      <c r="K296" s="2">
        <f t="shared" si="30"/>
        <v>0</v>
      </c>
    </row>
    <row r="297" spans="11:11">
      <c r="K297" s="2">
        <f t="shared" si="30"/>
        <v>0</v>
      </c>
    </row>
    <row r="298" spans="11:11">
      <c r="K298" s="2">
        <f t="shared" si="30"/>
        <v>0</v>
      </c>
    </row>
    <row r="299" spans="11:11">
      <c r="K299" s="2">
        <f t="shared" si="30"/>
        <v>0</v>
      </c>
    </row>
    <row r="300" spans="11:11">
      <c r="K300" s="2">
        <f t="shared" si="30"/>
        <v>0</v>
      </c>
    </row>
    <row r="301" spans="11:11">
      <c r="K301" s="2">
        <f t="shared" si="30"/>
        <v>0</v>
      </c>
    </row>
    <row r="302" spans="11:11">
      <c r="K302" s="2">
        <f t="shared" si="30"/>
        <v>0</v>
      </c>
    </row>
    <row r="303" spans="11:11">
      <c r="K303" s="2">
        <f t="shared" si="30"/>
        <v>0</v>
      </c>
    </row>
    <row r="304" spans="11:11">
      <c r="K304" s="2">
        <f t="shared" si="30"/>
        <v>0</v>
      </c>
    </row>
    <row r="305" spans="11:11">
      <c r="K305" s="2">
        <f t="shared" si="30"/>
        <v>0</v>
      </c>
    </row>
    <row r="306" spans="11:11">
      <c r="K306" s="2">
        <f t="shared" si="30"/>
        <v>0</v>
      </c>
    </row>
    <row r="307" spans="11:11">
      <c r="K307" s="2">
        <f t="shared" si="30"/>
        <v>0</v>
      </c>
    </row>
    <row r="308" spans="11:11">
      <c r="K308" s="2">
        <f t="shared" si="30"/>
        <v>0</v>
      </c>
    </row>
    <row r="309" spans="11:11">
      <c r="K309" s="2">
        <f t="shared" si="30"/>
        <v>0</v>
      </c>
    </row>
    <row r="310" spans="11:11">
      <c r="K310" s="2">
        <f t="shared" si="30"/>
        <v>0</v>
      </c>
    </row>
    <row r="311" spans="11:11">
      <c r="K311" s="2">
        <f t="shared" si="30"/>
        <v>0</v>
      </c>
    </row>
    <row r="312" spans="11:11">
      <c r="K312" s="2">
        <f t="shared" si="30"/>
        <v>0</v>
      </c>
    </row>
    <row r="313" spans="11:11">
      <c r="K313" s="2">
        <f t="shared" si="30"/>
        <v>0</v>
      </c>
    </row>
    <row r="314" spans="11:11">
      <c r="K314" s="2">
        <f t="shared" si="30"/>
        <v>0</v>
      </c>
    </row>
    <row r="315" spans="11:11">
      <c r="K315" s="2">
        <f t="shared" si="30"/>
        <v>0</v>
      </c>
    </row>
    <row r="316" spans="11:11">
      <c r="K316" s="2">
        <f t="shared" si="30"/>
        <v>0</v>
      </c>
    </row>
    <row r="317" spans="11:11">
      <c r="K317" s="2">
        <f t="shared" si="30"/>
        <v>0</v>
      </c>
    </row>
    <row r="318" spans="11:11">
      <c r="K318" s="2">
        <f t="shared" si="30"/>
        <v>0</v>
      </c>
    </row>
    <row r="319" spans="11:11">
      <c r="K319" s="2">
        <f t="shared" ref="K319:K382" si="31">J319-I319</f>
        <v>0</v>
      </c>
    </row>
    <row r="320" spans="11:11">
      <c r="K320" s="2">
        <f t="shared" si="31"/>
        <v>0</v>
      </c>
    </row>
    <row r="321" spans="11:11">
      <c r="K321" s="2">
        <f t="shared" si="31"/>
        <v>0</v>
      </c>
    </row>
    <row r="322" spans="11:11">
      <c r="K322" s="2">
        <f t="shared" si="31"/>
        <v>0</v>
      </c>
    </row>
    <row r="323" spans="11:11">
      <c r="K323" s="2">
        <f t="shared" si="31"/>
        <v>0</v>
      </c>
    </row>
    <row r="324" spans="11:11">
      <c r="K324" s="2">
        <f t="shared" si="31"/>
        <v>0</v>
      </c>
    </row>
    <row r="325" spans="11:11">
      <c r="K325" s="2">
        <f t="shared" si="31"/>
        <v>0</v>
      </c>
    </row>
    <row r="326" spans="11:11">
      <c r="K326" s="2">
        <f t="shared" si="31"/>
        <v>0</v>
      </c>
    </row>
    <row r="327" spans="11:11">
      <c r="K327" s="2">
        <f t="shared" si="31"/>
        <v>0</v>
      </c>
    </row>
    <row r="328" spans="11:11">
      <c r="K328" s="2">
        <f t="shared" si="31"/>
        <v>0</v>
      </c>
    </row>
    <row r="329" spans="11:11">
      <c r="K329" s="2">
        <f t="shared" si="31"/>
        <v>0</v>
      </c>
    </row>
    <row r="330" spans="11:11">
      <c r="K330" s="2">
        <f t="shared" si="31"/>
        <v>0</v>
      </c>
    </row>
    <row r="331" spans="11:11">
      <c r="K331" s="2">
        <f t="shared" si="31"/>
        <v>0</v>
      </c>
    </row>
    <row r="332" spans="11:11">
      <c r="K332" s="2">
        <f t="shared" si="31"/>
        <v>0</v>
      </c>
    </row>
    <row r="333" spans="11:11">
      <c r="K333" s="2">
        <f t="shared" si="31"/>
        <v>0</v>
      </c>
    </row>
    <row r="334" spans="11:11">
      <c r="K334" s="2">
        <f t="shared" si="31"/>
        <v>0</v>
      </c>
    </row>
    <row r="335" spans="11:11">
      <c r="K335" s="2">
        <f t="shared" si="31"/>
        <v>0</v>
      </c>
    </row>
    <row r="336" spans="11:11">
      <c r="K336" s="2">
        <f t="shared" si="31"/>
        <v>0</v>
      </c>
    </row>
    <row r="337" spans="11:11">
      <c r="K337" s="2">
        <f t="shared" si="31"/>
        <v>0</v>
      </c>
    </row>
    <row r="338" spans="11:11">
      <c r="K338" s="2">
        <f t="shared" si="31"/>
        <v>0</v>
      </c>
    </row>
    <row r="339" spans="11:11">
      <c r="K339" s="2">
        <f t="shared" si="31"/>
        <v>0</v>
      </c>
    </row>
    <row r="340" spans="11:11">
      <c r="K340" s="2">
        <f t="shared" si="31"/>
        <v>0</v>
      </c>
    </row>
    <row r="341" spans="11:11">
      <c r="K341" s="2">
        <f t="shared" si="31"/>
        <v>0</v>
      </c>
    </row>
    <row r="342" spans="11:11">
      <c r="K342" s="2">
        <f t="shared" si="31"/>
        <v>0</v>
      </c>
    </row>
    <row r="343" spans="11:11">
      <c r="K343" s="2">
        <f t="shared" si="31"/>
        <v>0</v>
      </c>
    </row>
    <row r="344" spans="11:11">
      <c r="K344" s="2">
        <f t="shared" si="31"/>
        <v>0</v>
      </c>
    </row>
    <row r="345" spans="11:11">
      <c r="K345" s="2">
        <f t="shared" si="31"/>
        <v>0</v>
      </c>
    </row>
    <row r="346" spans="11:11">
      <c r="K346" s="2">
        <f t="shared" si="31"/>
        <v>0</v>
      </c>
    </row>
    <row r="347" spans="11:11">
      <c r="K347" s="2">
        <f t="shared" si="31"/>
        <v>0</v>
      </c>
    </row>
    <row r="348" spans="11:11">
      <c r="K348" s="2">
        <f t="shared" si="31"/>
        <v>0</v>
      </c>
    </row>
    <row r="349" spans="11:11">
      <c r="K349" s="2">
        <f t="shared" si="31"/>
        <v>0</v>
      </c>
    </row>
    <row r="350" spans="11:11">
      <c r="K350" s="2">
        <f t="shared" si="31"/>
        <v>0</v>
      </c>
    </row>
    <row r="351" spans="11:11">
      <c r="K351" s="2">
        <f t="shared" si="31"/>
        <v>0</v>
      </c>
    </row>
    <row r="352" spans="11:11">
      <c r="K352" s="2">
        <f t="shared" si="31"/>
        <v>0</v>
      </c>
    </row>
    <row r="353" spans="11:11">
      <c r="K353" s="2">
        <f t="shared" si="31"/>
        <v>0</v>
      </c>
    </row>
    <row r="354" spans="11:11">
      <c r="K354" s="2">
        <f t="shared" si="31"/>
        <v>0</v>
      </c>
    </row>
    <row r="355" spans="11:11">
      <c r="K355" s="2">
        <f t="shared" si="31"/>
        <v>0</v>
      </c>
    </row>
    <row r="356" spans="11:11">
      <c r="K356" s="2">
        <f t="shared" si="31"/>
        <v>0</v>
      </c>
    </row>
    <row r="357" spans="11:11">
      <c r="K357" s="2">
        <f t="shared" si="31"/>
        <v>0</v>
      </c>
    </row>
    <row r="358" spans="11:11">
      <c r="K358" s="2">
        <f t="shared" si="31"/>
        <v>0</v>
      </c>
    </row>
    <row r="359" spans="11:11">
      <c r="K359" s="2">
        <f t="shared" si="31"/>
        <v>0</v>
      </c>
    </row>
    <row r="360" spans="11:11">
      <c r="K360" s="2">
        <f t="shared" si="31"/>
        <v>0</v>
      </c>
    </row>
    <row r="361" spans="11:11">
      <c r="K361" s="2">
        <f t="shared" si="31"/>
        <v>0</v>
      </c>
    </row>
    <row r="362" spans="11:11">
      <c r="K362" s="2">
        <f t="shared" si="31"/>
        <v>0</v>
      </c>
    </row>
    <row r="363" spans="11:11">
      <c r="K363" s="2">
        <f t="shared" si="31"/>
        <v>0</v>
      </c>
    </row>
    <row r="364" spans="11:11">
      <c r="K364" s="2">
        <f t="shared" si="31"/>
        <v>0</v>
      </c>
    </row>
    <row r="365" spans="11:11">
      <c r="K365" s="2">
        <f t="shared" si="31"/>
        <v>0</v>
      </c>
    </row>
    <row r="366" spans="11:11">
      <c r="K366" s="2">
        <f t="shared" si="31"/>
        <v>0</v>
      </c>
    </row>
    <row r="367" spans="11:11">
      <c r="K367" s="2">
        <f t="shared" si="31"/>
        <v>0</v>
      </c>
    </row>
    <row r="368" spans="11:11">
      <c r="K368" s="2">
        <f t="shared" si="31"/>
        <v>0</v>
      </c>
    </row>
    <row r="369" spans="11:11">
      <c r="K369" s="2">
        <f t="shared" si="31"/>
        <v>0</v>
      </c>
    </row>
    <row r="370" spans="11:11">
      <c r="K370" s="2">
        <f t="shared" si="31"/>
        <v>0</v>
      </c>
    </row>
    <row r="371" spans="11:11">
      <c r="K371" s="2">
        <f t="shared" si="31"/>
        <v>0</v>
      </c>
    </row>
    <row r="372" spans="11:11">
      <c r="K372" s="2">
        <f t="shared" si="31"/>
        <v>0</v>
      </c>
    </row>
    <row r="373" spans="11:11">
      <c r="K373" s="2">
        <f t="shared" si="31"/>
        <v>0</v>
      </c>
    </row>
    <row r="374" spans="11:11">
      <c r="K374" s="2">
        <f t="shared" si="31"/>
        <v>0</v>
      </c>
    </row>
    <row r="375" spans="11:11">
      <c r="K375" s="2">
        <f t="shared" si="31"/>
        <v>0</v>
      </c>
    </row>
    <row r="376" spans="11:11">
      <c r="K376" s="2">
        <f t="shared" si="31"/>
        <v>0</v>
      </c>
    </row>
    <row r="377" spans="11:11">
      <c r="K377" s="2">
        <f t="shared" si="31"/>
        <v>0</v>
      </c>
    </row>
    <row r="378" spans="11:11">
      <c r="K378" s="2">
        <f t="shared" si="31"/>
        <v>0</v>
      </c>
    </row>
    <row r="379" spans="11:11">
      <c r="K379" s="2">
        <f t="shared" si="31"/>
        <v>0</v>
      </c>
    </row>
    <row r="380" spans="11:11">
      <c r="K380" s="2">
        <f t="shared" si="31"/>
        <v>0</v>
      </c>
    </row>
    <row r="381" spans="11:11">
      <c r="K381" s="2">
        <f t="shared" si="31"/>
        <v>0</v>
      </c>
    </row>
    <row r="382" spans="11:11">
      <c r="K382" s="2">
        <f t="shared" si="31"/>
        <v>0</v>
      </c>
    </row>
    <row r="383" spans="11:11">
      <c r="K383" s="2">
        <f t="shared" ref="K383:K446" si="32">J383-I383</f>
        <v>0</v>
      </c>
    </row>
    <row r="384" spans="11:11">
      <c r="K384" s="2">
        <f t="shared" si="32"/>
        <v>0</v>
      </c>
    </row>
    <row r="385" spans="11:11">
      <c r="K385" s="2">
        <f t="shared" si="32"/>
        <v>0</v>
      </c>
    </row>
    <row r="386" spans="11:11">
      <c r="K386" s="2">
        <f t="shared" si="32"/>
        <v>0</v>
      </c>
    </row>
    <row r="387" spans="11:11">
      <c r="K387" s="2">
        <f t="shared" si="32"/>
        <v>0</v>
      </c>
    </row>
    <row r="388" spans="11:11">
      <c r="K388" s="2">
        <f t="shared" si="32"/>
        <v>0</v>
      </c>
    </row>
    <row r="389" spans="11:11">
      <c r="K389" s="2">
        <f t="shared" si="32"/>
        <v>0</v>
      </c>
    </row>
    <row r="390" spans="11:11">
      <c r="K390" s="2">
        <f t="shared" si="32"/>
        <v>0</v>
      </c>
    </row>
    <row r="391" spans="11:11">
      <c r="K391" s="2">
        <f t="shared" si="32"/>
        <v>0</v>
      </c>
    </row>
    <row r="392" spans="11:11">
      <c r="K392" s="2">
        <f t="shared" si="32"/>
        <v>0</v>
      </c>
    </row>
    <row r="393" spans="11:11">
      <c r="K393" s="2">
        <f t="shared" si="32"/>
        <v>0</v>
      </c>
    </row>
    <row r="394" spans="11:11">
      <c r="K394" s="2">
        <f t="shared" si="32"/>
        <v>0</v>
      </c>
    </row>
    <row r="395" spans="11:11">
      <c r="K395" s="2">
        <f t="shared" si="32"/>
        <v>0</v>
      </c>
    </row>
    <row r="396" spans="11:11">
      <c r="K396" s="2">
        <f t="shared" si="32"/>
        <v>0</v>
      </c>
    </row>
    <row r="397" spans="11:11">
      <c r="K397" s="2">
        <f t="shared" si="32"/>
        <v>0</v>
      </c>
    </row>
    <row r="398" spans="11:11">
      <c r="K398" s="2">
        <f t="shared" si="32"/>
        <v>0</v>
      </c>
    </row>
    <row r="399" spans="11:11">
      <c r="K399" s="2">
        <f t="shared" si="32"/>
        <v>0</v>
      </c>
    </row>
    <row r="400" spans="11:11">
      <c r="K400" s="2">
        <f t="shared" si="32"/>
        <v>0</v>
      </c>
    </row>
    <row r="401" spans="11:11">
      <c r="K401" s="2">
        <f t="shared" si="32"/>
        <v>0</v>
      </c>
    </row>
    <row r="402" spans="11:11">
      <c r="K402" s="2">
        <f t="shared" si="32"/>
        <v>0</v>
      </c>
    </row>
    <row r="403" spans="11:11">
      <c r="K403" s="2">
        <f t="shared" si="32"/>
        <v>0</v>
      </c>
    </row>
    <row r="404" spans="11:11">
      <c r="K404" s="2">
        <f t="shared" si="32"/>
        <v>0</v>
      </c>
    </row>
    <row r="405" spans="11:11">
      <c r="K405" s="2">
        <f t="shared" si="32"/>
        <v>0</v>
      </c>
    </row>
    <row r="406" spans="11:11">
      <c r="K406" s="2">
        <f t="shared" si="32"/>
        <v>0</v>
      </c>
    </row>
    <row r="407" spans="11:11">
      <c r="K407" s="2">
        <f t="shared" si="32"/>
        <v>0</v>
      </c>
    </row>
    <row r="408" spans="11:11">
      <c r="K408" s="2">
        <f t="shared" si="32"/>
        <v>0</v>
      </c>
    </row>
    <row r="409" spans="11:11">
      <c r="K409" s="2">
        <f t="shared" si="32"/>
        <v>0</v>
      </c>
    </row>
    <row r="410" spans="11:11">
      <c r="K410" s="2">
        <f t="shared" si="32"/>
        <v>0</v>
      </c>
    </row>
    <row r="411" spans="11:11">
      <c r="K411" s="2">
        <f t="shared" si="32"/>
        <v>0</v>
      </c>
    </row>
    <row r="412" spans="11:11">
      <c r="K412" s="2">
        <f t="shared" si="32"/>
        <v>0</v>
      </c>
    </row>
    <row r="413" spans="11:11">
      <c r="K413" s="2">
        <f t="shared" si="32"/>
        <v>0</v>
      </c>
    </row>
    <row r="414" spans="11:11">
      <c r="K414" s="2">
        <f t="shared" si="32"/>
        <v>0</v>
      </c>
    </row>
    <row r="415" spans="11:11">
      <c r="K415" s="2">
        <f t="shared" si="32"/>
        <v>0</v>
      </c>
    </row>
    <row r="416" spans="11:11">
      <c r="K416" s="2">
        <f t="shared" si="32"/>
        <v>0</v>
      </c>
    </row>
    <row r="417" spans="11:11">
      <c r="K417" s="2">
        <f t="shared" si="32"/>
        <v>0</v>
      </c>
    </row>
    <row r="418" spans="11:11">
      <c r="K418" s="2">
        <f t="shared" si="32"/>
        <v>0</v>
      </c>
    </row>
    <row r="419" spans="11:11">
      <c r="K419" s="2">
        <f t="shared" si="32"/>
        <v>0</v>
      </c>
    </row>
    <row r="420" spans="11:11">
      <c r="K420" s="2">
        <f t="shared" si="32"/>
        <v>0</v>
      </c>
    </row>
    <row r="421" spans="11:11">
      <c r="K421" s="2">
        <f t="shared" si="32"/>
        <v>0</v>
      </c>
    </row>
    <row r="422" spans="11:11">
      <c r="K422" s="2">
        <f t="shared" si="32"/>
        <v>0</v>
      </c>
    </row>
    <row r="423" spans="11:11">
      <c r="K423" s="2">
        <f t="shared" si="32"/>
        <v>0</v>
      </c>
    </row>
    <row r="424" spans="11:11">
      <c r="K424" s="2">
        <f t="shared" si="32"/>
        <v>0</v>
      </c>
    </row>
    <row r="425" spans="11:11">
      <c r="K425" s="2">
        <f t="shared" si="32"/>
        <v>0</v>
      </c>
    </row>
    <row r="426" spans="11:11">
      <c r="K426" s="2">
        <f t="shared" si="32"/>
        <v>0</v>
      </c>
    </row>
    <row r="427" spans="11:11">
      <c r="K427" s="2">
        <f t="shared" si="32"/>
        <v>0</v>
      </c>
    </row>
    <row r="428" spans="11:11">
      <c r="K428" s="2">
        <f t="shared" si="32"/>
        <v>0</v>
      </c>
    </row>
    <row r="429" spans="11:11">
      <c r="K429" s="2">
        <f t="shared" si="32"/>
        <v>0</v>
      </c>
    </row>
    <row r="430" spans="11:11">
      <c r="K430" s="2">
        <f t="shared" si="32"/>
        <v>0</v>
      </c>
    </row>
    <row r="431" spans="11:11">
      <c r="K431" s="2">
        <f t="shared" si="32"/>
        <v>0</v>
      </c>
    </row>
    <row r="432" spans="11:11">
      <c r="K432" s="2">
        <f t="shared" si="32"/>
        <v>0</v>
      </c>
    </row>
    <row r="433" spans="11:11">
      <c r="K433" s="2">
        <f t="shared" si="32"/>
        <v>0</v>
      </c>
    </row>
    <row r="434" spans="11:11">
      <c r="K434" s="2">
        <f t="shared" si="32"/>
        <v>0</v>
      </c>
    </row>
    <row r="435" spans="11:11">
      <c r="K435" s="2">
        <f t="shared" si="32"/>
        <v>0</v>
      </c>
    </row>
    <row r="436" spans="11:11">
      <c r="K436" s="2">
        <f t="shared" si="32"/>
        <v>0</v>
      </c>
    </row>
    <row r="437" spans="11:11">
      <c r="K437" s="2">
        <f t="shared" si="32"/>
        <v>0</v>
      </c>
    </row>
    <row r="438" spans="11:11">
      <c r="K438" s="2">
        <f t="shared" si="32"/>
        <v>0</v>
      </c>
    </row>
    <row r="439" spans="11:11">
      <c r="K439" s="2">
        <f t="shared" si="32"/>
        <v>0</v>
      </c>
    </row>
    <row r="440" spans="11:11">
      <c r="K440" s="2">
        <f t="shared" si="32"/>
        <v>0</v>
      </c>
    </row>
    <row r="441" spans="11:11">
      <c r="K441" s="2">
        <f t="shared" si="32"/>
        <v>0</v>
      </c>
    </row>
    <row r="442" spans="11:11">
      <c r="K442" s="2">
        <f t="shared" si="32"/>
        <v>0</v>
      </c>
    </row>
    <row r="443" spans="11:11">
      <c r="K443" s="2">
        <f t="shared" si="32"/>
        <v>0</v>
      </c>
    </row>
    <row r="444" spans="11:11">
      <c r="K444" s="2">
        <f t="shared" si="32"/>
        <v>0</v>
      </c>
    </row>
    <row r="445" spans="11:11">
      <c r="K445" s="2">
        <f t="shared" si="32"/>
        <v>0</v>
      </c>
    </row>
    <row r="446" spans="11:11">
      <c r="K446" s="2">
        <f t="shared" si="32"/>
        <v>0</v>
      </c>
    </row>
    <row r="447" spans="11:11">
      <c r="K447" s="2">
        <f t="shared" ref="K447:K510" si="33">J447-I447</f>
        <v>0</v>
      </c>
    </row>
    <row r="448" spans="11:11">
      <c r="K448" s="2">
        <f t="shared" si="33"/>
        <v>0</v>
      </c>
    </row>
    <row r="449" spans="11:11">
      <c r="K449" s="2">
        <f t="shared" si="33"/>
        <v>0</v>
      </c>
    </row>
    <row r="450" spans="11:11">
      <c r="K450" s="2">
        <f t="shared" si="33"/>
        <v>0</v>
      </c>
    </row>
    <row r="451" spans="11:11">
      <c r="K451" s="2">
        <f t="shared" si="33"/>
        <v>0</v>
      </c>
    </row>
    <row r="452" spans="11:11">
      <c r="K452" s="2">
        <f t="shared" si="33"/>
        <v>0</v>
      </c>
    </row>
    <row r="453" spans="11:11">
      <c r="K453" s="2">
        <f t="shared" si="33"/>
        <v>0</v>
      </c>
    </row>
    <row r="454" spans="11:11">
      <c r="K454" s="2">
        <f t="shared" si="33"/>
        <v>0</v>
      </c>
    </row>
    <row r="455" spans="11:11">
      <c r="K455" s="2">
        <f t="shared" si="33"/>
        <v>0</v>
      </c>
    </row>
    <row r="456" spans="11:11">
      <c r="K456" s="2">
        <f t="shared" si="33"/>
        <v>0</v>
      </c>
    </row>
    <row r="457" spans="11:11">
      <c r="K457" s="2">
        <f t="shared" si="33"/>
        <v>0</v>
      </c>
    </row>
    <row r="458" spans="11:11">
      <c r="K458" s="2">
        <f t="shared" si="33"/>
        <v>0</v>
      </c>
    </row>
    <row r="459" spans="11:11">
      <c r="K459" s="2">
        <f t="shared" si="33"/>
        <v>0</v>
      </c>
    </row>
    <row r="460" spans="11:11">
      <c r="K460" s="2">
        <f t="shared" si="33"/>
        <v>0</v>
      </c>
    </row>
    <row r="461" spans="11:11">
      <c r="K461" s="2">
        <f t="shared" si="33"/>
        <v>0</v>
      </c>
    </row>
    <row r="462" spans="11:11">
      <c r="K462" s="2">
        <f t="shared" si="33"/>
        <v>0</v>
      </c>
    </row>
    <row r="463" spans="11:11">
      <c r="K463" s="2">
        <f t="shared" si="33"/>
        <v>0</v>
      </c>
    </row>
    <row r="464" spans="11:11">
      <c r="K464" s="2">
        <f t="shared" si="33"/>
        <v>0</v>
      </c>
    </row>
    <row r="465" spans="11:11">
      <c r="K465" s="2">
        <f t="shared" si="33"/>
        <v>0</v>
      </c>
    </row>
    <row r="466" spans="11:11">
      <c r="K466" s="2">
        <f t="shared" si="33"/>
        <v>0</v>
      </c>
    </row>
    <row r="467" spans="11:11">
      <c r="K467" s="2">
        <f t="shared" si="33"/>
        <v>0</v>
      </c>
    </row>
    <row r="468" spans="11:11">
      <c r="K468" s="2">
        <f t="shared" si="33"/>
        <v>0</v>
      </c>
    </row>
    <row r="469" spans="11:11">
      <c r="K469" s="2">
        <f t="shared" si="33"/>
        <v>0</v>
      </c>
    </row>
    <row r="470" spans="11:11">
      <c r="K470" s="2">
        <f t="shared" si="33"/>
        <v>0</v>
      </c>
    </row>
    <row r="471" spans="11:11">
      <c r="K471" s="2">
        <f t="shared" si="33"/>
        <v>0</v>
      </c>
    </row>
    <row r="472" spans="11:11">
      <c r="K472" s="2">
        <f t="shared" si="33"/>
        <v>0</v>
      </c>
    </row>
    <row r="473" spans="11:11">
      <c r="K473" s="2">
        <f t="shared" si="33"/>
        <v>0</v>
      </c>
    </row>
    <row r="474" spans="11:11">
      <c r="K474" s="2">
        <f t="shared" si="33"/>
        <v>0</v>
      </c>
    </row>
    <row r="475" spans="11:11">
      <c r="K475" s="2">
        <f t="shared" si="33"/>
        <v>0</v>
      </c>
    </row>
    <row r="476" spans="11:11">
      <c r="K476" s="2">
        <f t="shared" si="33"/>
        <v>0</v>
      </c>
    </row>
    <row r="477" spans="11:11">
      <c r="K477" s="2">
        <f t="shared" si="33"/>
        <v>0</v>
      </c>
    </row>
    <row r="478" spans="11:11">
      <c r="K478" s="2">
        <f t="shared" si="33"/>
        <v>0</v>
      </c>
    </row>
    <row r="479" spans="11:11">
      <c r="K479" s="2">
        <f t="shared" si="33"/>
        <v>0</v>
      </c>
    </row>
    <row r="480" spans="11:11">
      <c r="K480" s="2">
        <f t="shared" si="33"/>
        <v>0</v>
      </c>
    </row>
    <row r="481" spans="11:11">
      <c r="K481" s="2">
        <f t="shared" si="33"/>
        <v>0</v>
      </c>
    </row>
    <row r="482" spans="11:11">
      <c r="K482" s="2">
        <f t="shared" si="33"/>
        <v>0</v>
      </c>
    </row>
    <row r="483" spans="11:11">
      <c r="K483" s="2">
        <f t="shared" si="33"/>
        <v>0</v>
      </c>
    </row>
    <row r="484" spans="11:11">
      <c r="K484" s="2">
        <f t="shared" si="33"/>
        <v>0</v>
      </c>
    </row>
    <row r="485" spans="11:11">
      <c r="K485" s="2">
        <f t="shared" si="33"/>
        <v>0</v>
      </c>
    </row>
    <row r="486" spans="11:11">
      <c r="K486" s="2">
        <f t="shared" si="33"/>
        <v>0</v>
      </c>
    </row>
    <row r="487" spans="11:11">
      <c r="K487" s="2">
        <f t="shared" si="33"/>
        <v>0</v>
      </c>
    </row>
    <row r="488" spans="11:11">
      <c r="K488" s="2">
        <f t="shared" si="33"/>
        <v>0</v>
      </c>
    </row>
    <row r="489" spans="11:11">
      <c r="K489" s="2">
        <f t="shared" si="33"/>
        <v>0</v>
      </c>
    </row>
    <row r="490" spans="11:11">
      <c r="K490" s="2">
        <f t="shared" si="33"/>
        <v>0</v>
      </c>
    </row>
    <row r="491" spans="11:11">
      <c r="K491" s="2">
        <f t="shared" si="33"/>
        <v>0</v>
      </c>
    </row>
    <row r="492" spans="11:11">
      <c r="K492" s="2">
        <f t="shared" si="33"/>
        <v>0</v>
      </c>
    </row>
    <row r="493" spans="11:11">
      <c r="K493" s="2">
        <f t="shared" si="33"/>
        <v>0</v>
      </c>
    </row>
    <row r="494" spans="11:11">
      <c r="K494" s="2">
        <f t="shared" si="33"/>
        <v>0</v>
      </c>
    </row>
    <row r="495" spans="11:11">
      <c r="K495" s="2">
        <f t="shared" si="33"/>
        <v>0</v>
      </c>
    </row>
    <row r="496" spans="11:11">
      <c r="K496" s="2">
        <f t="shared" si="33"/>
        <v>0</v>
      </c>
    </row>
    <row r="497" spans="11:11">
      <c r="K497" s="2">
        <f t="shared" si="33"/>
        <v>0</v>
      </c>
    </row>
    <row r="498" spans="11:11">
      <c r="K498" s="2">
        <f t="shared" si="33"/>
        <v>0</v>
      </c>
    </row>
    <row r="499" spans="11:11">
      <c r="K499" s="2">
        <f t="shared" si="33"/>
        <v>0</v>
      </c>
    </row>
    <row r="500" spans="11:11">
      <c r="K500" s="2">
        <f t="shared" si="33"/>
        <v>0</v>
      </c>
    </row>
    <row r="501" spans="11:11">
      <c r="K501" s="2">
        <f t="shared" si="33"/>
        <v>0</v>
      </c>
    </row>
    <row r="502" spans="11:11">
      <c r="K502" s="2">
        <f t="shared" si="33"/>
        <v>0</v>
      </c>
    </row>
    <row r="503" spans="11:11">
      <c r="K503" s="2">
        <f t="shared" si="33"/>
        <v>0</v>
      </c>
    </row>
    <row r="504" spans="11:11">
      <c r="K504" s="2">
        <f t="shared" si="33"/>
        <v>0</v>
      </c>
    </row>
    <row r="505" spans="11:11">
      <c r="K505" s="2">
        <f t="shared" si="33"/>
        <v>0</v>
      </c>
    </row>
    <row r="506" spans="11:11">
      <c r="K506" s="2">
        <f t="shared" si="33"/>
        <v>0</v>
      </c>
    </row>
    <row r="507" spans="11:11">
      <c r="K507" s="2">
        <f t="shared" si="33"/>
        <v>0</v>
      </c>
    </row>
    <row r="508" spans="11:11">
      <c r="K508" s="2">
        <f t="shared" si="33"/>
        <v>0</v>
      </c>
    </row>
    <row r="509" spans="11:11">
      <c r="K509" s="2">
        <f t="shared" si="33"/>
        <v>0</v>
      </c>
    </row>
    <row r="510" spans="11:11">
      <c r="K510" s="2">
        <f t="shared" si="33"/>
        <v>0</v>
      </c>
    </row>
    <row r="511" spans="11:11">
      <c r="K511" s="2">
        <f t="shared" ref="K511:K574" si="34">J511-I511</f>
        <v>0</v>
      </c>
    </row>
    <row r="512" spans="11:11">
      <c r="K512" s="2">
        <f t="shared" si="34"/>
        <v>0</v>
      </c>
    </row>
    <row r="513" spans="11:11">
      <c r="K513" s="2">
        <f t="shared" si="34"/>
        <v>0</v>
      </c>
    </row>
    <row r="514" spans="11:11">
      <c r="K514" s="2">
        <f t="shared" si="34"/>
        <v>0</v>
      </c>
    </row>
    <row r="515" spans="11:11">
      <c r="K515" s="2">
        <f t="shared" si="34"/>
        <v>0</v>
      </c>
    </row>
    <row r="516" spans="11:11">
      <c r="K516" s="2">
        <f t="shared" si="34"/>
        <v>0</v>
      </c>
    </row>
    <row r="517" spans="11:11">
      <c r="K517" s="2">
        <f t="shared" si="34"/>
        <v>0</v>
      </c>
    </row>
    <row r="518" spans="11:11">
      <c r="K518" s="2">
        <f t="shared" si="34"/>
        <v>0</v>
      </c>
    </row>
    <row r="519" spans="11:11">
      <c r="K519" s="2">
        <f t="shared" si="34"/>
        <v>0</v>
      </c>
    </row>
    <row r="520" spans="11:11">
      <c r="K520" s="2">
        <f t="shared" si="34"/>
        <v>0</v>
      </c>
    </row>
    <row r="521" spans="11:11">
      <c r="K521" s="2">
        <f t="shared" si="34"/>
        <v>0</v>
      </c>
    </row>
    <row r="522" spans="11:11">
      <c r="K522" s="2">
        <f t="shared" si="34"/>
        <v>0</v>
      </c>
    </row>
    <row r="523" spans="11:11">
      <c r="K523" s="2">
        <f t="shared" si="34"/>
        <v>0</v>
      </c>
    </row>
    <row r="524" spans="11:11">
      <c r="K524" s="2">
        <f t="shared" si="34"/>
        <v>0</v>
      </c>
    </row>
    <row r="525" spans="11:11">
      <c r="K525" s="2">
        <f t="shared" si="34"/>
        <v>0</v>
      </c>
    </row>
    <row r="526" spans="11:11">
      <c r="K526" s="2">
        <f t="shared" si="34"/>
        <v>0</v>
      </c>
    </row>
    <row r="527" spans="11:11">
      <c r="K527" s="2">
        <f t="shared" si="34"/>
        <v>0</v>
      </c>
    </row>
    <row r="528" spans="11:11">
      <c r="K528" s="2">
        <f t="shared" si="34"/>
        <v>0</v>
      </c>
    </row>
    <row r="529" spans="11:11">
      <c r="K529" s="2">
        <f t="shared" si="34"/>
        <v>0</v>
      </c>
    </row>
    <row r="530" spans="11:11">
      <c r="K530" s="2">
        <f t="shared" si="34"/>
        <v>0</v>
      </c>
    </row>
    <row r="531" spans="11:11">
      <c r="K531" s="2">
        <f t="shared" si="34"/>
        <v>0</v>
      </c>
    </row>
    <row r="532" spans="11:11">
      <c r="K532" s="2">
        <f t="shared" si="34"/>
        <v>0</v>
      </c>
    </row>
    <row r="533" spans="11:11">
      <c r="K533" s="2">
        <f t="shared" si="34"/>
        <v>0</v>
      </c>
    </row>
    <row r="534" spans="11:11">
      <c r="K534" s="2">
        <f t="shared" si="34"/>
        <v>0</v>
      </c>
    </row>
    <row r="535" spans="11:11">
      <c r="K535" s="2">
        <f t="shared" si="34"/>
        <v>0</v>
      </c>
    </row>
    <row r="536" spans="11:11">
      <c r="K536" s="2">
        <f t="shared" si="34"/>
        <v>0</v>
      </c>
    </row>
    <row r="537" spans="11:11">
      <c r="K537" s="2">
        <f t="shared" si="34"/>
        <v>0</v>
      </c>
    </row>
    <row r="538" spans="11:11">
      <c r="K538" s="2">
        <f t="shared" si="34"/>
        <v>0</v>
      </c>
    </row>
    <row r="539" spans="11:11">
      <c r="K539" s="2">
        <f t="shared" si="34"/>
        <v>0</v>
      </c>
    </row>
    <row r="540" spans="11:11">
      <c r="K540" s="2">
        <f t="shared" si="34"/>
        <v>0</v>
      </c>
    </row>
    <row r="541" spans="11:11">
      <c r="K541" s="2">
        <f t="shared" si="34"/>
        <v>0</v>
      </c>
    </row>
    <row r="542" spans="11:11">
      <c r="K542" s="2">
        <f t="shared" si="34"/>
        <v>0</v>
      </c>
    </row>
    <row r="543" spans="11:11">
      <c r="K543" s="2">
        <f t="shared" si="34"/>
        <v>0</v>
      </c>
    </row>
    <row r="544" spans="11:11">
      <c r="K544" s="2">
        <f t="shared" si="34"/>
        <v>0</v>
      </c>
    </row>
    <row r="545" spans="11:11">
      <c r="K545" s="2">
        <f t="shared" si="34"/>
        <v>0</v>
      </c>
    </row>
    <row r="546" spans="11:11">
      <c r="K546" s="2">
        <f t="shared" si="34"/>
        <v>0</v>
      </c>
    </row>
    <row r="547" spans="11:11">
      <c r="K547" s="2">
        <f t="shared" si="34"/>
        <v>0</v>
      </c>
    </row>
    <row r="548" spans="11:11">
      <c r="K548" s="2">
        <f t="shared" si="34"/>
        <v>0</v>
      </c>
    </row>
    <row r="549" spans="11:11">
      <c r="K549" s="2">
        <f t="shared" si="34"/>
        <v>0</v>
      </c>
    </row>
    <row r="550" spans="11:11">
      <c r="K550" s="2">
        <f t="shared" si="34"/>
        <v>0</v>
      </c>
    </row>
    <row r="551" spans="11:11">
      <c r="K551" s="2">
        <f t="shared" si="34"/>
        <v>0</v>
      </c>
    </row>
    <row r="552" spans="11:11">
      <c r="K552" s="2">
        <f t="shared" si="34"/>
        <v>0</v>
      </c>
    </row>
    <row r="553" spans="11:11">
      <c r="K553" s="2">
        <f t="shared" si="34"/>
        <v>0</v>
      </c>
    </row>
    <row r="554" spans="11:11">
      <c r="K554" s="2">
        <f t="shared" si="34"/>
        <v>0</v>
      </c>
    </row>
    <row r="555" spans="11:11">
      <c r="K555" s="2">
        <f t="shared" si="34"/>
        <v>0</v>
      </c>
    </row>
    <row r="556" spans="11:11">
      <c r="K556" s="2">
        <f t="shared" si="34"/>
        <v>0</v>
      </c>
    </row>
    <row r="557" spans="11:11">
      <c r="K557" s="2">
        <f t="shared" si="34"/>
        <v>0</v>
      </c>
    </row>
    <row r="558" spans="11:11">
      <c r="K558" s="2">
        <f t="shared" si="34"/>
        <v>0</v>
      </c>
    </row>
    <row r="559" spans="11:11">
      <c r="K559" s="2">
        <f t="shared" si="34"/>
        <v>0</v>
      </c>
    </row>
    <row r="560" spans="11:11">
      <c r="K560" s="2">
        <f t="shared" si="34"/>
        <v>0</v>
      </c>
    </row>
    <row r="561" spans="11:11">
      <c r="K561" s="2">
        <f t="shared" si="34"/>
        <v>0</v>
      </c>
    </row>
    <row r="562" spans="11:11">
      <c r="K562" s="2">
        <f t="shared" si="34"/>
        <v>0</v>
      </c>
    </row>
    <row r="563" spans="11:11">
      <c r="K563" s="2">
        <f t="shared" si="34"/>
        <v>0</v>
      </c>
    </row>
    <row r="564" spans="11:11">
      <c r="K564" s="2">
        <f t="shared" si="34"/>
        <v>0</v>
      </c>
    </row>
    <row r="565" spans="11:11">
      <c r="K565" s="2">
        <f t="shared" si="34"/>
        <v>0</v>
      </c>
    </row>
    <row r="566" spans="11:11">
      <c r="K566" s="2">
        <f t="shared" si="34"/>
        <v>0</v>
      </c>
    </row>
    <row r="567" spans="11:11">
      <c r="K567" s="2">
        <f t="shared" si="34"/>
        <v>0</v>
      </c>
    </row>
    <row r="568" spans="11:11">
      <c r="K568" s="2">
        <f t="shared" si="34"/>
        <v>0</v>
      </c>
    </row>
    <row r="569" spans="11:11">
      <c r="K569" s="2">
        <f t="shared" si="34"/>
        <v>0</v>
      </c>
    </row>
    <row r="570" spans="11:11">
      <c r="K570" s="2">
        <f t="shared" si="34"/>
        <v>0</v>
      </c>
    </row>
    <row r="571" spans="11:11">
      <c r="K571" s="2">
        <f t="shared" si="34"/>
        <v>0</v>
      </c>
    </row>
    <row r="572" spans="11:11">
      <c r="K572" s="2">
        <f t="shared" si="34"/>
        <v>0</v>
      </c>
    </row>
    <row r="573" spans="11:11">
      <c r="K573" s="2">
        <f t="shared" si="34"/>
        <v>0</v>
      </c>
    </row>
    <row r="574" spans="11:11">
      <c r="K574" s="2">
        <f t="shared" si="34"/>
        <v>0</v>
      </c>
    </row>
    <row r="575" spans="11:11">
      <c r="K575" s="2">
        <f t="shared" ref="K575:K638" si="35">J575-I575</f>
        <v>0</v>
      </c>
    </row>
    <row r="576" spans="11:11">
      <c r="K576" s="2">
        <f t="shared" si="35"/>
        <v>0</v>
      </c>
    </row>
    <row r="577" spans="11:11">
      <c r="K577" s="2">
        <f t="shared" si="35"/>
        <v>0</v>
      </c>
    </row>
    <row r="578" spans="11:11">
      <c r="K578" s="2">
        <f t="shared" si="35"/>
        <v>0</v>
      </c>
    </row>
    <row r="579" spans="11:11">
      <c r="K579" s="2">
        <f t="shared" si="35"/>
        <v>0</v>
      </c>
    </row>
    <row r="580" spans="11:11">
      <c r="K580" s="2">
        <f t="shared" si="35"/>
        <v>0</v>
      </c>
    </row>
    <row r="581" spans="11:11">
      <c r="K581" s="2">
        <f t="shared" si="35"/>
        <v>0</v>
      </c>
    </row>
    <row r="582" spans="11:11">
      <c r="K582" s="2">
        <f t="shared" si="35"/>
        <v>0</v>
      </c>
    </row>
    <row r="583" spans="11:11">
      <c r="K583" s="2">
        <f t="shared" si="35"/>
        <v>0</v>
      </c>
    </row>
    <row r="584" spans="11:11">
      <c r="K584" s="2">
        <f t="shared" si="35"/>
        <v>0</v>
      </c>
    </row>
    <row r="585" spans="11:11">
      <c r="K585" s="2">
        <f t="shared" si="35"/>
        <v>0</v>
      </c>
    </row>
    <row r="586" spans="11:11">
      <c r="K586" s="2">
        <f t="shared" si="35"/>
        <v>0</v>
      </c>
    </row>
    <row r="587" spans="11:11">
      <c r="K587" s="2">
        <f t="shared" si="35"/>
        <v>0</v>
      </c>
    </row>
    <row r="588" spans="11:11">
      <c r="K588" s="2">
        <f t="shared" si="35"/>
        <v>0</v>
      </c>
    </row>
    <row r="589" spans="11:11">
      <c r="K589" s="2">
        <f t="shared" si="35"/>
        <v>0</v>
      </c>
    </row>
    <row r="590" spans="11:11">
      <c r="K590" s="2">
        <f t="shared" si="35"/>
        <v>0</v>
      </c>
    </row>
    <row r="591" spans="11:11">
      <c r="K591" s="2">
        <f t="shared" si="35"/>
        <v>0</v>
      </c>
    </row>
    <row r="592" spans="11:11">
      <c r="K592" s="2">
        <f t="shared" si="35"/>
        <v>0</v>
      </c>
    </row>
    <row r="593" spans="11:11">
      <c r="K593" s="2">
        <f t="shared" si="35"/>
        <v>0</v>
      </c>
    </row>
    <row r="594" spans="11:11">
      <c r="K594" s="2">
        <f t="shared" si="35"/>
        <v>0</v>
      </c>
    </row>
    <row r="595" spans="11:11">
      <c r="K595" s="2">
        <f t="shared" si="35"/>
        <v>0</v>
      </c>
    </row>
    <row r="596" spans="11:11">
      <c r="K596" s="2">
        <f t="shared" si="35"/>
        <v>0</v>
      </c>
    </row>
    <row r="597" spans="11:11">
      <c r="K597" s="2">
        <f t="shared" si="35"/>
        <v>0</v>
      </c>
    </row>
    <row r="598" spans="11:11">
      <c r="K598" s="2">
        <f t="shared" si="35"/>
        <v>0</v>
      </c>
    </row>
    <row r="599" spans="11:11">
      <c r="K599" s="2">
        <f t="shared" si="35"/>
        <v>0</v>
      </c>
    </row>
    <row r="600" spans="11:11">
      <c r="K600" s="2">
        <f t="shared" si="35"/>
        <v>0</v>
      </c>
    </row>
    <row r="601" spans="11:11">
      <c r="K601" s="2">
        <f t="shared" si="35"/>
        <v>0</v>
      </c>
    </row>
    <row r="602" spans="11:11">
      <c r="K602" s="2">
        <f t="shared" si="35"/>
        <v>0</v>
      </c>
    </row>
    <row r="603" spans="11:11">
      <c r="K603" s="2">
        <f t="shared" si="35"/>
        <v>0</v>
      </c>
    </row>
    <row r="604" spans="11:11">
      <c r="K604" s="2">
        <f t="shared" si="35"/>
        <v>0</v>
      </c>
    </row>
    <row r="605" spans="11:11">
      <c r="K605" s="2">
        <f t="shared" si="35"/>
        <v>0</v>
      </c>
    </row>
    <row r="606" spans="11:11">
      <c r="K606" s="2">
        <f t="shared" si="35"/>
        <v>0</v>
      </c>
    </row>
    <row r="607" spans="11:11">
      <c r="K607" s="2">
        <f t="shared" si="35"/>
        <v>0</v>
      </c>
    </row>
    <row r="608" spans="11:11">
      <c r="K608" s="2">
        <f t="shared" si="35"/>
        <v>0</v>
      </c>
    </row>
    <row r="609" spans="11:11">
      <c r="K609" s="2">
        <f t="shared" si="35"/>
        <v>0</v>
      </c>
    </row>
    <row r="610" spans="11:11">
      <c r="K610" s="2">
        <f t="shared" si="35"/>
        <v>0</v>
      </c>
    </row>
    <row r="611" spans="11:11">
      <c r="K611" s="2">
        <f t="shared" si="35"/>
        <v>0</v>
      </c>
    </row>
    <row r="612" spans="11:11">
      <c r="K612" s="2">
        <f t="shared" si="35"/>
        <v>0</v>
      </c>
    </row>
    <row r="613" spans="11:11">
      <c r="K613" s="2">
        <f t="shared" si="35"/>
        <v>0</v>
      </c>
    </row>
    <row r="614" spans="11:11">
      <c r="K614" s="2">
        <f t="shared" si="35"/>
        <v>0</v>
      </c>
    </row>
    <row r="615" spans="11:11">
      <c r="K615" s="2">
        <f t="shared" si="35"/>
        <v>0</v>
      </c>
    </row>
    <row r="616" spans="11:11">
      <c r="K616" s="2">
        <f t="shared" si="35"/>
        <v>0</v>
      </c>
    </row>
    <row r="617" spans="11:11">
      <c r="K617" s="2">
        <f t="shared" si="35"/>
        <v>0</v>
      </c>
    </row>
    <row r="618" spans="11:11">
      <c r="K618" s="2">
        <f t="shared" si="35"/>
        <v>0</v>
      </c>
    </row>
    <row r="619" spans="11:11">
      <c r="K619" s="2">
        <f t="shared" si="35"/>
        <v>0</v>
      </c>
    </row>
    <row r="620" spans="11:11">
      <c r="K620" s="2">
        <f t="shared" si="35"/>
        <v>0</v>
      </c>
    </row>
    <row r="621" spans="11:11">
      <c r="K621" s="2">
        <f t="shared" si="35"/>
        <v>0</v>
      </c>
    </row>
    <row r="622" spans="11:11">
      <c r="K622" s="2">
        <f t="shared" si="35"/>
        <v>0</v>
      </c>
    </row>
    <row r="623" spans="11:11">
      <c r="K623" s="2">
        <f t="shared" si="35"/>
        <v>0</v>
      </c>
    </row>
    <row r="624" spans="11:11">
      <c r="K624" s="2">
        <f t="shared" si="35"/>
        <v>0</v>
      </c>
    </row>
    <row r="625" spans="11:11">
      <c r="K625" s="2">
        <f t="shared" si="35"/>
        <v>0</v>
      </c>
    </row>
    <row r="626" spans="11:11">
      <c r="K626" s="2">
        <f t="shared" si="35"/>
        <v>0</v>
      </c>
    </row>
    <row r="627" spans="11:11">
      <c r="K627" s="2">
        <f t="shared" si="35"/>
        <v>0</v>
      </c>
    </row>
    <row r="628" spans="11:11">
      <c r="K628" s="2">
        <f t="shared" si="35"/>
        <v>0</v>
      </c>
    </row>
    <row r="629" spans="11:11">
      <c r="K629" s="2">
        <f t="shared" si="35"/>
        <v>0</v>
      </c>
    </row>
    <row r="630" spans="11:11">
      <c r="K630" s="2">
        <f t="shared" si="35"/>
        <v>0</v>
      </c>
    </row>
    <row r="631" spans="11:11">
      <c r="K631" s="2">
        <f t="shared" si="35"/>
        <v>0</v>
      </c>
    </row>
    <row r="632" spans="11:11">
      <c r="K632" s="2">
        <f t="shared" si="35"/>
        <v>0</v>
      </c>
    </row>
    <row r="633" spans="11:11">
      <c r="K633" s="2">
        <f t="shared" si="35"/>
        <v>0</v>
      </c>
    </row>
    <row r="634" spans="11:11">
      <c r="K634" s="2">
        <f t="shared" si="35"/>
        <v>0</v>
      </c>
    </row>
    <row r="635" spans="11:11">
      <c r="K635" s="2">
        <f t="shared" si="35"/>
        <v>0</v>
      </c>
    </row>
    <row r="636" spans="11:11">
      <c r="K636" s="2">
        <f t="shared" si="35"/>
        <v>0</v>
      </c>
    </row>
    <row r="637" spans="11:11">
      <c r="K637" s="2">
        <f t="shared" si="35"/>
        <v>0</v>
      </c>
    </row>
    <row r="638" spans="11:11">
      <c r="K638" s="2">
        <f t="shared" si="35"/>
        <v>0</v>
      </c>
    </row>
    <row r="639" spans="11:11">
      <c r="K639" s="2">
        <f t="shared" ref="K639:K702" si="36">J639-I639</f>
        <v>0</v>
      </c>
    </row>
    <row r="640" spans="11:11">
      <c r="K640" s="2">
        <f t="shared" si="36"/>
        <v>0</v>
      </c>
    </row>
    <row r="641" spans="11:11">
      <c r="K641" s="2">
        <f t="shared" si="36"/>
        <v>0</v>
      </c>
    </row>
    <row r="642" spans="11:11">
      <c r="K642" s="2">
        <f t="shared" si="36"/>
        <v>0</v>
      </c>
    </row>
    <row r="643" spans="11:11">
      <c r="K643" s="2">
        <f t="shared" si="36"/>
        <v>0</v>
      </c>
    </row>
    <row r="644" spans="11:11">
      <c r="K644" s="2">
        <f t="shared" si="36"/>
        <v>0</v>
      </c>
    </row>
    <row r="645" spans="11:11">
      <c r="K645" s="2">
        <f t="shared" si="36"/>
        <v>0</v>
      </c>
    </row>
    <row r="646" spans="11:11">
      <c r="K646" s="2">
        <f t="shared" si="36"/>
        <v>0</v>
      </c>
    </row>
    <row r="647" spans="11:11">
      <c r="K647" s="2">
        <f t="shared" si="36"/>
        <v>0</v>
      </c>
    </row>
    <row r="648" spans="11:11">
      <c r="K648" s="2">
        <f t="shared" si="36"/>
        <v>0</v>
      </c>
    </row>
    <row r="649" spans="11:11">
      <c r="K649" s="2">
        <f t="shared" si="36"/>
        <v>0</v>
      </c>
    </row>
    <row r="650" spans="11:11">
      <c r="K650" s="2">
        <f t="shared" si="36"/>
        <v>0</v>
      </c>
    </row>
    <row r="651" spans="11:11">
      <c r="K651" s="2">
        <f t="shared" si="36"/>
        <v>0</v>
      </c>
    </row>
    <row r="652" spans="11:11">
      <c r="K652" s="2">
        <f t="shared" si="36"/>
        <v>0</v>
      </c>
    </row>
    <row r="653" spans="11:11">
      <c r="K653" s="2">
        <f t="shared" si="36"/>
        <v>0</v>
      </c>
    </row>
    <row r="654" spans="11:11">
      <c r="K654" s="2">
        <f t="shared" si="36"/>
        <v>0</v>
      </c>
    </row>
    <row r="655" spans="11:11">
      <c r="K655" s="2">
        <f t="shared" si="36"/>
        <v>0</v>
      </c>
    </row>
    <row r="656" spans="11:11">
      <c r="K656" s="2">
        <f t="shared" si="36"/>
        <v>0</v>
      </c>
    </row>
    <row r="657" spans="11:11">
      <c r="K657" s="2">
        <f t="shared" si="36"/>
        <v>0</v>
      </c>
    </row>
    <row r="658" spans="11:11">
      <c r="K658" s="2">
        <f t="shared" si="36"/>
        <v>0</v>
      </c>
    </row>
    <row r="659" spans="11:11">
      <c r="K659" s="2">
        <f t="shared" si="36"/>
        <v>0</v>
      </c>
    </row>
    <row r="660" spans="11:11">
      <c r="K660" s="2">
        <f t="shared" si="36"/>
        <v>0</v>
      </c>
    </row>
    <row r="661" spans="11:11">
      <c r="K661" s="2">
        <f t="shared" si="36"/>
        <v>0</v>
      </c>
    </row>
    <row r="662" spans="11:11">
      <c r="K662" s="2">
        <f t="shared" si="36"/>
        <v>0</v>
      </c>
    </row>
    <row r="663" spans="11:11">
      <c r="K663" s="2">
        <f t="shared" si="36"/>
        <v>0</v>
      </c>
    </row>
    <row r="664" spans="11:11">
      <c r="K664" s="2">
        <f t="shared" si="36"/>
        <v>0</v>
      </c>
    </row>
    <row r="665" spans="11:11">
      <c r="K665" s="2">
        <f t="shared" si="36"/>
        <v>0</v>
      </c>
    </row>
    <row r="666" spans="11:11">
      <c r="K666" s="2">
        <f t="shared" si="36"/>
        <v>0</v>
      </c>
    </row>
    <row r="667" spans="11:11">
      <c r="K667" s="2">
        <f t="shared" si="36"/>
        <v>0</v>
      </c>
    </row>
    <row r="668" spans="11:11">
      <c r="K668" s="2">
        <f t="shared" si="36"/>
        <v>0</v>
      </c>
    </row>
    <row r="669" spans="11:11">
      <c r="K669" s="2">
        <f t="shared" si="36"/>
        <v>0</v>
      </c>
    </row>
    <row r="670" spans="11:11">
      <c r="K670" s="2">
        <f t="shared" si="36"/>
        <v>0</v>
      </c>
    </row>
    <row r="671" spans="11:11">
      <c r="K671" s="2">
        <f t="shared" si="36"/>
        <v>0</v>
      </c>
    </row>
    <row r="672" spans="11:11">
      <c r="K672" s="2">
        <f t="shared" si="36"/>
        <v>0</v>
      </c>
    </row>
    <row r="673" spans="11:11">
      <c r="K673" s="2">
        <f t="shared" si="36"/>
        <v>0</v>
      </c>
    </row>
    <row r="674" spans="11:11">
      <c r="K674" s="2">
        <f t="shared" si="36"/>
        <v>0</v>
      </c>
    </row>
    <row r="675" spans="11:11">
      <c r="K675" s="2">
        <f t="shared" si="36"/>
        <v>0</v>
      </c>
    </row>
    <row r="676" spans="11:11">
      <c r="K676" s="2">
        <f t="shared" si="36"/>
        <v>0</v>
      </c>
    </row>
    <row r="677" spans="11:11">
      <c r="K677" s="2">
        <f t="shared" si="36"/>
        <v>0</v>
      </c>
    </row>
    <row r="678" spans="11:11">
      <c r="K678" s="2">
        <f t="shared" si="36"/>
        <v>0</v>
      </c>
    </row>
    <row r="679" spans="11:11">
      <c r="K679" s="2">
        <f t="shared" si="36"/>
        <v>0</v>
      </c>
    </row>
    <row r="680" spans="11:11">
      <c r="K680" s="2">
        <f t="shared" si="36"/>
        <v>0</v>
      </c>
    </row>
    <row r="681" spans="11:11">
      <c r="K681" s="2">
        <f t="shared" si="36"/>
        <v>0</v>
      </c>
    </row>
    <row r="682" spans="11:11">
      <c r="K682" s="2">
        <f t="shared" si="36"/>
        <v>0</v>
      </c>
    </row>
    <row r="683" spans="11:11">
      <c r="K683" s="2">
        <f t="shared" si="36"/>
        <v>0</v>
      </c>
    </row>
    <row r="684" spans="11:11">
      <c r="K684" s="2">
        <f t="shared" si="36"/>
        <v>0</v>
      </c>
    </row>
    <row r="685" spans="11:11">
      <c r="K685" s="2">
        <f t="shared" si="36"/>
        <v>0</v>
      </c>
    </row>
    <row r="686" spans="11:11">
      <c r="K686" s="2">
        <f t="shared" si="36"/>
        <v>0</v>
      </c>
    </row>
    <row r="687" spans="11:11">
      <c r="K687" s="2">
        <f t="shared" si="36"/>
        <v>0</v>
      </c>
    </row>
    <row r="688" spans="11:11">
      <c r="K688" s="2">
        <f t="shared" si="36"/>
        <v>0</v>
      </c>
    </row>
    <row r="689" spans="11:11">
      <c r="K689" s="2">
        <f t="shared" si="36"/>
        <v>0</v>
      </c>
    </row>
    <row r="690" spans="11:11">
      <c r="K690" s="2">
        <f t="shared" si="36"/>
        <v>0</v>
      </c>
    </row>
    <row r="691" spans="11:11">
      <c r="K691" s="2">
        <f t="shared" si="36"/>
        <v>0</v>
      </c>
    </row>
    <row r="692" spans="11:11">
      <c r="K692" s="2">
        <f t="shared" si="36"/>
        <v>0</v>
      </c>
    </row>
    <row r="693" spans="11:11">
      <c r="K693" s="2">
        <f t="shared" si="36"/>
        <v>0</v>
      </c>
    </row>
    <row r="694" spans="11:11">
      <c r="K694" s="2">
        <f t="shared" si="36"/>
        <v>0</v>
      </c>
    </row>
    <row r="695" spans="11:11">
      <c r="K695" s="2">
        <f t="shared" si="36"/>
        <v>0</v>
      </c>
    </row>
    <row r="696" spans="11:11">
      <c r="K696" s="2">
        <f t="shared" si="36"/>
        <v>0</v>
      </c>
    </row>
    <row r="697" spans="11:11">
      <c r="K697" s="2">
        <f t="shared" si="36"/>
        <v>0</v>
      </c>
    </row>
    <row r="698" spans="11:11">
      <c r="K698" s="2">
        <f t="shared" si="36"/>
        <v>0</v>
      </c>
    </row>
    <row r="699" spans="11:11">
      <c r="K699" s="2">
        <f t="shared" si="36"/>
        <v>0</v>
      </c>
    </row>
    <row r="700" spans="11:11">
      <c r="K700" s="2">
        <f t="shared" si="36"/>
        <v>0</v>
      </c>
    </row>
    <row r="701" spans="11:11">
      <c r="K701" s="2">
        <f t="shared" si="36"/>
        <v>0</v>
      </c>
    </row>
    <row r="702" spans="11:11">
      <c r="K702" s="2">
        <f t="shared" si="36"/>
        <v>0</v>
      </c>
    </row>
    <row r="703" spans="11:11">
      <c r="K703" s="2">
        <f t="shared" ref="K703:K766" si="37">J703-I703</f>
        <v>0</v>
      </c>
    </row>
    <row r="704" spans="11:11">
      <c r="K704" s="2">
        <f t="shared" si="37"/>
        <v>0</v>
      </c>
    </row>
    <row r="705" spans="11:11">
      <c r="K705" s="2">
        <f t="shared" si="37"/>
        <v>0</v>
      </c>
    </row>
    <row r="706" spans="11:11">
      <c r="K706" s="2">
        <f t="shared" si="37"/>
        <v>0</v>
      </c>
    </row>
    <row r="707" spans="11:11">
      <c r="K707" s="2">
        <f t="shared" si="37"/>
        <v>0</v>
      </c>
    </row>
    <row r="708" spans="11:11">
      <c r="K708" s="2">
        <f t="shared" si="37"/>
        <v>0</v>
      </c>
    </row>
    <row r="709" spans="11:11">
      <c r="K709" s="2">
        <f t="shared" si="37"/>
        <v>0</v>
      </c>
    </row>
    <row r="710" spans="11:11">
      <c r="K710" s="2">
        <f t="shared" si="37"/>
        <v>0</v>
      </c>
    </row>
    <row r="711" spans="11:11">
      <c r="K711" s="2">
        <f t="shared" si="37"/>
        <v>0</v>
      </c>
    </row>
    <row r="712" spans="11:11">
      <c r="K712" s="2">
        <f t="shared" si="37"/>
        <v>0</v>
      </c>
    </row>
    <row r="713" spans="11:11">
      <c r="K713" s="2">
        <f t="shared" si="37"/>
        <v>0</v>
      </c>
    </row>
    <row r="714" spans="11:11">
      <c r="K714" s="2">
        <f t="shared" si="37"/>
        <v>0</v>
      </c>
    </row>
    <row r="715" spans="11:11">
      <c r="K715" s="2">
        <f t="shared" si="37"/>
        <v>0</v>
      </c>
    </row>
    <row r="716" spans="11:11">
      <c r="K716" s="2">
        <f t="shared" si="37"/>
        <v>0</v>
      </c>
    </row>
    <row r="717" spans="11:11">
      <c r="K717" s="2">
        <f t="shared" si="37"/>
        <v>0</v>
      </c>
    </row>
    <row r="718" spans="11:11">
      <c r="K718" s="2">
        <f t="shared" si="37"/>
        <v>0</v>
      </c>
    </row>
    <row r="719" spans="11:11">
      <c r="K719" s="2">
        <f t="shared" si="37"/>
        <v>0</v>
      </c>
    </row>
    <row r="720" spans="11:11">
      <c r="K720" s="2">
        <f t="shared" si="37"/>
        <v>0</v>
      </c>
    </row>
    <row r="721" spans="11:11">
      <c r="K721" s="2">
        <f t="shared" si="37"/>
        <v>0</v>
      </c>
    </row>
    <row r="722" spans="11:11">
      <c r="K722" s="2">
        <f t="shared" si="37"/>
        <v>0</v>
      </c>
    </row>
    <row r="723" spans="11:11">
      <c r="K723" s="2">
        <f t="shared" si="37"/>
        <v>0</v>
      </c>
    </row>
    <row r="724" spans="11:11">
      <c r="K724" s="2">
        <f t="shared" si="37"/>
        <v>0</v>
      </c>
    </row>
    <row r="725" spans="11:11">
      <c r="K725" s="2">
        <f t="shared" si="37"/>
        <v>0</v>
      </c>
    </row>
    <row r="726" spans="11:11">
      <c r="K726" s="2">
        <f t="shared" si="37"/>
        <v>0</v>
      </c>
    </row>
    <row r="727" spans="11:11">
      <c r="K727" s="2">
        <f t="shared" si="37"/>
        <v>0</v>
      </c>
    </row>
    <row r="728" spans="11:11">
      <c r="K728" s="2">
        <f t="shared" si="37"/>
        <v>0</v>
      </c>
    </row>
    <row r="729" spans="11:11">
      <c r="K729" s="2">
        <f t="shared" si="37"/>
        <v>0</v>
      </c>
    </row>
    <row r="730" spans="11:11">
      <c r="K730" s="2">
        <f t="shared" si="37"/>
        <v>0</v>
      </c>
    </row>
    <row r="731" spans="11:11">
      <c r="K731" s="2">
        <f t="shared" si="37"/>
        <v>0</v>
      </c>
    </row>
    <row r="732" spans="11:11">
      <c r="K732" s="2">
        <f t="shared" si="37"/>
        <v>0</v>
      </c>
    </row>
    <row r="733" spans="11:11">
      <c r="K733" s="2">
        <f t="shared" si="37"/>
        <v>0</v>
      </c>
    </row>
    <row r="734" spans="11:11">
      <c r="K734" s="2">
        <f t="shared" si="37"/>
        <v>0</v>
      </c>
    </row>
    <row r="735" spans="11:11">
      <c r="K735" s="2">
        <f t="shared" si="37"/>
        <v>0</v>
      </c>
    </row>
    <row r="736" spans="11:11">
      <c r="K736" s="2">
        <f t="shared" si="37"/>
        <v>0</v>
      </c>
    </row>
    <row r="737" spans="11:11">
      <c r="K737" s="2">
        <f t="shared" si="37"/>
        <v>0</v>
      </c>
    </row>
    <row r="738" spans="11:11">
      <c r="K738" s="2">
        <f t="shared" si="37"/>
        <v>0</v>
      </c>
    </row>
    <row r="739" spans="11:11">
      <c r="K739" s="2">
        <f t="shared" si="37"/>
        <v>0</v>
      </c>
    </row>
    <row r="740" spans="11:11">
      <c r="K740" s="2">
        <f t="shared" si="37"/>
        <v>0</v>
      </c>
    </row>
    <row r="741" spans="11:11">
      <c r="K741" s="2">
        <f t="shared" si="37"/>
        <v>0</v>
      </c>
    </row>
    <row r="742" spans="11:11">
      <c r="K742" s="2">
        <f t="shared" si="37"/>
        <v>0</v>
      </c>
    </row>
    <row r="743" spans="11:11">
      <c r="K743" s="2">
        <f t="shared" si="37"/>
        <v>0</v>
      </c>
    </row>
    <row r="744" spans="11:11">
      <c r="K744" s="2">
        <f t="shared" si="37"/>
        <v>0</v>
      </c>
    </row>
    <row r="745" spans="11:11">
      <c r="K745" s="2">
        <f t="shared" si="37"/>
        <v>0</v>
      </c>
    </row>
    <row r="746" spans="11:11">
      <c r="K746" s="2">
        <f t="shared" si="37"/>
        <v>0</v>
      </c>
    </row>
    <row r="747" spans="11:11">
      <c r="K747" s="2">
        <f t="shared" si="37"/>
        <v>0</v>
      </c>
    </row>
    <row r="748" spans="11:11">
      <c r="K748" s="2">
        <f t="shared" si="37"/>
        <v>0</v>
      </c>
    </row>
    <row r="749" spans="11:11">
      <c r="K749" s="2">
        <f t="shared" si="37"/>
        <v>0</v>
      </c>
    </row>
    <row r="750" spans="11:11">
      <c r="K750" s="2">
        <f t="shared" si="37"/>
        <v>0</v>
      </c>
    </row>
    <row r="751" spans="11:11">
      <c r="K751" s="2">
        <f t="shared" si="37"/>
        <v>0</v>
      </c>
    </row>
    <row r="752" spans="11:11">
      <c r="K752" s="2">
        <f t="shared" si="37"/>
        <v>0</v>
      </c>
    </row>
    <row r="753" spans="11:11">
      <c r="K753" s="2">
        <f t="shared" si="37"/>
        <v>0</v>
      </c>
    </row>
    <row r="754" spans="11:11">
      <c r="K754" s="2">
        <f t="shared" si="37"/>
        <v>0</v>
      </c>
    </row>
    <row r="755" spans="11:11">
      <c r="K755" s="2">
        <f t="shared" si="37"/>
        <v>0</v>
      </c>
    </row>
    <row r="756" spans="11:11">
      <c r="K756" s="2">
        <f t="shared" si="37"/>
        <v>0</v>
      </c>
    </row>
    <row r="757" spans="11:11">
      <c r="K757" s="2">
        <f t="shared" si="37"/>
        <v>0</v>
      </c>
    </row>
    <row r="758" spans="11:11">
      <c r="K758" s="2">
        <f t="shared" si="37"/>
        <v>0</v>
      </c>
    </row>
    <row r="759" spans="11:11">
      <c r="K759" s="2">
        <f t="shared" si="37"/>
        <v>0</v>
      </c>
    </row>
    <row r="760" spans="11:11">
      <c r="K760" s="2">
        <f t="shared" si="37"/>
        <v>0</v>
      </c>
    </row>
    <row r="761" spans="11:11">
      <c r="K761" s="2">
        <f t="shared" si="37"/>
        <v>0</v>
      </c>
    </row>
    <row r="762" spans="11:11">
      <c r="K762" s="2">
        <f t="shared" si="37"/>
        <v>0</v>
      </c>
    </row>
    <row r="763" spans="11:11">
      <c r="K763" s="2">
        <f t="shared" si="37"/>
        <v>0</v>
      </c>
    </row>
    <row r="764" spans="11:11">
      <c r="K764" s="2">
        <f t="shared" si="37"/>
        <v>0</v>
      </c>
    </row>
    <row r="765" spans="11:11">
      <c r="K765" s="2">
        <f t="shared" si="37"/>
        <v>0</v>
      </c>
    </row>
    <row r="766" spans="11:11">
      <c r="K766" s="2">
        <f t="shared" si="37"/>
        <v>0</v>
      </c>
    </row>
    <row r="767" spans="11:11">
      <c r="K767" s="2">
        <f t="shared" ref="K767:K830" si="38">J767-I767</f>
        <v>0</v>
      </c>
    </row>
    <row r="768" spans="11:11">
      <c r="K768" s="2">
        <f t="shared" si="38"/>
        <v>0</v>
      </c>
    </row>
    <row r="769" spans="11:11">
      <c r="K769" s="2">
        <f t="shared" si="38"/>
        <v>0</v>
      </c>
    </row>
    <row r="770" spans="11:11">
      <c r="K770" s="2">
        <f t="shared" si="38"/>
        <v>0</v>
      </c>
    </row>
    <row r="771" spans="11:11">
      <c r="K771" s="2">
        <f t="shared" si="38"/>
        <v>0</v>
      </c>
    </row>
    <row r="772" spans="11:11">
      <c r="K772" s="2">
        <f t="shared" si="38"/>
        <v>0</v>
      </c>
    </row>
    <row r="773" spans="11:11">
      <c r="K773" s="2">
        <f t="shared" si="38"/>
        <v>0</v>
      </c>
    </row>
    <row r="774" spans="11:11">
      <c r="K774" s="2">
        <f t="shared" si="38"/>
        <v>0</v>
      </c>
    </row>
    <row r="775" spans="11:11">
      <c r="K775" s="2">
        <f t="shared" si="38"/>
        <v>0</v>
      </c>
    </row>
    <row r="776" spans="11:11">
      <c r="K776" s="2">
        <f t="shared" si="38"/>
        <v>0</v>
      </c>
    </row>
    <row r="777" spans="11:11">
      <c r="K777" s="2">
        <f t="shared" si="38"/>
        <v>0</v>
      </c>
    </row>
    <row r="778" spans="11:11">
      <c r="K778" s="2">
        <f t="shared" si="38"/>
        <v>0</v>
      </c>
    </row>
    <row r="779" spans="11:11">
      <c r="K779" s="2">
        <f t="shared" si="38"/>
        <v>0</v>
      </c>
    </row>
    <row r="780" spans="11:11">
      <c r="K780" s="2">
        <f t="shared" si="38"/>
        <v>0</v>
      </c>
    </row>
    <row r="781" spans="11:11">
      <c r="K781" s="2">
        <f t="shared" si="38"/>
        <v>0</v>
      </c>
    </row>
    <row r="782" spans="11:11">
      <c r="K782" s="2">
        <f t="shared" si="38"/>
        <v>0</v>
      </c>
    </row>
    <row r="783" spans="11:11">
      <c r="K783" s="2">
        <f t="shared" si="38"/>
        <v>0</v>
      </c>
    </row>
    <row r="784" spans="11:11">
      <c r="K784" s="2">
        <f t="shared" si="38"/>
        <v>0</v>
      </c>
    </row>
    <row r="785" spans="11:11">
      <c r="K785" s="2">
        <f t="shared" si="38"/>
        <v>0</v>
      </c>
    </row>
    <row r="786" spans="11:11">
      <c r="K786" s="2">
        <f t="shared" si="38"/>
        <v>0</v>
      </c>
    </row>
    <row r="787" spans="11:11">
      <c r="K787" s="2">
        <f t="shared" si="38"/>
        <v>0</v>
      </c>
    </row>
    <row r="788" spans="11:11">
      <c r="K788" s="2">
        <f t="shared" si="38"/>
        <v>0</v>
      </c>
    </row>
    <row r="789" spans="11:11">
      <c r="K789" s="2">
        <f t="shared" si="38"/>
        <v>0</v>
      </c>
    </row>
    <row r="790" spans="11:11">
      <c r="K790" s="2">
        <f t="shared" si="38"/>
        <v>0</v>
      </c>
    </row>
    <row r="791" spans="11:11">
      <c r="K791" s="2">
        <f t="shared" si="38"/>
        <v>0</v>
      </c>
    </row>
    <row r="792" spans="11:11">
      <c r="K792" s="2">
        <f t="shared" si="38"/>
        <v>0</v>
      </c>
    </row>
    <row r="793" spans="11:11">
      <c r="K793" s="2">
        <f t="shared" si="38"/>
        <v>0</v>
      </c>
    </row>
    <row r="794" spans="11:11">
      <c r="K794" s="2">
        <f t="shared" si="38"/>
        <v>0</v>
      </c>
    </row>
    <row r="795" spans="11:11">
      <c r="K795" s="2">
        <f t="shared" si="38"/>
        <v>0</v>
      </c>
    </row>
    <row r="796" spans="11:11">
      <c r="K796" s="2">
        <f t="shared" si="38"/>
        <v>0</v>
      </c>
    </row>
    <row r="797" spans="11:11">
      <c r="K797" s="2">
        <f t="shared" si="38"/>
        <v>0</v>
      </c>
    </row>
    <row r="798" spans="11:11">
      <c r="K798" s="2">
        <f t="shared" si="38"/>
        <v>0</v>
      </c>
    </row>
    <row r="799" spans="11:11">
      <c r="K799" s="2">
        <f t="shared" si="38"/>
        <v>0</v>
      </c>
    </row>
    <row r="800" spans="11:11">
      <c r="K800" s="2">
        <f t="shared" si="38"/>
        <v>0</v>
      </c>
    </row>
    <row r="801" spans="11:11">
      <c r="K801" s="2">
        <f t="shared" si="38"/>
        <v>0</v>
      </c>
    </row>
    <row r="802" spans="11:11">
      <c r="K802" s="2">
        <f t="shared" si="38"/>
        <v>0</v>
      </c>
    </row>
    <row r="803" spans="11:11">
      <c r="K803" s="2">
        <f t="shared" si="38"/>
        <v>0</v>
      </c>
    </row>
    <row r="804" spans="11:11">
      <c r="K804" s="2">
        <f t="shared" si="38"/>
        <v>0</v>
      </c>
    </row>
    <row r="805" spans="11:11">
      <c r="K805" s="2">
        <f t="shared" si="38"/>
        <v>0</v>
      </c>
    </row>
    <row r="806" spans="11:11">
      <c r="K806" s="2">
        <f t="shared" si="38"/>
        <v>0</v>
      </c>
    </row>
    <row r="807" spans="11:11">
      <c r="K807" s="2">
        <f t="shared" si="38"/>
        <v>0</v>
      </c>
    </row>
    <row r="808" spans="11:11">
      <c r="K808" s="2">
        <f t="shared" si="38"/>
        <v>0</v>
      </c>
    </row>
    <row r="809" spans="11:11">
      <c r="K809" s="2">
        <f t="shared" si="38"/>
        <v>0</v>
      </c>
    </row>
    <row r="810" spans="11:11">
      <c r="K810" s="2">
        <f t="shared" si="38"/>
        <v>0</v>
      </c>
    </row>
    <row r="811" spans="11:11">
      <c r="K811" s="2">
        <f t="shared" si="38"/>
        <v>0</v>
      </c>
    </row>
    <row r="812" spans="11:11">
      <c r="K812" s="2">
        <f t="shared" si="38"/>
        <v>0</v>
      </c>
    </row>
    <row r="813" spans="11:11">
      <c r="K813" s="2">
        <f t="shared" si="38"/>
        <v>0</v>
      </c>
    </row>
    <row r="814" spans="11:11">
      <c r="K814" s="2">
        <f t="shared" si="38"/>
        <v>0</v>
      </c>
    </row>
    <row r="815" spans="11:11">
      <c r="K815" s="2">
        <f t="shared" si="38"/>
        <v>0</v>
      </c>
    </row>
    <row r="816" spans="11:11">
      <c r="K816" s="2">
        <f t="shared" si="38"/>
        <v>0</v>
      </c>
    </row>
    <row r="817" spans="11:11">
      <c r="K817" s="2">
        <f t="shared" si="38"/>
        <v>0</v>
      </c>
    </row>
    <row r="818" spans="11:11">
      <c r="K818" s="2">
        <f t="shared" si="38"/>
        <v>0</v>
      </c>
    </row>
    <row r="819" spans="11:11">
      <c r="K819" s="2">
        <f t="shared" si="38"/>
        <v>0</v>
      </c>
    </row>
    <row r="820" spans="11:11">
      <c r="K820" s="2">
        <f t="shared" si="38"/>
        <v>0</v>
      </c>
    </row>
    <row r="821" spans="11:11">
      <c r="K821" s="2">
        <f t="shared" si="38"/>
        <v>0</v>
      </c>
    </row>
    <row r="822" spans="11:11">
      <c r="K822" s="2">
        <f t="shared" si="38"/>
        <v>0</v>
      </c>
    </row>
    <row r="823" spans="11:11">
      <c r="K823" s="2">
        <f t="shared" si="38"/>
        <v>0</v>
      </c>
    </row>
    <row r="824" spans="11:11">
      <c r="K824" s="2">
        <f t="shared" si="38"/>
        <v>0</v>
      </c>
    </row>
    <row r="825" spans="11:11">
      <c r="K825" s="2">
        <f t="shared" si="38"/>
        <v>0</v>
      </c>
    </row>
    <row r="826" spans="11:11">
      <c r="K826" s="2">
        <f t="shared" si="38"/>
        <v>0</v>
      </c>
    </row>
    <row r="827" spans="11:11">
      <c r="K827" s="2">
        <f t="shared" si="38"/>
        <v>0</v>
      </c>
    </row>
    <row r="828" spans="11:11">
      <c r="K828" s="2">
        <f t="shared" si="38"/>
        <v>0</v>
      </c>
    </row>
    <row r="829" spans="11:11">
      <c r="K829" s="2">
        <f t="shared" si="38"/>
        <v>0</v>
      </c>
    </row>
    <row r="830" spans="11:11">
      <c r="K830" s="2">
        <f t="shared" si="38"/>
        <v>0</v>
      </c>
    </row>
    <row r="831" spans="11:11">
      <c r="K831" s="2">
        <f t="shared" ref="K831:K894" si="39">J831-I831</f>
        <v>0</v>
      </c>
    </row>
    <row r="832" spans="11:11">
      <c r="K832" s="2">
        <f t="shared" si="39"/>
        <v>0</v>
      </c>
    </row>
    <row r="833" spans="11:11">
      <c r="K833" s="2">
        <f t="shared" si="39"/>
        <v>0</v>
      </c>
    </row>
    <row r="834" spans="11:11">
      <c r="K834" s="2">
        <f t="shared" si="39"/>
        <v>0</v>
      </c>
    </row>
    <row r="835" spans="11:11">
      <c r="K835" s="2">
        <f t="shared" si="39"/>
        <v>0</v>
      </c>
    </row>
    <row r="836" spans="11:11">
      <c r="K836" s="2">
        <f t="shared" si="39"/>
        <v>0</v>
      </c>
    </row>
    <row r="837" spans="11:11">
      <c r="K837" s="2">
        <f t="shared" si="39"/>
        <v>0</v>
      </c>
    </row>
    <row r="838" spans="11:11">
      <c r="K838" s="2">
        <f t="shared" si="39"/>
        <v>0</v>
      </c>
    </row>
    <row r="839" spans="11:11">
      <c r="K839" s="2">
        <f t="shared" si="39"/>
        <v>0</v>
      </c>
    </row>
    <row r="840" spans="11:11">
      <c r="K840" s="2">
        <f t="shared" si="39"/>
        <v>0</v>
      </c>
    </row>
    <row r="841" spans="11:11">
      <c r="K841" s="2">
        <f t="shared" si="39"/>
        <v>0</v>
      </c>
    </row>
    <row r="842" spans="11:11">
      <c r="K842" s="2">
        <f t="shared" si="39"/>
        <v>0</v>
      </c>
    </row>
    <row r="843" spans="11:11">
      <c r="K843" s="2">
        <f t="shared" si="39"/>
        <v>0</v>
      </c>
    </row>
    <row r="844" spans="11:11">
      <c r="K844" s="2">
        <f t="shared" si="39"/>
        <v>0</v>
      </c>
    </row>
    <row r="845" spans="11:11">
      <c r="K845" s="2">
        <f t="shared" si="39"/>
        <v>0</v>
      </c>
    </row>
    <row r="846" spans="11:11">
      <c r="K846" s="2">
        <f t="shared" si="39"/>
        <v>0</v>
      </c>
    </row>
    <row r="847" spans="11:11">
      <c r="K847" s="2">
        <f t="shared" si="39"/>
        <v>0</v>
      </c>
    </row>
    <row r="848" spans="11:11">
      <c r="K848" s="2">
        <f t="shared" si="39"/>
        <v>0</v>
      </c>
    </row>
    <row r="849" spans="11:11">
      <c r="K849" s="2">
        <f t="shared" si="39"/>
        <v>0</v>
      </c>
    </row>
    <row r="850" spans="11:11">
      <c r="K850" s="2">
        <f t="shared" si="39"/>
        <v>0</v>
      </c>
    </row>
    <row r="851" spans="11:11">
      <c r="K851" s="2">
        <f t="shared" si="39"/>
        <v>0</v>
      </c>
    </row>
    <row r="852" spans="11:11">
      <c r="K852" s="2">
        <f t="shared" si="39"/>
        <v>0</v>
      </c>
    </row>
    <row r="853" spans="11:11">
      <c r="K853" s="2">
        <f t="shared" si="39"/>
        <v>0</v>
      </c>
    </row>
    <row r="854" spans="11:11">
      <c r="K854" s="2">
        <f t="shared" si="39"/>
        <v>0</v>
      </c>
    </row>
    <row r="855" spans="11:11">
      <c r="K855" s="2">
        <f t="shared" si="39"/>
        <v>0</v>
      </c>
    </row>
    <row r="856" spans="11:11">
      <c r="K856" s="2">
        <f t="shared" si="39"/>
        <v>0</v>
      </c>
    </row>
    <row r="857" spans="11:11">
      <c r="K857" s="2">
        <f t="shared" si="39"/>
        <v>0</v>
      </c>
    </row>
    <row r="858" spans="11:11">
      <c r="K858" s="2">
        <f t="shared" si="39"/>
        <v>0</v>
      </c>
    </row>
    <row r="859" spans="11:11">
      <c r="K859" s="2">
        <f t="shared" si="39"/>
        <v>0</v>
      </c>
    </row>
    <row r="860" spans="11:11">
      <c r="K860" s="2">
        <f t="shared" si="39"/>
        <v>0</v>
      </c>
    </row>
    <row r="861" spans="11:11">
      <c r="K861" s="2">
        <f t="shared" si="39"/>
        <v>0</v>
      </c>
    </row>
    <row r="862" spans="11:11">
      <c r="K862" s="2">
        <f t="shared" si="39"/>
        <v>0</v>
      </c>
    </row>
    <row r="863" spans="11:11">
      <c r="K863" s="2">
        <f t="shared" si="39"/>
        <v>0</v>
      </c>
    </row>
    <row r="864" spans="11:11">
      <c r="K864" s="2">
        <f t="shared" si="39"/>
        <v>0</v>
      </c>
    </row>
    <row r="865" spans="11:11">
      <c r="K865" s="2">
        <f t="shared" si="39"/>
        <v>0</v>
      </c>
    </row>
    <row r="866" spans="11:11">
      <c r="K866" s="2">
        <f t="shared" si="39"/>
        <v>0</v>
      </c>
    </row>
    <row r="867" spans="11:11">
      <c r="K867" s="2">
        <f t="shared" si="39"/>
        <v>0</v>
      </c>
    </row>
    <row r="868" spans="11:11">
      <c r="K868" s="2">
        <f t="shared" si="39"/>
        <v>0</v>
      </c>
    </row>
    <row r="869" spans="11:11">
      <c r="K869" s="2">
        <f t="shared" si="39"/>
        <v>0</v>
      </c>
    </row>
    <row r="870" spans="11:11">
      <c r="K870" s="2">
        <f t="shared" si="39"/>
        <v>0</v>
      </c>
    </row>
    <row r="871" spans="11:11">
      <c r="K871" s="2">
        <f t="shared" si="39"/>
        <v>0</v>
      </c>
    </row>
    <row r="872" spans="11:11">
      <c r="K872" s="2">
        <f t="shared" si="39"/>
        <v>0</v>
      </c>
    </row>
    <row r="873" spans="11:11">
      <c r="K873" s="2">
        <f t="shared" si="39"/>
        <v>0</v>
      </c>
    </row>
    <row r="874" spans="11:11">
      <c r="K874" s="2">
        <f t="shared" si="39"/>
        <v>0</v>
      </c>
    </row>
    <row r="875" spans="11:11">
      <c r="K875" s="2">
        <f t="shared" si="39"/>
        <v>0</v>
      </c>
    </row>
    <row r="876" spans="11:11">
      <c r="K876" s="2">
        <f t="shared" si="39"/>
        <v>0</v>
      </c>
    </row>
    <row r="877" spans="11:11">
      <c r="K877" s="2">
        <f t="shared" si="39"/>
        <v>0</v>
      </c>
    </row>
    <row r="878" spans="11:11">
      <c r="K878" s="2">
        <f t="shared" si="39"/>
        <v>0</v>
      </c>
    </row>
    <row r="879" spans="11:11">
      <c r="K879" s="2">
        <f t="shared" si="39"/>
        <v>0</v>
      </c>
    </row>
    <row r="880" spans="11:11">
      <c r="K880" s="2">
        <f t="shared" si="39"/>
        <v>0</v>
      </c>
    </row>
    <row r="881" spans="11:11">
      <c r="K881" s="2">
        <f t="shared" si="39"/>
        <v>0</v>
      </c>
    </row>
    <row r="882" spans="11:11">
      <c r="K882" s="2">
        <f t="shared" si="39"/>
        <v>0</v>
      </c>
    </row>
    <row r="883" spans="11:11">
      <c r="K883" s="2">
        <f t="shared" si="39"/>
        <v>0</v>
      </c>
    </row>
    <row r="884" spans="11:11">
      <c r="K884" s="2">
        <f t="shared" si="39"/>
        <v>0</v>
      </c>
    </row>
    <row r="885" spans="11:11">
      <c r="K885" s="2">
        <f t="shared" si="39"/>
        <v>0</v>
      </c>
    </row>
    <row r="886" spans="11:11">
      <c r="K886" s="2">
        <f t="shared" si="39"/>
        <v>0</v>
      </c>
    </row>
    <row r="887" spans="11:11">
      <c r="K887" s="2">
        <f t="shared" si="39"/>
        <v>0</v>
      </c>
    </row>
    <row r="888" spans="11:11">
      <c r="K888" s="2">
        <f t="shared" si="39"/>
        <v>0</v>
      </c>
    </row>
    <row r="889" spans="11:11">
      <c r="K889" s="2">
        <f t="shared" si="39"/>
        <v>0</v>
      </c>
    </row>
    <row r="890" spans="11:11">
      <c r="K890" s="2">
        <f t="shared" si="39"/>
        <v>0</v>
      </c>
    </row>
    <row r="891" spans="11:11">
      <c r="K891" s="2">
        <f t="shared" si="39"/>
        <v>0</v>
      </c>
    </row>
    <row r="892" spans="11:11">
      <c r="K892" s="2">
        <f t="shared" si="39"/>
        <v>0</v>
      </c>
    </row>
    <row r="893" spans="11:11">
      <c r="K893" s="2">
        <f t="shared" si="39"/>
        <v>0</v>
      </c>
    </row>
    <row r="894" spans="11:11">
      <c r="K894" s="2">
        <f t="shared" si="39"/>
        <v>0</v>
      </c>
    </row>
    <row r="895" spans="11:11">
      <c r="K895" s="2">
        <f t="shared" ref="K895:K951" si="40">J895-I895</f>
        <v>0</v>
      </c>
    </row>
    <row r="896" spans="11:11">
      <c r="K896" s="2">
        <f t="shared" si="40"/>
        <v>0</v>
      </c>
    </row>
    <row r="897" spans="11:11">
      <c r="K897" s="2">
        <f t="shared" si="40"/>
        <v>0</v>
      </c>
    </row>
    <row r="898" spans="11:11">
      <c r="K898" s="2">
        <f t="shared" si="40"/>
        <v>0</v>
      </c>
    </row>
    <row r="899" spans="11:11">
      <c r="K899" s="2">
        <f t="shared" si="40"/>
        <v>0</v>
      </c>
    </row>
    <row r="900" spans="11:11">
      <c r="K900" s="2">
        <f t="shared" si="40"/>
        <v>0</v>
      </c>
    </row>
    <row r="901" spans="11:11">
      <c r="K901" s="2">
        <f t="shared" si="40"/>
        <v>0</v>
      </c>
    </row>
    <row r="902" spans="11:11">
      <c r="K902" s="2">
        <f t="shared" si="40"/>
        <v>0</v>
      </c>
    </row>
    <row r="903" spans="11:11">
      <c r="K903" s="2">
        <f t="shared" si="40"/>
        <v>0</v>
      </c>
    </row>
    <row r="904" spans="11:11">
      <c r="K904" s="2">
        <f t="shared" si="40"/>
        <v>0</v>
      </c>
    </row>
    <row r="905" spans="11:11">
      <c r="K905" s="2">
        <f t="shared" si="40"/>
        <v>0</v>
      </c>
    </row>
    <row r="906" spans="11:11">
      <c r="K906" s="2">
        <f t="shared" si="40"/>
        <v>0</v>
      </c>
    </row>
    <row r="907" spans="11:11">
      <c r="K907" s="2">
        <f t="shared" si="40"/>
        <v>0</v>
      </c>
    </row>
    <row r="908" spans="11:11">
      <c r="K908" s="2">
        <f t="shared" si="40"/>
        <v>0</v>
      </c>
    </row>
    <row r="909" spans="11:11">
      <c r="K909" s="2">
        <f t="shared" si="40"/>
        <v>0</v>
      </c>
    </row>
    <row r="910" spans="11:11">
      <c r="K910" s="2">
        <f t="shared" si="40"/>
        <v>0</v>
      </c>
    </row>
    <row r="911" spans="11:11">
      <c r="K911" s="2">
        <f t="shared" si="40"/>
        <v>0</v>
      </c>
    </row>
    <row r="912" spans="11:11">
      <c r="K912" s="2">
        <f t="shared" si="40"/>
        <v>0</v>
      </c>
    </row>
    <row r="913" spans="11:11">
      <c r="K913" s="2">
        <f t="shared" si="40"/>
        <v>0</v>
      </c>
    </row>
    <row r="914" spans="11:11">
      <c r="K914" s="2">
        <f t="shared" si="40"/>
        <v>0</v>
      </c>
    </row>
    <row r="915" spans="11:11">
      <c r="K915" s="2">
        <f t="shared" si="40"/>
        <v>0</v>
      </c>
    </row>
    <row r="916" spans="11:11">
      <c r="K916" s="2">
        <f t="shared" si="40"/>
        <v>0</v>
      </c>
    </row>
    <row r="917" spans="11:11">
      <c r="K917" s="2">
        <f t="shared" si="40"/>
        <v>0</v>
      </c>
    </row>
    <row r="918" spans="11:11">
      <c r="K918" s="2">
        <f t="shared" si="40"/>
        <v>0</v>
      </c>
    </row>
    <row r="919" spans="11:11">
      <c r="K919" s="2">
        <f t="shared" si="40"/>
        <v>0</v>
      </c>
    </row>
    <row r="920" spans="11:11">
      <c r="K920" s="2">
        <f t="shared" si="40"/>
        <v>0</v>
      </c>
    </row>
    <row r="921" spans="11:11">
      <c r="K921" s="2">
        <f t="shared" si="40"/>
        <v>0</v>
      </c>
    </row>
    <row r="922" spans="11:11">
      <c r="K922" s="2">
        <f t="shared" si="40"/>
        <v>0</v>
      </c>
    </row>
    <row r="923" spans="11:11">
      <c r="K923" s="2">
        <f t="shared" si="40"/>
        <v>0</v>
      </c>
    </row>
    <row r="924" spans="11:11">
      <c r="K924" s="2">
        <f t="shared" si="40"/>
        <v>0</v>
      </c>
    </row>
    <row r="925" spans="11:11">
      <c r="K925" s="2">
        <f t="shared" si="40"/>
        <v>0</v>
      </c>
    </row>
    <row r="926" spans="11:11">
      <c r="K926" s="2">
        <f t="shared" si="40"/>
        <v>0</v>
      </c>
    </row>
    <row r="927" spans="11:11">
      <c r="K927" s="2">
        <f t="shared" si="40"/>
        <v>0</v>
      </c>
    </row>
    <row r="928" spans="11:11">
      <c r="K928" s="2">
        <f t="shared" si="40"/>
        <v>0</v>
      </c>
    </row>
    <row r="929" spans="11:11">
      <c r="K929" s="2">
        <f t="shared" si="40"/>
        <v>0</v>
      </c>
    </row>
    <row r="930" spans="11:11">
      <c r="K930" s="2">
        <f t="shared" si="40"/>
        <v>0</v>
      </c>
    </row>
    <row r="931" spans="11:11">
      <c r="K931" s="2">
        <f t="shared" si="40"/>
        <v>0</v>
      </c>
    </row>
    <row r="932" spans="11:11">
      <c r="K932" s="2">
        <f t="shared" si="40"/>
        <v>0</v>
      </c>
    </row>
    <row r="933" spans="11:11">
      <c r="K933" s="2">
        <f t="shared" si="40"/>
        <v>0</v>
      </c>
    </row>
    <row r="934" spans="11:11">
      <c r="K934" s="2">
        <f t="shared" si="40"/>
        <v>0</v>
      </c>
    </row>
    <row r="935" spans="11:11">
      <c r="K935" s="2">
        <f t="shared" si="40"/>
        <v>0</v>
      </c>
    </row>
    <row r="936" spans="11:11">
      <c r="K936" s="2">
        <f t="shared" si="40"/>
        <v>0</v>
      </c>
    </row>
    <row r="937" spans="11:11">
      <c r="K937" s="2">
        <f t="shared" si="40"/>
        <v>0</v>
      </c>
    </row>
    <row r="938" spans="11:11">
      <c r="K938" s="2">
        <f t="shared" si="40"/>
        <v>0</v>
      </c>
    </row>
    <row r="939" spans="11:11">
      <c r="K939" s="2">
        <f t="shared" si="40"/>
        <v>0</v>
      </c>
    </row>
    <row r="940" spans="11:11">
      <c r="K940" s="2">
        <f t="shared" si="40"/>
        <v>0</v>
      </c>
    </row>
    <row r="941" spans="11:11">
      <c r="K941" s="2">
        <f t="shared" si="40"/>
        <v>0</v>
      </c>
    </row>
    <row r="942" spans="11:11">
      <c r="K942" s="2">
        <f t="shared" si="40"/>
        <v>0</v>
      </c>
    </row>
    <row r="943" spans="11:11">
      <c r="K943" s="2">
        <f t="shared" si="40"/>
        <v>0</v>
      </c>
    </row>
    <row r="944" spans="11:11">
      <c r="K944" s="2">
        <f t="shared" si="40"/>
        <v>0</v>
      </c>
    </row>
    <row r="945" spans="11:11">
      <c r="K945" s="2">
        <f t="shared" si="40"/>
        <v>0</v>
      </c>
    </row>
    <row r="946" spans="11:11">
      <c r="K946" s="2">
        <f t="shared" si="40"/>
        <v>0</v>
      </c>
    </row>
    <row r="947" spans="11:11">
      <c r="K947" s="2">
        <f t="shared" si="40"/>
        <v>0</v>
      </c>
    </row>
    <row r="948" spans="11:11">
      <c r="K948" s="2">
        <f t="shared" si="40"/>
        <v>0</v>
      </c>
    </row>
    <row r="949" spans="11:11">
      <c r="K949" s="2">
        <f t="shared" si="40"/>
        <v>0</v>
      </c>
    </row>
    <row r="950" spans="11:11">
      <c r="K950" s="2">
        <f t="shared" si="40"/>
        <v>0</v>
      </c>
    </row>
    <row r="951" spans="11:11">
      <c r="K951" s="2">
        <f t="shared" si="40"/>
        <v>0</v>
      </c>
    </row>
    <row r="3809" spans="14:14">
      <c r="N3809" s="53" t="s">
        <v>891</v>
      </c>
    </row>
    <row r="3855" spans="5:5">
      <c r="E3855" s="10" t="s">
        <v>892</v>
      </c>
    </row>
    <row r="3873" spans="4:5">
      <c r="D3873" s="1" t="s">
        <v>893</v>
      </c>
    </row>
    <row r="3874" spans="4:5">
      <c r="D3874" s="1" t="s">
        <v>894</v>
      </c>
      <c r="E3874" s="10" t="s">
        <v>895</v>
      </c>
    </row>
    <row r="3884" spans="4:5">
      <c r="D3884" s="1" t="s">
        <v>891</v>
      </c>
    </row>
    <row r="4029" spans="4:4">
      <c r="D4029" s="1" t="s">
        <v>896</v>
      </c>
    </row>
    <row r="4034" spans="4:4">
      <c r="D4034" s="1" t="s">
        <v>897</v>
      </c>
    </row>
    <row r="4040" spans="4:4">
      <c r="D4040" s="1" t="s">
        <v>898</v>
      </c>
    </row>
  </sheetData>
  <autoFilter ref="A1:P951" xr:uid="{7BD02C1F-E458-4B9C-AEA9-F0E41000B5C4}"/>
  <mergeCells count="3">
    <mergeCell ref="A224:P224"/>
    <mergeCell ref="A181:P181"/>
    <mergeCell ref="A235:P235"/>
  </mergeCells>
  <phoneticPr fontId="17" type="noConversion"/>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4">
        <x14:dataValidation type="list" showInputMessage="1" xr:uid="{CB5A037C-D6F0-4ABF-824E-8A53C4F77BE5}">
          <x14:formula1>
            <xm:f>Liste!$J$2:$J$29</xm:f>
          </x14:formula1>
          <xm:sqref>R47</xm:sqref>
        </x14:dataValidation>
        <x14:dataValidation type="list" showInputMessage="1" xr:uid="{26F7D693-A7CE-4067-A685-09A1B887B0B7}">
          <x14:formula1>
            <xm:f>Liste!$G$2:$G$124</xm:f>
          </x14:formula1>
          <xm:sqref>Q47 O166 O47 O210</xm:sqref>
        </x14:dataValidation>
        <x14:dataValidation type="list" allowBlank="1" showInputMessage="1" showErrorMessage="1" xr:uid="{99017044-C3CF-4402-A88B-0B19293C94AD}">
          <x14:formula1>
            <xm:f>Liste!$C$2:$C$80</xm:f>
          </x14:formula1>
          <xm:sqref>B182:B223 B1:B180 B225:B234 B236:B1048576</xm:sqref>
        </x14:dataValidation>
        <x14:dataValidation type="list" allowBlank="1" showInputMessage="1" showErrorMessage="1" xr:uid="{BAB738B9-2F1F-4BFE-BAD1-7BCACB1FDA69}">
          <x14:formula1>
            <xm:f>Liste!$A$2:$A$6</xm:f>
          </x14:formula1>
          <xm:sqref>A182:A223 A1:A180 A225:A234 A236:A1048576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75C2-F6C1-4A1B-9E44-A6AF21397CB4}">
  <sheetPr>
    <tabColor rgb="FFB7C6E7"/>
  </sheetPr>
  <dimension ref="A1:G6722"/>
  <sheetViews>
    <sheetView tabSelected="1" zoomScale="85" zoomScaleNormal="85" workbookViewId="0">
      <pane ySplit="1" topLeftCell="A1728" activePane="bottomLeft" state="frozen"/>
      <selection pane="bottomLeft" activeCell="A1728" sqref="A1728"/>
    </sheetView>
  </sheetViews>
  <sheetFormatPr defaultColWidth="8.6640625" defaultRowHeight="15"/>
  <cols>
    <col min="1" max="1" width="10.5546875" style="76" customWidth="1"/>
    <col min="2" max="2" width="8.77734375" style="76" bestFit="1" customWidth="1"/>
    <col min="3" max="3" width="14.109375" style="76" bestFit="1" customWidth="1"/>
    <col min="4" max="4" width="14.109375" style="76" customWidth="1"/>
    <col min="5" max="5" width="75" style="103" customWidth="1"/>
    <col min="6" max="6" width="33.21875" style="103" customWidth="1"/>
    <col min="7" max="7" width="80.88671875" style="76" customWidth="1"/>
    <col min="8" max="16384" width="8.6640625" style="76"/>
  </cols>
  <sheetData>
    <row r="1" spans="1:7" s="75" customFormat="1" ht="16.5">
      <c r="A1" s="75" t="s">
        <v>2</v>
      </c>
      <c r="B1" s="75" t="s">
        <v>899</v>
      </c>
      <c r="C1" s="76" t="s">
        <v>900</v>
      </c>
      <c r="D1" s="212" t="s">
        <v>901</v>
      </c>
      <c r="E1" s="75" t="s">
        <v>902</v>
      </c>
      <c r="F1" s="75" t="s">
        <v>903</v>
      </c>
      <c r="G1" s="75" t="s">
        <v>904</v>
      </c>
    </row>
    <row r="2" spans="1:7">
      <c r="A2" s="77">
        <v>45960</v>
      </c>
      <c r="B2" s="78">
        <v>45960.573976504631</v>
      </c>
      <c r="C2" s="76" t="s">
        <v>905</v>
      </c>
      <c r="D2" s="210" t="s">
        <v>906</v>
      </c>
      <c r="E2" s="79"/>
      <c r="F2" s="79"/>
      <c r="G2" s="76" t="s">
        <v>907</v>
      </c>
    </row>
    <row r="3" spans="1:7">
      <c r="A3" s="77">
        <v>45960</v>
      </c>
      <c r="B3" s="87">
        <f t="shared" ref="B3:B47" ca="1" si="0">IF(C3&lt;&gt;0,IF(B3=0,NOW(),B3),)</f>
        <v>45967.689501851855</v>
      </c>
      <c r="C3" s="76" t="s">
        <v>905</v>
      </c>
      <c r="D3" s="76" t="s">
        <v>902</v>
      </c>
      <c r="E3" s="79"/>
      <c r="F3" s="79"/>
      <c r="G3" s="76" t="s">
        <v>908</v>
      </c>
    </row>
    <row r="4" spans="1:7">
      <c r="A4" s="77">
        <v>45960</v>
      </c>
      <c r="B4" s="87">
        <f t="shared" ca="1" si="0"/>
        <v>45967.689501851855</v>
      </c>
      <c r="C4" s="76" t="s">
        <v>905</v>
      </c>
      <c r="D4" s="210" t="s">
        <v>909</v>
      </c>
      <c r="E4" s="79"/>
      <c r="F4" s="79"/>
      <c r="G4" s="81" t="s">
        <v>910</v>
      </c>
    </row>
    <row r="5" spans="1:7">
      <c r="A5" s="77">
        <v>45960</v>
      </c>
      <c r="B5" s="87">
        <f t="shared" ca="1" si="0"/>
        <v>45967.689501851855</v>
      </c>
      <c r="C5" s="76" t="s">
        <v>905</v>
      </c>
      <c r="D5" s="76" t="s">
        <v>902</v>
      </c>
      <c r="E5" s="29" t="s">
        <v>911</v>
      </c>
      <c r="F5" s="79" t="s">
        <v>912</v>
      </c>
      <c r="G5" s="76" t="s">
        <v>913</v>
      </c>
    </row>
    <row r="6" spans="1:7">
      <c r="A6" s="77">
        <v>45960</v>
      </c>
      <c r="B6" s="87">
        <f t="shared" ca="1" si="0"/>
        <v>45967.689501851855</v>
      </c>
      <c r="C6" s="76" t="s">
        <v>905</v>
      </c>
      <c r="D6" s="76" t="s">
        <v>902</v>
      </c>
      <c r="E6" s="79" t="s">
        <v>914</v>
      </c>
      <c r="F6" s="79"/>
    </row>
    <row r="7" spans="1:7">
      <c r="A7" s="77">
        <v>45960</v>
      </c>
      <c r="B7" s="87">
        <f t="shared" ca="1" si="0"/>
        <v>45967.689501851855</v>
      </c>
      <c r="C7" s="76" t="s">
        <v>905</v>
      </c>
      <c r="D7" s="76" t="s">
        <v>902</v>
      </c>
      <c r="E7" s="79" t="s">
        <v>915</v>
      </c>
      <c r="F7" s="79"/>
    </row>
    <row r="8" spans="1:7">
      <c r="A8" s="77">
        <v>45960</v>
      </c>
      <c r="B8" s="87">
        <f t="shared" ca="1" si="0"/>
        <v>45967.689501851855</v>
      </c>
      <c r="C8" s="76" t="s">
        <v>905</v>
      </c>
      <c r="D8" s="76" t="s">
        <v>902</v>
      </c>
      <c r="E8" s="79" t="s">
        <v>911</v>
      </c>
      <c r="F8" s="79" t="s">
        <v>912</v>
      </c>
      <c r="G8" s="76" t="s">
        <v>913</v>
      </c>
    </row>
    <row r="9" spans="1:7">
      <c r="A9" s="77">
        <v>45960</v>
      </c>
      <c r="B9" s="87">
        <f t="shared" ca="1" si="0"/>
        <v>45967.689501851855</v>
      </c>
      <c r="C9" s="76" t="s">
        <v>905</v>
      </c>
      <c r="D9" s="76" t="s">
        <v>902</v>
      </c>
      <c r="E9" s="79" t="s">
        <v>916</v>
      </c>
      <c r="F9" s="79"/>
    </row>
    <row r="10" spans="1:7">
      <c r="A10" s="77">
        <v>45960</v>
      </c>
      <c r="B10" s="87">
        <f t="shared" ca="1" si="0"/>
        <v>45967.689501851855</v>
      </c>
      <c r="C10" s="76" t="s">
        <v>905</v>
      </c>
      <c r="D10" s="76" t="s">
        <v>902</v>
      </c>
      <c r="E10" s="79" t="s">
        <v>917</v>
      </c>
      <c r="F10" s="79"/>
    </row>
    <row r="11" spans="1:7">
      <c r="A11" s="77">
        <v>45960</v>
      </c>
      <c r="B11" s="87">
        <f t="shared" ca="1" si="0"/>
        <v>45967.689501851855</v>
      </c>
      <c r="C11" s="76" t="s">
        <v>905</v>
      </c>
      <c r="D11" s="76" t="s">
        <v>902</v>
      </c>
      <c r="E11" s="79" t="s">
        <v>918</v>
      </c>
      <c r="F11" s="79"/>
    </row>
    <row r="12" spans="1:7">
      <c r="A12" s="77">
        <v>45960</v>
      </c>
      <c r="B12" s="87">
        <f t="shared" ca="1" si="0"/>
        <v>45967.689501851855</v>
      </c>
      <c r="C12" s="76" t="s">
        <v>905</v>
      </c>
      <c r="D12" s="76" t="s">
        <v>902</v>
      </c>
      <c r="E12" s="79" t="s">
        <v>919</v>
      </c>
      <c r="F12" s="79"/>
    </row>
    <row r="13" spans="1:7">
      <c r="A13" s="77">
        <v>45960</v>
      </c>
      <c r="B13" s="87">
        <f t="shared" ca="1" si="0"/>
        <v>45967.689501851855</v>
      </c>
      <c r="C13" s="76" t="s">
        <v>905</v>
      </c>
      <c r="D13" s="76" t="s">
        <v>902</v>
      </c>
      <c r="E13" s="79" t="s">
        <v>920</v>
      </c>
      <c r="F13" s="79"/>
    </row>
    <row r="14" spans="1:7">
      <c r="A14" s="77">
        <v>45960</v>
      </c>
      <c r="B14" s="87">
        <f t="shared" ca="1" si="0"/>
        <v>45967.689501851855</v>
      </c>
      <c r="C14" s="76" t="s">
        <v>905</v>
      </c>
      <c r="D14" s="76" t="s">
        <v>902</v>
      </c>
      <c r="E14" s="79" t="s">
        <v>921</v>
      </c>
      <c r="F14" s="79"/>
    </row>
    <row r="15" spans="1:7">
      <c r="A15" s="77">
        <v>45960</v>
      </c>
      <c r="B15" s="87">
        <f t="shared" ca="1" si="0"/>
        <v>45967.689501851855</v>
      </c>
      <c r="C15" s="76" t="s">
        <v>905</v>
      </c>
      <c r="D15" s="76" t="s">
        <v>902</v>
      </c>
      <c r="E15" s="79"/>
      <c r="F15" s="79"/>
    </row>
    <row r="16" spans="1:7">
      <c r="A16" s="77">
        <v>45960</v>
      </c>
      <c r="B16" s="87">
        <f t="shared" ca="1" si="0"/>
        <v>45967.689501851855</v>
      </c>
      <c r="C16" s="76" t="s">
        <v>905</v>
      </c>
      <c r="D16" s="210" t="s">
        <v>922</v>
      </c>
      <c r="E16" s="79" t="s">
        <v>923</v>
      </c>
      <c r="F16" s="79"/>
      <c r="G16" s="81" t="s">
        <v>910</v>
      </c>
    </row>
    <row r="17" spans="1:7">
      <c r="A17" s="77">
        <v>45960</v>
      </c>
      <c r="B17" s="87">
        <f t="shared" ca="1" si="0"/>
        <v>45967.689501851855</v>
      </c>
      <c r="C17" s="76" t="s">
        <v>924</v>
      </c>
      <c r="D17" s="210" t="s">
        <v>909</v>
      </c>
      <c r="E17" s="79"/>
      <c r="F17" s="79"/>
      <c r="G17" s="81" t="s">
        <v>910</v>
      </c>
    </row>
    <row r="18" spans="1:7">
      <c r="A18" s="77">
        <v>45960</v>
      </c>
      <c r="B18" s="87">
        <f t="shared" ca="1" si="0"/>
        <v>45967.689501851855</v>
      </c>
      <c r="C18" s="76" t="s">
        <v>924</v>
      </c>
      <c r="D18" s="76" t="s">
        <v>902</v>
      </c>
      <c r="E18" s="79" t="s">
        <v>925</v>
      </c>
      <c r="F18" s="79"/>
    </row>
    <row r="19" spans="1:7">
      <c r="A19" s="77">
        <v>45960</v>
      </c>
      <c r="B19" s="87">
        <f t="shared" ca="1" si="0"/>
        <v>45967.689501851855</v>
      </c>
      <c r="C19" s="76" t="s">
        <v>924</v>
      </c>
      <c r="D19" s="76" t="s">
        <v>902</v>
      </c>
      <c r="E19" s="79" t="s">
        <v>920</v>
      </c>
      <c r="F19" s="79"/>
    </row>
    <row r="20" spans="1:7">
      <c r="A20" s="77">
        <v>45960</v>
      </c>
      <c r="B20" s="87">
        <f t="shared" ca="1" si="0"/>
        <v>45967.689501851855</v>
      </c>
      <c r="C20" s="76" t="s">
        <v>924</v>
      </c>
      <c r="D20" s="76" t="s">
        <v>902</v>
      </c>
      <c r="E20" s="79" t="s">
        <v>926</v>
      </c>
      <c r="F20" s="79"/>
    </row>
    <row r="21" spans="1:7">
      <c r="A21" s="77">
        <v>45960</v>
      </c>
      <c r="B21" s="87">
        <f t="shared" ca="1" si="0"/>
        <v>45967.689501851855</v>
      </c>
      <c r="C21" s="76" t="s">
        <v>924</v>
      </c>
      <c r="D21" s="76" t="s">
        <v>902</v>
      </c>
      <c r="E21" s="79" t="s">
        <v>925</v>
      </c>
      <c r="F21" s="79"/>
    </row>
    <row r="22" spans="1:7">
      <c r="A22" s="77">
        <v>45960</v>
      </c>
      <c r="B22" s="87">
        <f t="shared" ca="1" si="0"/>
        <v>45967.689501851855</v>
      </c>
      <c r="C22" s="76" t="s">
        <v>924</v>
      </c>
      <c r="D22" s="76" t="s">
        <v>902</v>
      </c>
      <c r="E22" s="79" t="s">
        <v>927</v>
      </c>
      <c r="F22" s="79"/>
    </row>
    <row r="23" spans="1:7">
      <c r="A23" s="77">
        <v>45960</v>
      </c>
      <c r="B23" s="87">
        <f t="shared" ca="1" si="0"/>
        <v>45967.689501851855</v>
      </c>
      <c r="C23" s="76" t="s">
        <v>924</v>
      </c>
      <c r="D23" s="76" t="s">
        <v>902</v>
      </c>
      <c r="E23" s="79" t="s">
        <v>928</v>
      </c>
      <c r="F23" s="79"/>
    </row>
    <row r="24" spans="1:7">
      <c r="A24" s="77">
        <v>45960</v>
      </c>
      <c r="B24" s="87">
        <f t="shared" ca="1" si="0"/>
        <v>45967.689501851855</v>
      </c>
      <c r="C24" s="76" t="s">
        <v>924</v>
      </c>
      <c r="D24" s="76" t="s">
        <v>902</v>
      </c>
      <c r="E24" s="79" t="s">
        <v>929</v>
      </c>
      <c r="F24" s="79"/>
    </row>
    <row r="25" spans="1:7">
      <c r="A25" s="77">
        <v>45960</v>
      </c>
      <c r="B25" s="87">
        <f t="shared" ca="1" si="0"/>
        <v>45967.689501851855</v>
      </c>
      <c r="C25" s="76" t="s">
        <v>924</v>
      </c>
      <c r="D25" s="76" t="s">
        <v>902</v>
      </c>
      <c r="E25" s="79" t="s">
        <v>930</v>
      </c>
      <c r="F25" s="79"/>
    </row>
    <row r="26" spans="1:7">
      <c r="A26" s="77">
        <v>45960</v>
      </c>
      <c r="B26" s="87">
        <f t="shared" ca="1" si="0"/>
        <v>45967.689501851855</v>
      </c>
      <c r="C26" s="76" t="s">
        <v>924</v>
      </c>
      <c r="D26" s="76" t="s">
        <v>902</v>
      </c>
      <c r="E26" s="79" t="s">
        <v>931</v>
      </c>
      <c r="F26" s="79"/>
    </row>
    <row r="27" spans="1:7">
      <c r="A27" s="77">
        <v>45960</v>
      </c>
      <c r="B27" s="87">
        <f t="shared" ca="1" si="0"/>
        <v>45967.689501851855</v>
      </c>
      <c r="C27" s="76" t="s">
        <v>924</v>
      </c>
      <c r="D27" s="76" t="s">
        <v>902</v>
      </c>
      <c r="E27" s="79" t="s">
        <v>932</v>
      </c>
      <c r="F27" s="79"/>
    </row>
    <row r="28" spans="1:7">
      <c r="A28" s="77">
        <v>45960</v>
      </c>
      <c r="B28" s="87">
        <f t="shared" ca="1" si="0"/>
        <v>45967.689501851855</v>
      </c>
      <c r="C28" s="76" t="s">
        <v>924</v>
      </c>
      <c r="D28" s="76" t="s">
        <v>902</v>
      </c>
      <c r="E28" s="79" t="s">
        <v>933</v>
      </c>
      <c r="F28" s="79"/>
    </row>
    <row r="29" spans="1:7">
      <c r="A29" s="77">
        <v>45960</v>
      </c>
      <c r="B29" s="87">
        <f t="shared" ca="1" si="0"/>
        <v>45967.689501851855</v>
      </c>
      <c r="C29" s="76" t="s">
        <v>924</v>
      </c>
      <c r="D29" s="76" t="s">
        <v>902</v>
      </c>
      <c r="E29" s="79" t="s">
        <v>934</v>
      </c>
      <c r="F29" s="79"/>
    </row>
    <row r="30" spans="1:7">
      <c r="A30" s="77">
        <v>45960</v>
      </c>
      <c r="B30" s="87">
        <f t="shared" ca="1" si="0"/>
        <v>45967.689501851855</v>
      </c>
      <c r="C30" s="76" t="s">
        <v>924</v>
      </c>
      <c r="D30" s="76" t="s">
        <v>902</v>
      </c>
      <c r="E30" s="79" t="s">
        <v>935</v>
      </c>
      <c r="F30" s="79"/>
    </row>
    <row r="31" spans="1:7">
      <c r="A31" s="77">
        <v>45960</v>
      </c>
      <c r="B31" s="87">
        <f t="shared" ca="1" si="0"/>
        <v>45967.689501851855</v>
      </c>
      <c r="C31" s="76" t="s">
        <v>924</v>
      </c>
      <c r="D31" s="76" t="s">
        <v>902</v>
      </c>
      <c r="E31" s="79" t="s">
        <v>936</v>
      </c>
      <c r="F31" s="79"/>
    </row>
    <row r="32" spans="1:7">
      <c r="A32" s="77">
        <v>45960</v>
      </c>
      <c r="B32" s="87">
        <f t="shared" ca="1" si="0"/>
        <v>45967.689501851855</v>
      </c>
      <c r="C32" s="76" t="s">
        <v>924</v>
      </c>
      <c r="D32" s="76" t="s">
        <v>902</v>
      </c>
      <c r="E32" s="79" t="s">
        <v>937</v>
      </c>
      <c r="F32" s="79"/>
    </row>
    <row r="33" spans="1:6">
      <c r="A33" s="77">
        <v>45960</v>
      </c>
      <c r="B33" s="87">
        <f t="shared" ca="1" si="0"/>
        <v>45967.689501851855</v>
      </c>
      <c r="C33" s="76" t="s">
        <v>924</v>
      </c>
      <c r="D33" s="76" t="s">
        <v>902</v>
      </c>
      <c r="E33" s="79" t="s">
        <v>938</v>
      </c>
      <c r="F33" s="79"/>
    </row>
    <row r="34" spans="1:6">
      <c r="A34" s="77">
        <v>45960</v>
      </c>
      <c r="B34" s="87">
        <f t="shared" ca="1" si="0"/>
        <v>45967.689501851855</v>
      </c>
      <c r="C34" s="76" t="s">
        <v>924</v>
      </c>
      <c r="D34" s="76" t="s">
        <v>902</v>
      </c>
      <c r="E34" s="79" t="s">
        <v>939</v>
      </c>
      <c r="F34" s="79"/>
    </row>
    <row r="35" spans="1:6">
      <c r="A35" s="77">
        <v>45960</v>
      </c>
      <c r="B35" s="87">
        <f t="shared" ca="1" si="0"/>
        <v>45967.689501851855</v>
      </c>
      <c r="C35" s="76" t="s">
        <v>924</v>
      </c>
      <c r="D35" s="76" t="s">
        <v>902</v>
      </c>
      <c r="E35" s="79" t="s">
        <v>940</v>
      </c>
      <c r="F35" s="79"/>
    </row>
    <row r="36" spans="1:6">
      <c r="A36" s="77">
        <v>45960</v>
      </c>
      <c r="B36" s="87">
        <f t="shared" ca="1" si="0"/>
        <v>45967.689501851855</v>
      </c>
      <c r="C36" s="76" t="s">
        <v>924</v>
      </c>
      <c r="D36" s="76" t="s">
        <v>902</v>
      </c>
      <c r="E36" s="79" t="s">
        <v>938</v>
      </c>
      <c r="F36" s="79"/>
    </row>
    <row r="37" spans="1:6">
      <c r="A37" s="77">
        <v>45960</v>
      </c>
      <c r="B37" s="87">
        <f t="shared" ca="1" si="0"/>
        <v>45967.689501851855</v>
      </c>
      <c r="C37" s="76" t="s">
        <v>924</v>
      </c>
      <c r="D37" s="76" t="s">
        <v>902</v>
      </c>
      <c r="E37" s="79" t="s">
        <v>941</v>
      </c>
      <c r="F37" s="79"/>
    </row>
    <row r="38" spans="1:6">
      <c r="A38" s="77">
        <v>45960</v>
      </c>
      <c r="B38" s="87">
        <f t="shared" ca="1" si="0"/>
        <v>45967.689501851855</v>
      </c>
      <c r="C38" s="76" t="s">
        <v>924</v>
      </c>
      <c r="D38" s="76" t="s">
        <v>902</v>
      </c>
      <c r="E38" s="79" t="s">
        <v>942</v>
      </c>
      <c r="F38" s="79"/>
    </row>
    <row r="39" spans="1:6">
      <c r="A39" s="77">
        <v>45960</v>
      </c>
      <c r="B39" s="87">
        <f t="shared" ca="1" si="0"/>
        <v>45967.689501851855</v>
      </c>
      <c r="C39" s="76" t="s">
        <v>924</v>
      </c>
      <c r="D39" s="76" t="s">
        <v>902</v>
      </c>
      <c r="E39" s="79" t="s">
        <v>943</v>
      </c>
      <c r="F39" s="79"/>
    </row>
    <row r="40" spans="1:6">
      <c r="A40" s="77">
        <v>45960</v>
      </c>
      <c r="B40" s="87">
        <f t="shared" ca="1" si="0"/>
        <v>45967.689501851855</v>
      </c>
      <c r="C40" s="76" t="s">
        <v>924</v>
      </c>
      <c r="D40" s="76" t="s">
        <v>902</v>
      </c>
      <c r="E40" s="79" t="s">
        <v>944</v>
      </c>
      <c r="F40" s="79"/>
    </row>
    <row r="41" spans="1:6">
      <c r="A41" s="77">
        <v>45960</v>
      </c>
      <c r="B41" s="87">
        <f t="shared" ca="1" si="0"/>
        <v>45967.689501851855</v>
      </c>
      <c r="C41" s="76" t="s">
        <v>924</v>
      </c>
      <c r="D41" s="76" t="s">
        <v>902</v>
      </c>
      <c r="E41" s="79" t="s">
        <v>938</v>
      </c>
      <c r="F41" s="79"/>
    </row>
    <row r="42" spans="1:6">
      <c r="A42" s="77">
        <v>45960</v>
      </c>
      <c r="B42" s="87">
        <f t="shared" ca="1" si="0"/>
        <v>45967.689501851855</v>
      </c>
      <c r="C42" s="76" t="s">
        <v>924</v>
      </c>
      <c r="D42" s="76" t="s">
        <v>902</v>
      </c>
      <c r="E42" s="79" t="s">
        <v>945</v>
      </c>
      <c r="F42" s="79"/>
    </row>
    <row r="43" spans="1:6">
      <c r="A43" s="77">
        <v>45960</v>
      </c>
      <c r="B43" s="87">
        <f t="shared" ca="1" si="0"/>
        <v>45967.689501851855</v>
      </c>
      <c r="C43" s="76" t="s">
        <v>924</v>
      </c>
      <c r="D43" s="76" t="s">
        <v>902</v>
      </c>
      <c r="E43" s="79" t="s">
        <v>946</v>
      </c>
      <c r="F43" s="79"/>
    </row>
    <row r="44" spans="1:6">
      <c r="A44" s="77">
        <v>45960</v>
      </c>
      <c r="B44" s="87">
        <f t="shared" ca="1" si="0"/>
        <v>45967.689501851855</v>
      </c>
      <c r="C44" s="76" t="s">
        <v>924</v>
      </c>
      <c r="D44" s="76" t="s">
        <v>902</v>
      </c>
      <c r="E44" s="79" t="s">
        <v>947</v>
      </c>
      <c r="F44" s="79"/>
    </row>
    <row r="45" spans="1:6">
      <c r="A45" s="77">
        <v>45960</v>
      </c>
      <c r="B45" s="87">
        <f t="shared" ca="1" si="0"/>
        <v>45967.689501851855</v>
      </c>
      <c r="C45" s="76" t="s">
        <v>924</v>
      </c>
      <c r="D45" s="76" t="s">
        <v>902</v>
      </c>
      <c r="E45" s="79" t="s">
        <v>938</v>
      </c>
      <c r="F45" s="79"/>
    </row>
    <row r="46" spans="1:6">
      <c r="A46" s="77">
        <v>45960</v>
      </c>
      <c r="B46" s="87">
        <f t="shared" ca="1" si="0"/>
        <v>45967.689501851855</v>
      </c>
      <c r="C46" s="76" t="s">
        <v>924</v>
      </c>
      <c r="D46" s="76" t="s">
        <v>902</v>
      </c>
      <c r="E46" s="79" t="s">
        <v>948</v>
      </c>
      <c r="F46" s="79"/>
    </row>
    <row r="47" spans="1:6">
      <c r="A47" s="77">
        <v>45960</v>
      </c>
      <c r="B47" s="87">
        <f t="shared" ca="1" si="0"/>
        <v>45967.689501851855</v>
      </c>
      <c r="C47" s="76" t="s">
        <v>924</v>
      </c>
      <c r="D47" s="76" t="s">
        <v>902</v>
      </c>
      <c r="E47" s="79" t="s">
        <v>938</v>
      </c>
      <c r="F47" s="79"/>
    </row>
    <row r="48" spans="1:6">
      <c r="A48" s="77">
        <v>45960</v>
      </c>
      <c r="B48" s="80">
        <f t="shared" ref="B48:B103" ca="1" si="1">IF(C48&lt;&gt;0,IF(B48=0,NOW(),B48),)</f>
        <v>45960.847811689811</v>
      </c>
      <c r="C48" s="76" t="s">
        <v>924</v>
      </c>
      <c r="D48" s="210" t="s">
        <v>922</v>
      </c>
      <c r="E48" s="79"/>
      <c r="F48" s="79"/>
    </row>
    <row r="49" spans="1:7">
      <c r="A49" s="77">
        <v>45960</v>
      </c>
      <c r="B49" s="80">
        <f ca="1">IF(C49&lt;&gt;0,IF(B49=0,NOW(),B49),)</f>
        <v>45960.934452430556</v>
      </c>
      <c r="C49" s="76" t="s">
        <v>949</v>
      </c>
      <c r="D49" s="210" t="s">
        <v>906</v>
      </c>
      <c r="E49" s="79"/>
      <c r="F49" s="79"/>
      <c r="G49" s="76" t="s">
        <v>950</v>
      </c>
    </row>
    <row r="50" spans="1:7">
      <c r="A50" s="77">
        <v>45960</v>
      </c>
      <c r="B50" s="80">
        <f t="shared" ca="1" si="1"/>
        <v>45960.946916666668</v>
      </c>
      <c r="C50" s="76" t="s">
        <v>949</v>
      </c>
      <c r="E50" s="79"/>
      <c r="F50" s="79"/>
      <c r="G50" s="76" t="s">
        <v>951</v>
      </c>
    </row>
    <row r="51" spans="1:7">
      <c r="A51" s="77">
        <v>45960</v>
      </c>
      <c r="B51" s="80">
        <f t="shared" ca="1" si="1"/>
        <v>45960.971710069447</v>
      </c>
      <c r="C51" s="76" t="s">
        <v>949</v>
      </c>
      <c r="E51" s="79"/>
      <c r="F51" s="79"/>
      <c r="G51" s="76" t="s">
        <v>952</v>
      </c>
    </row>
    <row r="52" spans="1:7">
      <c r="A52" s="77">
        <v>45960</v>
      </c>
      <c r="B52" s="80">
        <f t="shared" ca="1" si="1"/>
        <v>45960.980715625003</v>
      </c>
      <c r="C52" s="76" t="s">
        <v>949</v>
      </c>
      <c r="D52" s="210" t="s">
        <v>909</v>
      </c>
      <c r="E52" s="79"/>
      <c r="F52" s="79"/>
    </row>
    <row r="53" spans="1:7">
      <c r="A53" s="77">
        <v>45960</v>
      </c>
      <c r="B53" s="80">
        <f t="shared" ca="1" si="1"/>
        <v>45960.982853587964</v>
      </c>
      <c r="C53" s="76" t="s">
        <v>949</v>
      </c>
      <c r="D53" s="76" t="s">
        <v>902</v>
      </c>
      <c r="E53" s="79" t="s">
        <v>953</v>
      </c>
      <c r="F53" s="79"/>
    </row>
    <row r="54" spans="1:7">
      <c r="A54" s="77">
        <v>45960</v>
      </c>
      <c r="B54" s="80">
        <f t="shared" ca="1" si="1"/>
        <v>45960.983306944443</v>
      </c>
      <c r="C54" s="76" t="s">
        <v>949</v>
      </c>
      <c r="D54" s="76" t="s">
        <v>902</v>
      </c>
      <c r="E54" s="79" t="s">
        <v>954</v>
      </c>
      <c r="F54" s="79"/>
    </row>
    <row r="55" spans="1:7">
      <c r="A55" s="77">
        <v>45960</v>
      </c>
      <c r="B55" s="80">
        <f t="shared" ca="1" si="1"/>
        <v>45960.986530555558</v>
      </c>
      <c r="C55" s="76" t="s">
        <v>949</v>
      </c>
      <c r="D55" s="76" t="s">
        <v>902</v>
      </c>
      <c r="E55" s="79" t="s">
        <v>946</v>
      </c>
      <c r="F55" s="79"/>
    </row>
    <row r="56" spans="1:7">
      <c r="A56" s="77">
        <v>45960</v>
      </c>
      <c r="B56" s="80">
        <f t="shared" ca="1" si="1"/>
        <v>45960.990184374998</v>
      </c>
      <c r="C56" s="76" t="s">
        <v>949</v>
      </c>
      <c r="D56" s="76" t="s">
        <v>902</v>
      </c>
      <c r="E56" s="79" t="s">
        <v>955</v>
      </c>
      <c r="F56" s="79"/>
    </row>
    <row r="57" spans="1:7">
      <c r="A57" s="77">
        <v>45960</v>
      </c>
      <c r="B57" s="80">
        <f t="shared" ca="1" si="1"/>
        <v>45960.99459386574</v>
      </c>
      <c r="C57" s="76" t="s">
        <v>949</v>
      </c>
      <c r="D57" s="76" t="s">
        <v>902</v>
      </c>
      <c r="E57" s="79" t="s">
        <v>956</v>
      </c>
      <c r="F57" s="79"/>
    </row>
    <row r="58" spans="1:7">
      <c r="A58" s="77">
        <v>45960</v>
      </c>
      <c r="B58" s="80">
        <f t="shared" ca="1" si="1"/>
        <v>45960.995117708335</v>
      </c>
      <c r="C58" s="76" t="s">
        <v>949</v>
      </c>
      <c r="D58" s="76" t="s">
        <v>902</v>
      </c>
      <c r="E58" s="79" t="s">
        <v>957</v>
      </c>
      <c r="F58" s="79"/>
    </row>
    <row r="59" spans="1:7">
      <c r="A59" s="77">
        <v>45960</v>
      </c>
      <c r="B59" s="80">
        <f t="shared" ca="1" si="1"/>
        <v>45960.998063541665</v>
      </c>
      <c r="C59" s="76" t="s">
        <v>949</v>
      </c>
      <c r="D59" s="76" t="s">
        <v>902</v>
      </c>
      <c r="E59" s="79" t="s">
        <v>958</v>
      </c>
      <c r="F59" s="79"/>
    </row>
    <row r="60" spans="1:7">
      <c r="A60" s="77">
        <v>45961</v>
      </c>
      <c r="B60" s="80">
        <f t="shared" ca="1" si="1"/>
        <v>45961.004043518522</v>
      </c>
      <c r="C60" s="76" t="s">
        <v>949</v>
      </c>
      <c r="D60" s="76" t="s">
        <v>902</v>
      </c>
      <c r="E60" s="79" t="s">
        <v>955</v>
      </c>
      <c r="F60" s="79"/>
    </row>
    <row r="61" spans="1:7">
      <c r="A61" s="77">
        <v>45961</v>
      </c>
      <c r="B61" s="80">
        <f t="shared" ca="1" si="1"/>
        <v>45961.004521296294</v>
      </c>
      <c r="C61" s="76" t="s">
        <v>949</v>
      </c>
      <c r="D61" s="76" t="s">
        <v>902</v>
      </c>
      <c r="E61" s="79" t="s">
        <v>959</v>
      </c>
      <c r="F61" s="79"/>
    </row>
    <row r="62" spans="1:7">
      <c r="A62" s="77">
        <v>45961</v>
      </c>
      <c r="B62" s="80">
        <f t="shared" ca="1" si="1"/>
        <v>45961.006256250002</v>
      </c>
      <c r="C62" s="76" t="s">
        <v>949</v>
      </c>
      <c r="D62" s="76" t="s">
        <v>902</v>
      </c>
      <c r="E62" s="79" t="s">
        <v>955</v>
      </c>
      <c r="F62" s="79"/>
    </row>
    <row r="63" spans="1:7">
      <c r="A63" s="77">
        <v>45961</v>
      </c>
      <c r="B63" s="80">
        <f t="shared" ca="1" si="1"/>
        <v>45961.007747569442</v>
      </c>
      <c r="C63" s="76" t="s">
        <v>949</v>
      </c>
      <c r="D63" s="76" t="s">
        <v>902</v>
      </c>
      <c r="E63" s="79" t="s">
        <v>959</v>
      </c>
      <c r="F63" s="79"/>
    </row>
    <row r="64" spans="1:7">
      <c r="A64" s="77">
        <v>45961</v>
      </c>
      <c r="B64" s="80">
        <f t="shared" ca="1" si="1"/>
        <v>45961.008867129633</v>
      </c>
      <c r="C64" s="76" t="s">
        <v>949</v>
      </c>
      <c r="D64" s="76" t="s">
        <v>902</v>
      </c>
      <c r="E64" s="79" t="s">
        <v>959</v>
      </c>
      <c r="F64" s="79"/>
    </row>
    <row r="65" spans="1:7">
      <c r="A65" s="77">
        <v>45961</v>
      </c>
      <c r="B65" s="80">
        <f t="shared" ca="1" si="1"/>
        <v>45961.016135069447</v>
      </c>
      <c r="C65" s="76" t="s">
        <v>949</v>
      </c>
      <c r="D65" s="76" t="s">
        <v>902</v>
      </c>
      <c r="E65" s="79" t="s">
        <v>935</v>
      </c>
      <c r="F65" s="79"/>
    </row>
    <row r="66" spans="1:7">
      <c r="A66" s="77">
        <v>45961</v>
      </c>
      <c r="B66" s="80">
        <f t="shared" ca="1" si="1"/>
        <v>45961.018778935184</v>
      </c>
      <c r="C66" s="76" t="s">
        <v>949</v>
      </c>
      <c r="D66" s="76" t="s">
        <v>902</v>
      </c>
      <c r="E66" s="79" t="s">
        <v>960</v>
      </c>
      <c r="F66" s="79"/>
    </row>
    <row r="67" spans="1:7">
      <c r="A67" s="77">
        <v>45961</v>
      </c>
      <c r="B67" s="80">
        <f t="shared" ca="1" si="1"/>
        <v>45961.019126273146</v>
      </c>
      <c r="C67" s="76" t="s">
        <v>949</v>
      </c>
      <c r="D67" s="76" t="s">
        <v>902</v>
      </c>
      <c r="E67" s="79" t="s">
        <v>956</v>
      </c>
      <c r="F67" s="79"/>
    </row>
    <row r="68" spans="1:7">
      <c r="A68" s="77">
        <v>45961</v>
      </c>
      <c r="B68" s="80">
        <f t="shared" ca="1" si="1"/>
        <v>45961.019786458332</v>
      </c>
      <c r="C68" s="76" t="s">
        <v>949</v>
      </c>
      <c r="D68" s="76" t="s">
        <v>902</v>
      </c>
      <c r="E68" s="79" t="s">
        <v>960</v>
      </c>
      <c r="F68" s="79"/>
    </row>
    <row r="69" spans="1:7">
      <c r="A69" s="77">
        <v>45961</v>
      </c>
      <c r="B69" s="80">
        <f t="shared" ca="1" si="1"/>
        <v>45961.021017476851</v>
      </c>
      <c r="C69" s="76" t="s">
        <v>949</v>
      </c>
      <c r="D69" s="76" t="s">
        <v>902</v>
      </c>
      <c r="E69" s="79" t="s">
        <v>961</v>
      </c>
      <c r="F69" s="79"/>
    </row>
    <row r="70" spans="1:7">
      <c r="A70" s="77">
        <v>45961</v>
      </c>
      <c r="B70" s="80">
        <f t="shared" ca="1" si="1"/>
        <v>45961.026261921295</v>
      </c>
      <c r="C70" s="76" t="s">
        <v>949</v>
      </c>
      <c r="D70" s="76" t="s">
        <v>902</v>
      </c>
      <c r="E70" s="79"/>
      <c r="F70" s="79"/>
      <c r="G70" s="76" t="s">
        <v>962</v>
      </c>
    </row>
    <row r="71" spans="1:7">
      <c r="A71" s="77">
        <v>45961</v>
      </c>
      <c r="B71" s="80">
        <f t="shared" ca="1" si="1"/>
        <v>45961.032895023149</v>
      </c>
      <c r="C71" s="76" t="s">
        <v>949</v>
      </c>
      <c r="D71" s="210" t="s">
        <v>922</v>
      </c>
      <c r="E71" s="79"/>
      <c r="F71" s="79"/>
    </row>
    <row r="72" spans="1:7">
      <c r="A72" s="77">
        <v>45961</v>
      </c>
      <c r="B72" s="80">
        <f t="shared" ca="1" si="1"/>
        <v>45961.068063888888</v>
      </c>
      <c r="C72" s="76" t="s">
        <v>963</v>
      </c>
      <c r="D72" s="210" t="s">
        <v>909</v>
      </c>
      <c r="E72" s="79"/>
      <c r="F72" s="79"/>
    </row>
    <row r="73" spans="1:7">
      <c r="A73" s="77">
        <v>45961</v>
      </c>
      <c r="B73" s="80">
        <f t="shared" ca="1" si="1"/>
        <v>45961.070047337962</v>
      </c>
      <c r="C73" s="76" t="s">
        <v>963</v>
      </c>
      <c r="D73" s="76" t="s">
        <v>902</v>
      </c>
      <c r="E73" s="79" t="s">
        <v>955</v>
      </c>
      <c r="F73" s="79"/>
    </row>
    <row r="74" spans="1:7">
      <c r="A74" s="77">
        <v>45961</v>
      </c>
      <c r="B74" s="80">
        <f t="shared" ca="1" si="1"/>
        <v>45961.071244212966</v>
      </c>
      <c r="C74" s="76" t="s">
        <v>963</v>
      </c>
      <c r="D74" s="76" t="s">
        <v>902</v>
      </c>
      <c r="E74" s="79" t="s">
        <v>964</v>
      </c>
      <c r="F74" s="79"/>
    </row>
    <row r="75" spans="1:7">
      <c r="A75" s="77">
        <v>45961</v>
      </c>
      <c r="B75" s="80">
        <f t="shared" ca="1" si="1"/>
        <v>45961.073071412036</v>
      </c>
      <c r="C75" s="76" t="s">
        <v>963</v>
      </c>
      <c r="D75" s="76" t="s">
        <v>902</v>
      </c>
      <c r="E75" s="79" t="s">
        <v>965</v>
      </c>
      <c r="F75" s="79"/>
    </row>
    <row r="76" spans="1:7">
      <c r="A76" s="77">
        <v>45961</v>
      </c>
      <c r="B76" s="80">
        <f t="shared" ca="1" si="1"/>
        <v>45961.074769907405</v>
      </c>
      <c r="C76" s="76" t="s">
        <v>963</v>
      </c>
      <c r="D76" s="76" t="s">
        <v>902</v>
      </c>
      <c r="E76" s="79" t="s">
        <v>966</v>
      </c>
      <c r="F76" s="79"/>
    </row>
    <row r="77" spans="1:7">
      <c r="A77" s="77">
        <v>45961</v>
      </c>
      <c r="B77" s="80">
        <f t="shared" ca="1" si="1"/>
        <v>45961.075745833332</v>
      </c>
      <c r="C77" s="76" t="s">
        <v>963</v>
      </c>
      <c r="D77" s="76" t="s">
        <v>902</v>
      </c>
      <c r="E77" s="79" t="s">
        <v>967</v>
      </c>
      <c r="F77" s="79"/>
    </row>
    <row r="78" spans="1:7">
      <c r="A78" s="77">
        <v>45961</v>
      </c>
      <c r="B78" s="80">
        <f t="shared" ca="1" si="1"/>
        <v>45961.077137268519</v>
      </c>
      <c r="C78" s="76" t="s">
        <v>963</v>
      </c>
      <c r="D78" s="76" t="s">
        <v>902</v>
      </c>
      <c r="E78" s="79" t="s">
        <v>955</v>
      </c>
      <c r="F78" s="79"/>
    </row>
    <row r="79" spans="1:7">
      <c r="A79" s="77">
        <v>45961</v>
      </c>
      <c r="B79" s="80">
        <f t="shared" ca="1" si="1"/>
        <v>45961.07732916667</v>
      </c>
      <c r="C79" s="76" t="s">
        <v>963</v>
      </c>
      <c r="D79" s="76" t="s">
        <v>902</v>
      </c>
      <c r="E79" s="79" t="s">
        <v>968</v>
      </c>
      <c r="F79" s="79"/>
    </row>
    <row r="80" spans="1:7">
      <c r="A80" s="77">
        <v>45961</v>
      </c>
      <c r="B80" s="80">
        <f t="shared" ca="1" si="1"/>
        <v>45961.077915277776</v>
      </c>
      <c r="C80" s="76" t="s">
        <v>963</v>
      </c>
      <c r="D80" s="76" t="s">
        <v>902</v>
      </c>
      <c r="E80" s="79" t="s">
        <v>969</v>
      </c>
      <c r="F80" s="79"/>
    </row>
    <row r="81" spans="1:6">
      <c r="A81" s="77">
        <v>45961</v>
      </c>
      <c r="B81" s="80">
        <f t="shared" ca="1" si="1"/>
        <v>45961.08067314815</v>
      </c>
      <c r="C81" s="76" t="s">
        <v>963</v>
      </c>
      <c r="D81" s="76" t="s">
        <v>902</v>
      </c>
      <c r="E81" s="79" t="s">
        <v>968</v>
      </c>
      <c r="F81" s="79"/>
    </row>
    <row r="82" spans="1:6">
      <c r="A82" s="77">
        <v>45961</v>
      </c>
      <c r="B82" s="80">
        <f t="shared" ca="1" si="1"/>
        <v>45961.081052199072</v>
      </c>
      <c r="C82" s="76" t="s">
        <v>963</v>
      </c>
      <c r="D82" s="76" t="s">
        <v>902</v>
      </c>
      <c r="E82" s="79" t="s">
        <v>970</v>
      </c>
      <c r="F82" s="79"/>
    </row>
    <row r="83" spans="1:6">
      <c r="A83" s="77">
        <v>45961</v>
      </c>
      <c r="B83" s="80">
        <f t="shared" ca="1" si="1"/>
        <v>45961.081444560186</v>
      </c>
      <c r="C83" s="76" t="s">
        <v>963</v>
      </c>
      <c r="D83" s="76" t="s">
        <v>902</v>
      </c>
      <c r="E83" s="79" t="s">
        <v>955</v>
      </c>
      <c r="F83" s="79"/>
    </row>
    <row r="84" spans="1:6">
      <c r="A84" s="77">
        <v>45961</v>
      </c>
      <c r="B84" s="80">
        <f t="shared" ca="1" si="1"/>
        <v>45961.081916898147</v>
      </c>
      <c r="C84" s="76" t="s">
        <v>963</v>
      </c>
      <c r="D84" s="76" t="s">
        <v>902</v>
      </c>
      <c r="E84" s="79" t="s">
        <v>971</v>
      </c>
      <c r="F84" s="79"/>
    </row>
    <row r="85" spans="1:6">
      <c r="A85" s="77">
        <v>45961</v>
      </c>
      <c r="B85" s="80">
        <f t="shared" ca="1" si="1"/>
        <v>45961.082197453703</v>
      </c>
      <c r="C85" s="76" t="s">
        <v>963</v>
      </c>
      <c r="D85" s="76" t="s">
        <v>902</v>
      </c>
      <c r="E85" s="79" t="s">
        <v>955</v>
      </c>
      <c r="F85" s="79"/>
    </row>
    <row r="86" spans="1:6">
      <c r="A86" s="77">
        <v>45961</v>
      </c>
      <c r="B86" s="80">
        <f t="shared" ca="1" si="1"/>
        <v>45961.084846527781</v>
      </c>
      <c r="C86" s="76" t="s">
        <v>963</v>
      </c>
      <c r="D86" s="76" t="s">
        <v>902</v>
      </c>
      <c r="E86" s="79" t="s">
        <v>972</v>
      </c>
      <c r="F86" s="79"/>
    </row>
    <row r="87" spans="1:6">
      <c r="A87" s="77">
        <v>45961</v>
      </c>
      <c r="B87" s="80">
        <f t="shared" ca="1" si="1"/>
        <v>45961.084853472224</v>
      </c>
      <c r="C87" s="76" t="s">
        <v>963</v>
      </c>
      <c r="D87" s="76" t="s">
        <v>902</v>
      </c>
      <c r="E87" s="79" t="s">
        <v>973</v>
      </c>
      <c r="F87" s="79"/>
    </row>
    <row r="88" spans="1:6">
      <c r="A88" s="77">
        <v>45961</v>
      </c>
      <c r="B88" s="80">
        <f t="shared" ca="1" si="1"/>
        <v>45961.08974236111</v>
      </c>
      <c r="C88" s="76" t="s">
        <v>963</v>
      </c>
      <c r="D88" s="76" t="s">
        <v>902</v>
      </c>
      <c r="E88" s="79" t="s">
        <v>968</v>
      </c>
      <c r="F88" s="79"/>
    </row>
    <row r="89" spans="1:6">
      <c r="A89" s="77">
        <v>45961</v>
      </c>
      <c r="B89" s="80">
        <f t="shared" ca="1" si="1"/>
        <v>45961.091002546294</v>
      </c>
      <c r="C89" s="76" t="s">
        <v>963</v>
      </c>
      <c r="D89" s="76" t="s">
        <v>902</v>
      </c>
      <c r="E89" s="79" t="s">
        <v>955</v>
      </c>
      <c r="F89" s="79"/>
    </row>
    <row r="90" spans="1:6">
      <c r="A90" s="77">
        <v>45961</v>
      </c>
      <c r="B90" s="80">
        <f t="shared" ca="1" si="1"/>
        <v>45961.093211921296</v>
      </c>
      <c r="C90" s="76" t="s">
        <v>963</v>
      </c>
      <c r="D90" s="76" t="s">
        <v>902</v>
      </c>
      <c r="E90" s="79" t="s">
        <v>971</v>
      </c>
      <c r="F90" s="79"/>
    </row>
    <row r="91" spans="1:6">
      <c r="A91" s="77">
        <v>45961</v>
      </c>
      <c r="B91" s="80">
        <f t="shared" ca="1" si="1"/>
        <v>45961.094640856485</v>
      </c>
      <c r="C91" s="76" t="s">
        <v>963</v>
      </c>
      <c r="D91" s="76" t="s">
        <v>902</v>
      </c>
      <c r="E91" s="79" t="s">
        <v>971</v>
      </c>
      <c r="F91" s="79"/>
    </row>
    <row r="92" spans="1:6">
      <c r="A92" s="77">
        <v>45961</v>
      </c>
      <c r="B92" s="80">
        <f t="shared" ca="1" si="1"/>
        <v>45961.095540393515</v>
      </c>
      <c r="C92" s="76" t="s">
        <v>963</v>
      </c>
      <c r="D92" s="76" t="s">
        <v>902</v>
      </c>
      <c r="E92" s="79" t="s">
        <v>968</v>
      </c>
      <c r="F92" s="79"/>
    </row>
    <row r="93" spans="1:6">
      <c r="A93" s="77">
        <v>45961</v>
      </c>
      <c r="B93" s="80">
        <f t="shared" ca="1" si="1"/>
        <v>45961.096338541669</v>
      </c>
      <c r="C93" s="76" t="s">
        <v>963</v>
      </c>
      <c r="D93" s="76" t="s">
        <v>902</v>
      </c>
      <c r="E93" s="79" t="s">
        <v>974</v>
      </c>
      <c r="F93" s="79"/>
    </row>
    <row r="94" spans="1:6">
      <c r="A94" s="77">
        <v>45961</v>
      </c>
      <c r="B94" s="80">
        <f t="shared" ca="1" si="1"/>
        <v>45961.101568518519</v>
      </c>
      <c r="C94" s="76" t="s">
        <v>963</v>
      </c>
      <c r="D94" s="76" t="s">
        <v>902</v>
      </c>
      <c r="E94" s="79" t="s">
        <v>955</v>
      </c>
      <c r="F94" s="79"/>
    </row>
    <row r="95" spans="1:6">
      <c r="A95" s="77">
        <v>45961</v>
      </c>
      <c r="B95" s="80">
        <f t="shared" ca="1" si="1"/>
        <v>45961.102330324073</v>
      </c>
      <c r="C95" s="76" t="s">
        <v>963</v>
      </c>
      <c r="D95" s="76" t="s">
        <v>902</v>
      </c>
      <c r="E95" s="79" t="s">
        <v>961</v>
      </c>
      <c r="F95" s="79"/>
    </row>
    <row r="96" spans="1:6">
      <c r="A96" s="77">
        <v>45961</v>
      </c>
      <c r="B96" s="80">
        <f t="shared" ca="1" si="1"/>
        <v>45961.103301620373</v>
      </c>
      <c r="C96" s="76" t="s">
        <v>963</v>
      </c>
      <c r="D96" s="76" t="s">
        <v>902</v>
      </c>
      <c r="E96" s="79" t="s">
        <v>955</v>
      </c>
      <c r="F96" s="79"/>
    </row>
    <row r="97" spans="1:6">
      <c r="A97" s="77">
        <v>45961</v>
      </c>
      <c r="B97" s="80">
        <f t="shared" ca="1" si="1"/>
        <v>45961.104276157406</v>
      </c>
      <c r="C97" s="76" t="s">
        <v>963</v>
      </c>
      <c r="D97" s="76" t="s">
        <v>902</v>
      </c>
      <c r="E97" s="79" t="s">
        <v>970</v>
      </c>
      <c r="F97" s="79"/>
    </row>
    <row r="98" spans="1:6">
      <c r="A98" s="77">
        <v>45961</v>
      </c>
      <c r="B98" s="80">
        <f t="shared" ca="1" si="1"/>
        <v>45961.104639699071</v>
      </c>
      <c r="C98" s="76" t="s">
        <v>963</v>
      </c>
      <c r="D98" s="76" t="s">
        <v>902</v>
      </c>
      <c r="E98" s="79" t="s">
        <v>970</v>
      </c>
      <c r="F98" s="79"/>
    </row>
    <row r="99" spans="1:6">
      <c r="A99" s="77">
        <v>45961</v>
      </c>
      <c r="B99" s="80">
        <f t="shared" ca="1" si="1"/>
        <v>45961.106021064814</v>
      </c>
      <c r="C99" s="76" t="s">
        <v>963</v>
      </c>
      <c r="D99" s="76" t="s">
        <v>902</v>
      </c>
      <c r="E99" s="79" t="s">
        <v>955</v>
      </c>
      <c r="F99" s="79"/>
    </row>
    <row r="100" spans="1:6">
      <c r="A100" s="77">
        <v>45961</v>
      </c>
      <c r="B100" s="80">
        <f t="shared" ca="1" si="1"/>
        <v>45961.111650810184</v>
      </c>
      <c r="C100" s="76" t="s">
        <v>963</v>
      </c>
      <c r="D100" s="76" t="s">
        <v>902</v>
      </c>
      <c r="E100" s="79" t="s">
        <v>975</v>
      </c>
      <c r="F100" s="79"/>
    </row>
    <row r="101" spans="1:6">
      <c r="A101" s="77">
        <v>45961</v>
      </c>
      <c r="B101" s="80">
        <f t="shared" ca="1" si="1"/>
        <v>45961.113430555553</v>
      </c>
      <c r="C101" s="76" t="s">
        <v>963</v>
      </c>
      <c r="D101" s="76" t="s">
        <v>902</v>
      </c>
      <c r="E101" s="79" t="s">
        <v>975</v>
      </c>
      <c r="F101" s="79"/>
    </row>
    <row r="102" spans="1:6">
      <c r="A102" s="77">
        <v>45961</v>
      </c>
      <c r="B102" s="80">
        <f t="shared" ca="1" si="1"/>
        <v>45961.113619791664</v>
      </c>
      <c r="C102" s="76" t="s">
        <v>963</v>
      </c>
      <c r="D102" s="76" t="s">
        <v>902</v>
      </c>
      <c r="E102" s="79" t="s">
        <v>968</v>
      </c>
      <c r="F102" s="79"/>
    </row>
    <row r="103" spans="1:6">
      <c r="A103" s="77">
        <v>45961</v>
      </c>
      <c r="B103" s="80">
        <f t="shared" ca="1" si="1"/>
        <v>45961.114278125002</v>
      </c>
      <c r="C103" s="76" t="s">
        <v>963</v>
      </c>
      <c r="D103" s="76" t="s">
        <v>902</v>
      </c>
      <c r="E103" s="79" t="s">
        <v>955</v>
      </c>
      <c r="F103" s="79"/>
    </row>
    <row r="104" spans="1:6">
      <c r="A104" s="77">
        <v>45961</v>
      </c>
      <c r="B104" s="80">
        <f ca="1">IF(C104&lt;&gt;0,IF(B104=0,NOW(),B104),)</f>
        <v>45962.151875115742</v>
      </c>
      <c r="C104" s="76" t="s">
        <v>963</v>
      </c>
      <c r="D104" s="76" t="s">
        <v>902</v>
      </c>
      <c r="E104" s="79" t="s">
        <v>976</v>
      </c>
      <c r="F104" s="79"/>
    </row>
    <row r="105" spans="1:6">
      <c r="A105" s="77">
        <v>45961</v>
      </c>
      <c r="B105" s="80">
        <f ca="1">IF(C105&lt;&gt;0,IF(B105=0,NOW(),B105),)</f>
        <v>45962.151875115742</v>
      </c>
      <c r="C105" s="76" t="s">
        <v>963</v>
      </c>
      <c r="D105" s="76" t="s">
        <v>902</v>
      </c>
      <c r="E105" s="79" t="s">
        <v>968</v>
      </c>
      <c r="F105" s="79"/>
    </row>
    <row r="106" spans="1:6">
      <c r="A106" s="77">
        <v>45961</v>
      </c>
      <c r="B106" s="80">
        <f ca="1">IF(C106&lt;&gt;0,IF(B106=0,NOW(),B106),)</f>
        <v>45962.151875115742</v>
      </c>
      <c r="C106" s="76" t="s">
        <v>963</v>
      </c>
      <c r="D106" s="76" t="s">
        <v>902</v>
      </c>
      <c r="E106" s="79" t="s">
        <v>976</v>
      </c>
      <c r="F106" s="79"/>
    </row>
    <row r="107" spans="1:6">
      <c r="A107" s="77">
        <v>45961</v>
      </c>
      <c r="B107" s="80">
        <f ca="1">IF(C107&lt;&gt;0,IF(B107=0,NOW(),B107),)</f>
        <v>45962.151875115742</v>
      </c>
      <c r="C107" s="76" t="s">
        <v>963</v>
      </c>
      <c r="D107" s="76" t="s">
        <v>902</v>
      </c>
      <c r="E107" s="79" t="s">
        <v>977</v>
      </c>
      <c r="F107" s="79"/>
    </row>
    <row r="108" spans="1:6">
      <c r="A108" s="77">
        <v>45961</v>
      </c>
      <c r="B108" s="80">
        <v>3.1462847222222221</v>
      </c>
      <c r="C108" s="76" t="s">
        <v>963</v>
      </c>
      <c r="D108" s="210" t="s">
        <v>922</v>
      </c>
      <c r="E108" s="79"/>
      <c r="F108" s="79"/>
    </row>
    <row r="109" spans="1:6">
      <c r="A109" s="77">
        <f t="shared" ref="A109" ca="1" si="2">IF(C109&lt;&gt;0,IF(A109=0,TODAY(),A109),)</f>
        <v>45966</v>
      </c>
      <c r="B109" s="80">
        <f ca="1">IF(C109&lt;&gt;0,IF(B109=0,NOW(),B109),)</f>
        <v>45966.049258564817</v>
      </c>
      <c r="C109" s="76" t="s">
        <v>978</v>
      </c>
      <c r="D109" s="210" t="s">
        <v>906</v>
      </c>
      <c r="E109" s="79"/>
      <c r="F109" s="79"/>
    </row>
    <row r="110" spans="1:6">
      <c r="A110" s="77">
        <f t="shared" ref="A110:A129" ca="1" si="3">IF(C110&lt;&gt;0,IF(A110=0,TODAY(),A110),)</f>
        <v>45966</v>
      </c>
      <c r="B110" s="80">
        <f ca="1">IF(C110&lt;&gt;0,IF(B110=0,NOW(),B110),)</f>
        <v>45966.082503587961</v>
      </c>
      <c r="C110" s="76" t="s">
        <v>978</v>
      </c>
      <c r="D110" s="210" t="s">
        <v>909</v>
      </c>
      <c r="E110" s="79"/>
      <c r="F110" s="79"/>
    </row>
    <row r="111" spans="1:6">
      <c r="A111" s="77">
        <f t="shared" ca="1" si="3"/>
        <v>45966</v>
      </c>
      <c r="B111" s="80">
        <f ca="1">IF(C111&lt;&gt;0,IF(B111=0,NOW(),B111),)</f>
        <v>45966.097931249999</v>
      </c>
      <c r="C111" s="76" t="s">
        <v>978</v>
      </c>
      <c r="D111" s="76" t="s">
        <v>902</v>
      </c>
      <c r="E111" s="79" t="s">
        <v>979</v>
      </c>
      <c r="F111" s="79"/>
    </row>
    <row r="112" spans="1:6">
      <c r="A112" s="77">
        <f t="shared" ca="1" si="3"/>
        <v>45966</v>
      </c>
      <c r="B112" s="80">
        <f t="shared" ref="B112:B174" ca="1" si="4">IF(C112&lt;&gt;0,IF(B112=0,NOW(),B112),)</f>
        <v>45966.098533680553</v>
      </c>
      <c r="C112" s="76" t="s">
        <v>978</v>
      </c>
      <c r="D112" s="76" t="s">
        <v>902</v>
      </c>
      <c r="E112" s="79" t="s">
        <v>980</v>
      </c>
      <c r="F112" s="79"/>
    </row>
    <row r="113" spans="1:7">
      <c r="A113" s="77">
        <f t="shared" ca="1" si="3"/>
        <v>45966</v>
      </c>
      <c r="B113" s="80">
        <f t="shared" ca="1" si="4"/>
        <v>45966.114959027778</v>
      </c>
      <c r="C113" s="76" t="s">
        <v>978</v>
      </c>
      <c r="D113" s="76" t="s">
        <v>902</v>
      </c>
      <c r="E113" s="79" t="s">
        <v>981</v>
      </c>
      <c r="F113" s="79"/>
    </row>
    <row r="114" spans="1:7">
      <c r="A114" s="77">
        <f t="shared" ca="1" si="3"/>
        <v>45966</v>
      </c>
      <c r="B114" s="80">
        <f t="shared" ca="1" si="4"/>
        <v>45966.115627777777</v>
      </c>
      <c r="C114" s="76" t="s">
        <v>978</v>
      </c>
      <c r="D114" s="76" t="s">
        <v>902</v>
      </c>
      <c r="E114" s="79" t="s">
        <v>982</v>
      </c>
      <c r="F114" s="79"/>
    </row>
    <row r="115" spans="1:7">
      <c r="A115" s="77">
        <f t="shared" ca="1" si="3"/>
        <v>45966</v>
      </c>
      <c r="B115" s="80">
        <f t="shared" ca="1" si="4"/>
        <v>45966.116397106482</v>
      </c>
      <c r="C115" s="76" t="s">
        <v>978</v>
      </c>
      <c r="D115" s="76" t="s">
        <v>902</v>
      </c>
      <c r="E115" s="79" t="s">
        <v>980</v>
      </c>
      <c r="F115" s="79"/>
    </row>
    <row r="116" spans="1:7">
      <c r="A116" s="77">
        <f t="shared" ca="1" si="3"/>
        <v>45966</v>
      </c>
      <c r="B116" s="80">
        <f t="shared" ca="1" si="4"/>
        <v>45966.12043761574</v>
      </c>
      <c r="C116" s="76" t="s">
        <v>978</v>
      </c>
      <c r="D116" s="210" t="s">
        <v>922</v>
      </c>
      <c r="E116" s="79"/>
      <c r="F116" s="79"/>
    </row>
    <row r="117" spans="1:7">
      <c r="A117" s="77">
        <f t="shared" ca="1" si="3"/>
        <v>45966</v>
      </c>
      <c r="B117" s="80">
        <f t="shared" ca="1" si="4"/>
        <v>45966.192979398147</v>
      </c>
      <c r="C117" s="76" t="s">
        <v>983</v>
      </c>
      <c r="D117" s="210" t="s">
        <v>909</v>
      </c>
      <c r="E117" s="79" t="s">
        <v>984</v>
      </c>
      <c r="F117" s="79"/>
    </row>
    <row r="118" spans="1:7">
      <c r="A118" s="77">
        <f t="shared" ca="1" si="3"/>
        <v>45966</v>
      </c>
      <c r="B118" s="80">
        <f t="shared" ca="1" si="4"/>
        <v>45966.194006365738</v>
      </c>
      <c r="C118" s="76" t="s">
        <v>983</v>
      </c>
      <c r="D118" s="76" t="s">
        <v>902</v>
      </c>
      <c r="E118" s="79" t="s">
        <v>980</v>
      </c>
      <c r="F118" s="79"/>
    </row>
    <row r="119" spans="1:7">
      <c r="A119" s="77">
        <f t="shared" ca="1" si="3"/>
        <v>45966</v>
      </c>
      <c r="B119" s="80">
        <f t="shared" ca="1" si="4"/>
        <v>45966.199845601855</v>
      </c>
      <c r="C119" s="76" t="s">
        <v>983</v>
      </c>
      <c r="D119" s="76" t="s">
        <v>902</v>
      </c>
      <c r="E119" s="79" t="s">
        <v>985</v>
      </c>
      <c r="F119" s="79"/>
    </row>
    <row r="120" spans="1:7">
      <c r="A120" s="77">
        <f t="shared" ca="1" si="3"/>
        <v>45966</v>
      </c>
      <c r="B120" s="80">
        <f t="shared" ca="1" si="4"/>
        <v>45966.20005486111</v>
      </c>
      <c r="C120" s="76" t="s">
        <v>983</v>
      </c>
      <c r="D120" s="76" t="s">
        <v>902</v>
      </c>
      <c r="E120" s="79" t="s">
        <v>986</v>
      </c>
      <c r="F120" s="79"/>
    </row>
    <row r="121" spans="1:7">
      <c r="A121" s="77">
        <f t="shared" ca="1" si="3"/>
        <v>45966</v>
      </c>
      <c r="B121" s="80">
        <f t="shared" ca="1" si="4"/>
        <v>45966.205535532405</v>
      </c>
      <c r="C121" s="76" t="s">
        <v>983</v>
      </c>
      <c r="D121" s="76" t="s">
        <v>902</v>
      </c>
      <c r="E121" s="79" t="s">
        <v>987</v>
      </c>
      <c r="F121" s="79"/>
    </row>
    <row r="122" spans="1:7">
      <c r="A122" s="77">
        <f t="shared" ca="1" si="3"/>
        <v>45966</v>
      </c>
      <c r="B122" s="80">
        <f t="shared" ca="1" si="4"/>
        <v>45966.209373148151</v>
      </c>
      <c r="C122" s="76" t="s">
        <v>983</v>
      </c>
      <c r="D122" s="76" t="s">
        <v>902</v>
      </c>
      <c r="E122" s="79" t="s">
        <v>988</v>
      </c>
      <c r="F122" s="79"/>
    </row>
    <row r="123" spans="1:7">
      <c r="A123" s="77">
        <f t="shared" ca="1" si="3"/>
        <v>45966</v>
      </c>
      <c r="B123" s="80">
        <f t="shared" ca="1" si="4"/>
        <v>45966.212826967596</v>
      </c>
      <c r="C123" s="76" t="s">
        <v>983</v>
      </c>
      <c r="D123" s="76" t="s">
        <v>902</v>
      </c>
      <c r="E123" s="79" t="s">
        <v>989</v>
      </c>
      <c r="F123" s="79"/>
    </row>
    <row r="124" spans="1:7">
      <c r="A124" s="77">
        <f t="shared" ca="1" si="3"/>
        <v>45966</v>
      </c>
      <c r="B124" s="80">
        <f t="shared" ca="1" si="4"/>
        <v>45966.251076504632</v>
      </c>
      <c r="C124" s="76" t="s">
        <v>983</v>
      </c>
      <c r="D124" s="210" t="s">
        <v>922</v>
      </c>
      <c r="E124" s="79"/>
      <c r="F124" s="79"/>
    </row>
    <row r="125" spans="1:7">
      <c r="A125" s="77">
        <f t="shared" ca="1" si="3"/>
        <v>45966</v>
      </c>
      <c r="B125" s="80">
        <f t="shared" ca="1" si="4"/>
        <v>45966.289471875003</v>
      </c>
      <c r="C125" s="76" t="s">
        <v>990</v>
      </c>
      <c r="D125" s="210" t="s">
        <v>909</v>
      </c>
      <c r="E125" s="79"/>
      <c r="F125" s="79"/>
    </row>
    <row r="126" spans="1:7">
      <c r="A126" s="77">
        <f t="shared" ca="1" si="3"/>
        <v>45966</v>
      </c>
      <c r="B126" s="80">
        <f t="shared" ca="1" si="4"/>
        <v>45966.295667361112</v>
      </c>
      <c r="C126" s="76" t="s">
        <v>990</v>
      </c>
      <c r="D126" s="76" t="s">
        <v>902</v>
      </c>
      <c r="E126" s="79"/>
      <c r="F126" s="79"/>
      <c r="G126" s="76" t="s">
        <v>991</v>
      </c>
    </row>
    <row r="127" spans="1:7">
      <c r="A127" s="77">
        <f t="shared" ca="1" si="3"/>
        <v>45966</v>
      </c>
      <c r="B127" s="80">
        <f t="shared" ca="1" si="4"/>
        <v>45966.297754629632</v>
      </c>
      <c r="C127" s="76" t="s">
        <v>990</v>
      </c>
      <c r="D127" s="76" t="s">
        <v>902</v>
      </c>
      <c r="E127" s="79" t="s">
        <v>992</v>
      </c>
      <c r="F127" s="79"/>
    </row>
    <row r="128" spans="1:7">
      <c r="A128" s="77">
        <f t="shared" ca="1" si="3"/>
        <v>45966</v>
      </c>
      <c r="B128" s="80">
        <f t="shared" ca="1" si="4"/>
        <v>45966.300041319446</v>
      </c>
      <c r="C128" s="76" t="s">
        <v>990</v>
      </c>
      <c r="D128" s="76" t="s">
        <v>902</v>
      </c>
      <c r="E128" s="79" t="s">
        <v>993</v>
      </c>
      <c r="F128" s="79"/>
    </row>
    <row r="129" spans="1:6">
      <c r="A129" s="77">
        <f t="shared" ca="1" si="3"/>
        <v>45966</v>
      </c>
      <c r="B129" s="80">
        <f t="shared" ca="1" si="4"/>
        <v>45966.302554513888</v>
      </c>
      <c r="C129" s="76" t="s">
        <v>990</v>
      </c>
      <c r="D129" s="76" t="s">
        <v>902</v>
      </c>
      <c r="E129" s="79" t="s">
        <v>994</v>
      </c>
      <c r="F129" s="79"/>
    </row>
    <row r="130" spans="1:6">
      <c r="A130" s="77">
        <f t="shared" ref="A130:A193" ca="1" si="5">IF(C130&lt;&gt;0,IF(A130=0,TODAY(),A130),)</f>
        <v>45966</v>
      </c>
      <c r="B130" s="80">
        <f t="shared" ca="1" si="4"/>
        <v>45966.30473935185</v>
      </c>
      <c r="C130" s="76" t="s">
        <v>990</v>
      </c>
      <c r="D130" s="76" t="s">
        <v>902</v>
      </c>
      <c r="E130" s="79" t="s">
        <v>995</v>
      </c>
      <c r="F130" s="79"/>
    </row>
    <row r="131" spans="1:6">
      <c r="A131" s="77">
        <f t="shared" ca="1" si="5"/>
        <v>45966</v>
      </c>
      <c r="B131" s="80">
        <f t="shared" ca="1" si="4"/>
        <v>45966.307263310184</v>
      </c>
      <c r="C131" s="76" t="s">
        <v>990</v>
      </c>
      <c r="D131" s="76" t="s">
        <v>902</v>
      </c>
      <c r="E131" s="79" t="s">
        <v>932</v>
      </c>
      <c r="F131" s="79"/>
    </row>
    <row r="132" spans="1:6">
      <c r="A132" s="77">
        <f t="shared" ca="1" si="5"/>
        <v>45966</v>
      </c>
      <c r="B132" s="80">
        <f t="shared" ca="1" si="4"/>
        <v>45966.308350578707</v>
      </c>
      <c r="C132" s="76" t="s">
        <v>990</v>
      </c>
      <c r="D132" s="76" t="s">
        <v>902</v>
      </c>
      <c r="E132" s="79" t="s">
        <v>996</v>
      </c>
      <c r="F132" s="79"/>
    </row>
    <row r="133" spans="1:6">
      <c r="A133" s="77">
        <f t="shared" ca="1" si="5"/>
        <v>45966</v>
      </c>
      <c r="B133" s="80">
        <f t="shared" ca="1" si="4"/>
        <v>45966.311266087963</v>
      </c>
      <c r="C133" s="76" t="s">
        <v>990</v>
      </c>
      <c r="D133" s="76" t="s">
        <v>902</v>
      </c>
      <c r="E133" s="79" t="s">
        <v>955</v>
      </c>
      <c r="F133" s="79"/>
    </row>
    <row r="134" spans="1:6">
      <c r="A134" s="77">
        <f t="shared" ca="1" si="5"/>
        <v>45966</v>
      </c>
      <c r="B134" s="80">
        <f t="shared" ca="1" si="4"/>
        <v>45966.312290624999</v>
      </c>
      <c r="C134" s="76" t="s">
        <v>990</v>
      </c>
      <c r="D134" s="76" t="s">
        <v>902</v>
      </c>
      <c r="E134" s="79" t="s">
        <v>997</v>
      </c>
      <c r="F134" s="79"/>
    </row>
    <row r="135" spans="1:6">
      <c r="A135" s="77">
        <f t="shared" ca="1" si="5"/>
        <v>45966</v>
      </c>
      <c r="B135" s="80">
        <f t="shared" ca="1" si="4"/>
        <v>45966.315182407408</v>
      </c>
      <c r="C135" s="76" t="s">
        <v>990</v>
      </c>
      <c r="D135" s="76" t="s">
        <v>902</v>
      </c>
      <c r="E135" s="79" t="s">
        <v>932</v>
      </c>
      <c r="F135" s="79"/>
    </row>
    <row r="136" spans="1:6">
      <c r="A136" s="77">
        <f t="shared" ca="1" si="5"/>
        <v>45966</v>
      </c>
      <c r="B136" s="80">
        <f t="shared" ca="1" si="4"/>
        <v>45966.316251736112</v>
      </c>
      <c r="C136" s="76" t="s">
        <v>990</v>
      </c>
      <c r="D136" s="76" t="s">
        <v>902</v>
      </c>
      <c r="E136" s="79" t="s">
        <v>998</v>
      </c>
      <c r="F136" s="79"/>
    </row>
    <row r="137" spans="1:6">
      <c r="A137" s="77">
        <f t="shared" ca="1" si="5"/>
        <v>45966</v>
      </c>
      <c r="B137" s="80">
        <f t="shared" ca="1" si="4"/>
        <v>45966.317430671297</v>
      </c>
      <c r="C137" s="76" t="s">
        <v>990</v>
      </c>
      <c r="D137" s="76" t="s">
        <v>902</v>
      </c>
      <c r="E137" s="79" t="s">
        <v>999</v>
      </c>
      <c r="F137" s="79"/>
    </row>
    <row r="138" spans="1:6">
      <c r="A138" s="77">
        <f t="shared" ca="1" si="5"/>
        <v>45966</v>
      </c>
      <c r="B138" s="80">
        <f t="shared" ca="1" si="4"/>
        <v>45966.318304745371</v>
      </c>
      <c r="C138" s="76" t="s">
        <v>990</v>
      </c>
      <c r="D138" s="76" t="s">
        <v>902</v>
      </c>
      <c r="E138" s="79" t="s">
        <v>955</v>
      </c>
      <c r="F138" s="79"/>
    </row>
    <row r="139" spans="1:6">
      <c r="A139" s="77">
        <f t="shared" ca="1" si="5"/>
        <v>45966</v>
      </c>
      <c r="B139" s="80">
        <f t="shared" ca="1" si="4"/>
        <v>45966.320596296297</v>
      </c>
      <c r="C139" s="76" t="s">
        <v>990</v>
      </c>
      <c r="D139" s="76" t="s">
        <v>902</v>
      </c>
      <c r="E139" s="79" t="s">
        <v>997</v>
      </c>
      <c r="F139" s="79"/>
    </row>
    <row r="140" spans="1:6">
      <c r="A140" s="77">
        <f t="shared" ca="1" si="5"/>
        <v>45966</v>
      </c>
      <c r="B140" s="80">
        <f t="shared" ca="1" si="4"/>
        <v>45966.321093749997</v>
      </c>
      <c r="C140" s="76" t="s">
        <v>990</v>
      </c>
      <c r="D140" s="76" t="s">
        <v>902</v>
      </c>
      <c r="E140" s="79" t="s">
        <v>1000</v>
      </c>
      <c r="F140" s="79"/>
    </row>
    <row r="141" spans="1:6">
      <c r="A141" s="77">
        <f t="shared" ca="1" si="5"/>
        <v>45966</v>
      </c>
      <c r="B141" s="80">
        <f t="shared" ca="1" si="4"/>
        <v>45966.32137662037</v>
      </c>
      <c r="C141" s="76" t="s">
        <v>990</v>
      </c>
      <c r="D141" s="76" t="s">
        <v>902</v>
      </c>
      <c r="E141" s="79" t="s">
        <v>1001</v>
      </c>
      <c r="F141" s="79"/>
    </row>
    <row r="142" spans="1:6">
      <c r="A142" s="77">
        <f t="shared" ca="1" si="5"/>
        <v>45966</v>
      </c>
      <c r="B142" s="80">
        <f t="shared" ca="1" si="4"/>
        <v>45966.321697916668</v>
      </c>
      <c r="C142" s="76" t="s">
        <v>990</v>
      </c>
      <c r="D142" s="76" t="s">
        <v>902</v>
      </c>
      <c r="E142" s="79" t="s">
        <v>970</v>
      </c>
      <c r="F142" s="79"/>
    </row>
    <row r="143" spans="1:6">
      <c r="A143" s="77">
        <f t="shared" ca="1" si="5"/>
        <v>45966</v>
      </c>
      <c r="B143" s="80">
        <f t="shared" ca="1" si="4"/>
        <v>45966.323692708334</v>
      </c>
      <c r="C143" s="76" t="s">
        <v>990</v>
      </c>
      <c r="D143" s="76" t="s">
        <v>902</v>
      </c>
      <c r="E143" s="79" t="s">
        <v>1002</v>
      </c>
      <c r="F143" s="79"/>
    </row>
    <row r="144" spans="1:6">
      <c r="A144" s="77">
        <f t="shared" ca="1" si="5"/>
        <v>45966</v>
      </c>
      <c r="B144" s="80">
        <f t="shared" ca="1" si="4"/>
        <v>45966.325665625001</v>
      </c>
      <c r="C144" s="76" t="s">
        <v>990</v>
      </c>
      <c r="D144" s="76" t="s">
        <v>902</v>
      </c>
      <c r="E144" s="79" t="s">
        <v>941</v>
      </c>
      <c r="F144" s="79"/>
    </row>
    <row r="145" spans="1:7">
      <c r="A145" s="77">
        <f t="shared" ca="1" si="5"/>
        <v>45966</v>
      </c>
      <c r="B145" s="80">
        <f t="shared" ca="1" si="4"/>
        <v>45966.328273032406</v>
      </c>
      <c r="C145" s="76" t="s">
        <v>990</v>
      </c>
      <c r="D145" s="76" t="s">
        <v>902</v>
      </c>
      <c r="E145" s="79"/>
      <c r="F145" s="79" t="s">
        <v>1003</v>
      </c>
      <c r="G145" s="76" t="s">
        <v>1004</v>
      </c>
    </row>
    <row r="146" spans="1:7">
      <c r="A146" s="77">
        <f t="shared" ca="1" si="5"/>
        <v>45966</v>
      </c>
      <c r="B146" s="80">
        <f t="shared" ca="1" si="4"/>
        <v>45966.329706828707</v>
      </c>
      <c r="C146" s="76" t="s">
        <v>990</v>
      </c>
      <c r="D146" s="76" t="s">
        <v>902</v>
      </c>
      <c r="E146" s="79" t="s">
        <v>1005</v>
      </c>
      <c r="F146" s="79"/>
    </row>
    <row r="147" spans="1:7">
      <c r="A147" s="77">
        <f t="shared" ca="1" si="5"/>
        <v>45966</v>
      </c>
      <c r="B147" s="80">
        <f t="shared" ca="1" si="4"/>
        <v>45966.332852777778</v>
      </c>
      <c r="C147" s="76" t="s">
        <v>990</v>
      </c>
      <c r="D147" s="76" t="s">
        <v>902</v>
      </c>
      <c r="E147" s="79" t="s">
        <v>1006</v>
      </c>
      <c r="F147" s="79"/>
    </row>
    <row r="148" spans="1:7">
      <c r="A148" s="77">
        <f t="shared" ca="1" si="5"/>
        <v>45966</v>
      </c>
      <c r="B148" s="80">
        <f t="shared" ca="1" si="4"/>
        <v>45966.336991898148</v>
      </c>
      <c r="C148" s="76" t="s">
        <v>990</v>
      </c>
      <c r="D148" s="76" t="s">
        <v>902</v>
      </c>
      <c r="E148" s="79" t="s">
        <v>997</v>
      </c>
      <c r="F148" s="79"/>
    </row>
    <row r="149" spans="1:7">
      <c r="A149" s="77">
        <f t="shared" ca="1" si="5"/>
        <v>45966</v>
      </c>
      <c r="B149" s="80">
        <f t="shared" ca="1" si="4"/>
        <v>45966.337401273151</v>
      </c>
      <c r="C149" s="76" t="s">
        <v>990</v>
      </c>
      <c r="D149" s="150" t="s">
        <v>1007</v>
      </c>
      <c r="E149" s="79" t="s">
        <v>1008</v>
      </c>
      <c r="F149" s="79"/>
      <c r="G149" s="76" t="s">
        <v>1009</v>
      </c>
    </row>
    <row r="150" spans="1:7">
      <c r="A150" s="77">
        <f t="shared" ca="1" si="5"/>
        <v>45966</v>
      </c>
      <c r="B150" s="80">
        <f t="shared" ca="1" si="4"/>
        <v>45966.347584490744</v>
      </c>
      <c r="C150" s="76" t="s">
        <v>990</v>
      </c>
      <c r="D150" s="76" t="s">
        <v>902</v>
      </c>
      <c r="E150" s="79"/>
      <c r="F150" s="79" t="s">
        <v>1010</v>
      </c>
      <c r="G150" s="76" t="s">
        <v>1011</v>
      </c>
    </row>
    <row r="151" spans="1:7">
      <c r="A151" s="77">
        <f t="shared" ca="1" si="5"/>
        <v>45966</v>
      </c>
      <c r="B151" s="80">
        <f t="shared" ca="1" si="4"/>
        <v>45966.349049999997</v>
      </c>
      <c r="C151" s="76" t="s">
        <v>990</v>
      </c>
      <c r="D151" s="76" t="s">
        <v>902</v>
      </c>
      <c r="E151" s="79" t="s">
        <v>1012</v>
      </c>
      <c r="F151" s="79"/>
    </row>
    <row r="152" spans="1:7">
      <c r="A152" s="77">
        <f t="shared" ca="1" si="5"/>
        <v>45966</v>
      </c>
      <c r="B152" s="80">
        <f t="shared" ca="1" si="4"/>
        <v>45966.35407361111</v>
      </c>
      <c r="C152" s="76" t="s">
        <v>990</v>
      </c>
      <c r="D152" s="210" t="s">
        <v>922</v>
      </c>
      <c r="E152" s="79"/>
      <c r="F152" s="79"/>
    </row>
    <row r="153" spans="1:7">
      <c r="A153" s="77">
        <f t="shared" ca="1" si="5"/>
        <v>45966</v>
      </c>
      <c r="B153" s="80">
        <f t="shared" ca="1" si="4"/>
        <v>45966.424265740738</v>
      </c>
      <c r="C153" s="76" t="s">
        <v>1013</v>
      </c>
      <c r="D153" s="210" t="s">
        <v>909</v>
      </c>
      <c r="E153" s="79"/>
      <c r="F153" s="79"/>
    </row>
    <row r="154" spans="1:7">
      <c r="A154" s="77">
        <f t="shared" ca="1" si="5"/>
        <v>45966</v>
      </c>
      <c r="B154" s="80">
        <f t="shared" ca="1" si="4"/>
        <v>45966.42574097222</v>
      </c>
      <c r="C154" s="76" t="s">
        <v>1013</v>
      </c>
      <c r="D154" s="76" t="s">
        <v>902</v>
      </c>
      <c r="E154" s="79"/>
      <c r="F154" s="79" t="s">
        <v>1014</v>
      </c>
      <c r="G154" s="76" t="s">
        <v>1015</v>
      </c>
    </row>
    <row r="155" spans="1:7">
      <c r="A155" s="77">
        <f t="shared" ca="1" si="5"/>
        <v>45966</v>
      </c>
      <c r="B155" s="80">
        <f t="shared" ca="1" si="4"/>
        <v>45966.428213888888</v>
      </c>
      <c r="C155" s="76" t="s">
        <v>1013</v>
      </c>
      <c r="D155" s="76" t="s">
        <v>902</v>
      </c>
      <c r="E155" s="79" t="s">
        <v>980</v>
      </c>
      <c r="F155" s="79"/>
    </row>
    <row r="156" spans="1:7">
      <c r="A156" s="77">
        <f t="shared" ca="1" si="5"/>
        <v>45966</v>
      </c>
      <c r="B156" s="80">
        <f t="shared" ca="1" si="4"/>
        <v>45966.429332754633</v>
      </c>
      <c r="C156" s="76" t="s">
        <v>1013</v>
      </c>
      <c r="D156" s="76" t="s">
        <v>902</v>
      </c>
      <c r="E156" s="79" t="s">
        <v>1016</v>
      </c>
      <c r="F156" s="79"/>
    </row>
    <row r="157" spans="1:7">
      <c r="A157" s="77">
        <f t="shared" ca="1" si="5"/>
        <v>45966</v>
      </c>
      <c r="B157" s="80">
        <f t="shared" ca="1" si="4"/>
        <v>45966.429544560182</v>
      </c>
      <c r="C157" s="76" t="s">
        <v>1013</v>
      </c>
      <c r="D157" s="76" t="s">
        <v>902</v>
      </c>
      <c r="E157" s="79" t="s">
        <v>1016</v>
      </c>
      <c r="F157" s="79"/>
    </row>
    <row r="158" spans="1:7">
      <c r="A158" s="77">
        <f t="shared" ca="1" si="5"/>
        <v>45966</v>
      </c>
      <c r="B158" s="80">
        <f t="shared" ca="1" si="4"/>
        <v>45966.429682870374</v>
      </c>
      <c r="C158" s="76" t="s">
        <v>1013</v>
      </c>
      <c r="D158" s="76" t="s">
        <v>902</v>
      </c>
      <c r="E158" s="79" t="s">
        <v>1016</v>
      </c>
      <c r="F158" s="79"/>
    </row>
    <row r="159" spans="1:7">
      <c r="A159" s="77">
        <f t="shared" ca="1" si="5"/>
        <v>45966</v>
      </c>
      <c r="B159" s="80">
        <f t="shared" ca="1" si="4"/>
        <v>45966.43055798611</v>
      </c>
      <c r="C159" s="76" t="s">
        <v>1013</v>
      </c>
      <c r="D159" s="76" t="s">
        <v>902</v>
      </c>
      <c r="E159" s="79" t="s">
        <v>1017</v>
      </c>
      <c r="F159" s="79"/>
    </row>
    <row r="160" spans="1:7">
      <c r="A160" s="77">
        <f t="shared" ca="1" si="5"/>
        <v>45966</v>
      </c>
      <c r="B160" s="80">
        <f t="shared" ca="1" si="4"/>
        <v>45966.432080208331</v>
      </c>
      <c r="C160" s="76" t="s">
        <v>1013</v>
      </c>
      <c r="D160" s="76" t="s">
        <v>902</v>
      </c>
      <c r="E160" s="79" t="s">
        <v>1018</v>
      </c>
      <c r="F160" s="79"/>
    </row>
    <row r="161" spans="1:7">
      <c r="A161" s="77">
        <f t="shared" ca="1" si="5"/>
        <v>45966</v>
      </c>
      <c r="B161" s="80">
        <f t="shared" ca="1" si="4"/>
        <v>45966.433807638889</v>
      </c>
      <c r="C161" s="76" t="s">
        <v>1013</v>
      </c>
      <c r="D161" s="76" t="s">
        <v>902</v>
      </c>
      <c r="E161" s="79" t="s">
        <v>1019</v>
      </c>
      <c r="F161" s="79"/>
    </row>
    <row r="162" spans="1:7">
      <c r="A162" s="77">
        <f t="shared" ca="1" si="5"/>
        <v>45966</v>
      </c>
      <c r="B162" s="80">
        <f t="shared" ca="1" si="4"/>
        <v>45966.434399537036</v>
      </c>
      <c r="C162" s="76" t="s">
        <v>1013</v>
      </c>
      <c r="D162" s="76" t="s">
        <v>902</v>
      </c>
      <c r="E162" s="79" t="s">
        <v>1020</v>
      </c>
      <c r="F162" s="79"/>
    </row>
    <row r="163" spans="1:7">
      <c r="A163" s="77">
        <f t="shared" ca="1" si="5"/>
        <v>45966</v>
      </c>
      <c r="B163" s="80">
        <f t="shared" ca="1" si="4"/>
        <v>45966.435818865742</v>
      </c>
      <c r="C163" s="76" t="s">
        <v>1013</v>
      </c>
      <c r="D163" s="76" t="s">
        <v>902</v>
      </c>
      <c r="E163" s="79" t="s">
        <v>1012</v>
      </c>
      <c r="F163" s="79"/>
    </row>
    <row r="164" spans="1:7">
      <c r="A164" s="77">
        <f t="shared" ca="1" si="5"/>
        <v>45966</v>
      </c>
      <c r="B164" s="80">
        <f t="shared" ca="1" si="4"/>
        <v>45966.436547685182</v>
      </c>
      <c r="C164" s="76" t="s">
        <v>1013</v>
      </c>
      <c r="D164" s="76" t="s">
        <v>902</v>
      </c>
      <c r="E164" s="82" t="s">
        <v>1016</v>
      </c>
      <c r="F164" s="79"/>
    </row>
    <row r="165" spans="1:7">
      <c r="A165" s="77">
        <f t="shared" ca="1" si="5"/>
        <v>45966</v>
      </c>
      <c r="B165" s="80">
        <f t="shared" ca="1" si="4"/>
        <v>45966.436807060185</v>
      </c>
      <c r="C165" s="76" t="s">
        <v>1013</v>
      </c>
      <c r="D165" s="76" t="s">
        <v>902</v>
      </c>
      <c r="E165" s="79" t="s">
        <v>1021</v>
      </c>
      <c r="F165" s="79"/>
    </row>
    <row r="166" spans="1:7">
      <c r="A166" s="77">
        <f t="shared" ca="1" si="5"/>
        <v>45966</v>
      </c>
      <c r="B166" s="80">
        <f t="shared" ca="1" si="4"/>
        <v>45966.438367592593</v>
      </c>
      <c r="C166" s="76" t="s">
        <v>1013</v>
      </c>
      <c r="D166" s="76" t="s">
        <v>902</v>
      </c>
      <c r="E166" s="79" t="s">
        <v>1020</v>
      </c>
      <c r="F166" s="79"/>
    </row>
    <row r="167" spans="1:7">
      <c r="A167" s="77">
        <f t="shared" ca="1" si="5"/>
        <v>45966</v>
      </c>
      <c r="B167" s="80">
        <f t="shared" ca="1" si="4"/>
        <v>45966.438515277776</v>
      </c>
      <c r="C167" s="76" t="s">
        <v>1013</v>
      </c>
      <c r="D167" s="76" t="s">
        <v>902</v>
      </c>
      <c r="E167" s="79" t="s">
        <v>1022</v>
      </c>
      <c r="F167" s="79"/>
    </row>
    <row r="168" spans="1:7">
      <c r="A168" s="77">
        <f t="shared" ca="1" si="5"/>
        <v>45966</v>
      </c>
      <c r="B168" s="80">
        <f t="shared" ca="1" si="4"/>
        <v>45966.443575231482</v>
      </c>
      <c r="C168" s="76" t="s">
        <v>1013</v>
      </c>
      <c r="D168" s="76" t="s">
        <v>902</v>
      </c>
      <c r="E168" s="79" t="s">
        <v>1023</v>
      </c>
      <c r="F168" s="79"/>
    </row>
    <row r="169" spans="1:7">
      <c r="A169" s="77">
        <f t="shared" ca="1" si="5"/>
        <v>45966</v>
      </c>
      <c r="B169" s="80">
        <f t="shared" ca="1" si="4"/>
        <v>45966.45638333333</v>
      </c>
      <c r="C169" s="76" t="s">
        <v>1013</v>
      </c>
      <c r="D169" s="76" t="s">
        <v>902</v>
      </c>
      <c r="E169" s="76" t="s">
        <v>1024</v>
      </c>
      <c r="F169" s="79"/>
    </row>
    <row r="170" spans="1:7">
      <c r="A170" s="77">
        <f t="shared" ca="1" si="5"/>
        <v>45966</v>
      </c>
      <c r="B170" s="80">
        <f t="shared" ca="1" si="4"/>
        <v>45966.457652893521</v>
      </c>
      <c r="C170" s="76" t="s">
        <v>1013</v>
      </c>
      <c r="D170" s="76" t="s">
        <v>902</v>
      </c>
      <c r="E170" s="79" t="s">
        <v>1025</v>
      </c>
      <c r="F170" s="79"/>
    </row>
    <row r="171" spans="1:7">
      <c r="A171" s="77">
        <f t="shared" ca="1" si="5"/>
        <v>45966</v>
      </c>
      <c r="B171" s="80">
        <f t="shared" ca="1" si="4"/>
        <v>45966.462995717593</v>
      </c>
      <c r="C171" s="76" t="s">
        <v>1013</v>
      </c>
      <c r="D171" s="76" t="s">
        <v>902</v>
      </c>
      <c r="E171" s="79" t="s">
        <v>1026</v>
      </c>
      <c r="F171" s="79"/>
    </row>
    <row r="172" spans="1:7">
      <c r="A172" s="77">
        <f t="shared" ca="1" si="5"/>
        <v>45966</v>
      </c>
      <c r="B172" s="80">
        <f t="shared" ca="1" si="4"/>
        <v>45966.464157986113</v>
      </c>
      <c r="C172" s="76" t="s">
        <v>1013</v>
      </c>
      <c r="D172" s="76" t="s">
        <v>902</v>
      </c>
      <c r="E172" s="79" t="s">
        <v>955</v>
      </c>
      <c r="F172" s="79"/>
    </row>
    <row r="173" spans="1:7">
      <c r="A173" s="77">
        <f t="shared" ca="1" si="5"/>
        <v>45966</v>
      </c>
      <c r="B173" s="80">
        <f t="shared" ca="1" si="4"/>
        <v>45966.467560648147</v>
      </c>
      <c r="C173" s="76" t="s">
        <v>1013</v>
      </c>
      <c r="D173" s="76" t="s">
        <v>902</v>
      </c>
      <c r="E173" s="79" t="s">
        <v>1027</v>
      </c>
      <c r="F173" s="79"/>
    </row>
    <row r="174" spans="1:7">
      <c r="A174" s="77">
        <f t="shared" ca="1" si="5"/>
        <v>45966</v>
      </c>
      <c r="B174" s="80">
        <f t="shared" ca="1" si="4"/>
        <v>45966.469683217591</v>
      </c>
      <c r="C174" s="76" t="s">
        <v>1013</v>
      </c>
      <c r="D174" s="76" t="s">
        <v>902</v>
      </c>
      <c r="E174" s="79" t="s">
        <v>1028</v>
      </c>
      <c r="F174" s="79"/>
    </row>
    <row r="175" spans="1:7">
      <c r="A175" s="77">
        <f t="shared" ca="1" si="5"/>
        <v>45966</v>
      </c>
      <c r="B175" s="80">
        <f t="shared" ref="B175:B230" ca="1" si="6">IF(C175&lt;&gt;0,IF(B175=0,NOW(),B175),)</f>
        <v>45966.482466782407</v>
      </c>
      <c r="C175" s="76" t="s">
        <v>1013</v>
      </c>
      <c r="D175" s="76" t="s">
        <v>902</v>
      </c>
      <c r="E175" s="79" t="s">
        <v>1029</v>
      </c>
      <c r="F175" s="79"/>
    </row>
    <row r="176" spans="1:7">
      <c r="A176" s="77">
        <f t="shared" ca="1" si="5"/>
        <v>45966</v>
      </c>
      <c r="B176" s="80">
        <f t="shared" ca="1" si="6"/>
        <v>45966.495224999999</v>
      </c>
      <c r="C176" s="76" t="s">
        <v>1013</v>
      </c>
      <c r="D176" s="76" t="s">
        <v>902</v>
      </c>
      <c r="E176" s="79" t="s">
        <v>1030</v>
      </c>
      <c r="F176" s="79"/>
      <c r="G176" s="76" t="s">
        <v>1031</v>
      </c>
    </row>
    <row r="177" spans="1:6">
      <c r="A177" s="77">
        <f t="shared" ca="1" si="5"/>
        <v>45966</v>
      </c>
      <c r="B177" s="80">
        <f t="shared" ca="1" si="6"/>
        <v>45966.511584490741</v>
      </c>
      <c r="C177" s="76" t="s">
        <v>1013</v>
      </c>
      <c r="D177" s="76" t="s">
        <v>902</v>
      </c>
      <c r="E177" s="79" t="s">
        <v>1027</v>
      </c>
      <c r="F177" s="79"/>
    </row>
    <row r="178" spans="1:6">
      <c r="A178" s="77">
        <f t="shared" ca="1" si="5"/>
        <v>45966</v>
      </c>
      <c r="B178" s="80">
        <f t="shared" ca="1" si="6"/>
        <v>45966.513927662039</v>
      </c>
      <c r="C178" s="76" t="s">
        <v>1013</v>
      </c>
      <c r="D178" s="76" t="s">
        <v>902</v>
      </c>
      <c r="E178" s="79" t="s">
        <v>1032</v>
      </c>
      <c r="F178" s="79"/>
    </row>
    <row r="179" spans="1:6">
      <c r="A179" s="77">
        <f t="shared" ca="1" si="5"/>
        <v>45966</v>
      </c>
      <c r="B179" s="80">
        <f t="shared" ca="1" si="6"/>
        <v>45966.515221643516</v>
      </c>
      <c r="C179" s="76" t="s">
        <v>1013</v>
      </c>
      <c r="D179" s="76" t="s">
        <v>902</v>
      </c>
      <c r="E179" s="79" t="s">
        <v>1021</v>
      </c>
      <c r="F179" s="79"/>
    </row>
    <row r="180" spans="1:6">
      <c r="A180" s="77">
        <f t="shared" ca="1" si="5"/>
        <v>45966</v>
      </c>
      <c r="B180" s="80">
        <f t="shared" ca="1" si="6"/>
        <v>45966.516661458336</v>
      </c>
      <c r="C180" s="76" t="s">
        <v>1013</v>
      </c>
      <c r="D180" s="76" t="s">
        <v>902</v>
      </c>
      <c r="E180" s="79" t="s">
        <v>1033</v>
      </c>
      <c r="F180" s="79"/>
    </row>
    <row r="181" spans="1:6">
      <c r="A181" s="77">
        <f t="shared" ca="1" si="5"/>
        <v>45966</v>
      </c>
      <c r="B181" s="80">
        <f t="shared" ca="1" si="6"/>
        <v>45966.518192129632</v>
      </c>
      <c r="C181" s="76" t="s">
        <v>1013</v>
      </c>
      <c r="D181" s="76" t="s">
        <v>902</v>
      </c>
      <c r="E181" s="79" t="s">
        <v>1026</v>
      </c>
      <c r="F181" s="79"/>
    </row>
    <row r="182" spans="1:6">
      <c r="A182" s="77">
        <f t="shared" ca="1" si="5"/>
        <v>45966</v>
      </c>
      <c r="B182" s="80">
        <f t="shared" ca="1" si="6"/>
        <v>45966.520692824073</v>
      </c>
      <c r="C182" s="76" t="s">
        <v>1013</v>
      </c>
      <c r="D182" s="76" t="s">
        <v>902</v>
      </c>
      <c r="E182" s="79" t="s">
        <v>1034</v>
      </c>
      <c r="F182" s="79"/>
    </row>
    <row r="183" spans="1:6">
      <c r="A183" s="77">
        <f t="shared" ca="1" si="5"/>
        <v>45966</v>
      </c>
      <c r="B183" s="80">
        <f t="shared" ca="1" si="6"/>
        <v>45966.539530902781</v>
      </c>
      <c r="C183" s="76" t="s">
        <v>1013</v>
      </c>
      <c r="D183" s="210" t="s">
        <v>922</v>
      </c>
      <c r="E183" s="79"/>
      <c r="F183" s="79"/>
    </row>
    <row r="184" spans="1:6">
      <c r="A184" s="77">
        <f t="shared" ca="1" si="5"/>
        <v>45966</v>
      </c>
      <c r="B184" s="80">
        <f t="shared" ca="1" si="6"/>
        <v>45966.605392245372</v>
      </c>
      <c r="C184" s="76" t="s">
        <v>1035</v>
      </c>
      <c r="D184" s="210" t="s">
        <v>909</v>
      </c>
      <c r="E184" s="79"/>
      <c r="F184" s="79"/>
    </row>
    <row r="185" spans="1:6">
      <c r="A185" s="77">
        <f t="shared" ca="1" si="5"/>
        <v>45966</v>
      </c>
      <c r="B185" s="80">
        <f t="shared" ca="1" si="6"/>
        <v>45966.61424826389</v>
      </c>
      <c r="C185" s="76" t="s">
        <v>1035</v>
      </c>
      <c r="D185" s="76" t="s">
        <v>902</v>
      </c>
      <c r="E185" s="79" t="s">
        <v>1036</v>
      </c>
      <c r="F185" s="79"/>
    </row>
    <row r="186" spans="1:6">
      <c r="A186" s="77">
        <f t="shared" ca="1" si="5"/>
        <v>45966</v>
      </c>
      <c r="B186" s="80">
        <f t="shared" ca="1" si="6"/>
        <v>45966.615554861113</v>
      </c>
      <c r="C186" s="76" t="s">
        <v>1035</v>
      </c>
      <c r="D186" s="76" t="s">
        <v>902</v>
      </c>
      <c r="E186" s="79" t="s">
        <v>1037</v>
      </c>
      <c r="F186" s="79"/>
    </row>
    <row r="187" spans="1:6">
      <c r="A187" s="77">
        <f t="shared" ca="1" si="5"/>
        <v>45966</v>
      </c>
      <c r="B187" s="80">
        <f t="shared" ca="1" si="6"/>
        <v>45966.621664120372</v>
      </c>
      <c r="C187" s="76" t="s">
        <v>1035</v>
      </c>
      <c r="D187" s="76" t="s">
        <v>902</v>
      </c>
      <c r="E187" s="79" t="s">
        <v>1038</v>
      </c>
      <c r="F187" s="79"/>
    </row>
    <row r="188" spans="1:6">
      <c r="A188" s="77">
        <f t="shared" ca="1" si="5"/>
        <v>45966</v>
      </c>
      <c r="B188" s="80">
        <f t="shared" ca="1" si="6"/>
        <v>45966.625389004628</v>
      </c>
      <c r="C188" s="76" t="s">
        <v>1035</v>
      </c>
      <c r="D188" s="76" t="s">
        <v>902</v>
      </c>
      <c r="E188" s="79" t="s">
        <v>1039</v>
      </c>
      <c r="F188" s="79"/>
    </row>
    <row r="189" spans="1:6">
      <c r="A189" s="77">
        <f t="shared" ca="1" si="5"/>
        <v>45966</v>
      </c>
      <c r="B189" s="80">
        <f t="shared" ca="1" si="6"/>
        <v>45966.625821875001</v>
      </c>
      <c r="C189" s="76" t="s">
        <v>1035</v>
      </c>
      <c r="D189" s="76" t="s">
        <v>902</v>
      </c>
      <c r="E189" s="79" t="s">
        <v>955</v>
      </c>
      <c r="F189" s="79"/>
    </row>
    <row r="190" spans="1:6">
      <c r="A190" s="77">
        <f t="shared" ca="1" si="5"/>
        <v>45966</v>
      </c>
      <c r="B190" s="80">
        <f t="shared" ca="1" si="6"/>
        <v>45966.626490972223</v>
      </c>
      <c r="C190" s="76" t="s">
        <v>1035</v>
      </c>
      <c r="D190" s="76" t="s">
        <v>902</v>
      </c>
      <c r="E190" s="79" t="s">
        <v>1040</v>
      </c>
      <c r="F190" s="79"/>
    </row>
    <row r="191" spans="1:6">
      <c r="A191" s="77">
        <f t="shared" ca="1" si="5"/>
        <v>45966</v>
      </c>
      <c r="B191" s="80">
        <f t="shared" ca="1" si="6"/>
        <v>45966.626867824074</v>
      </c>
      <c r="C191" s="76" t="s">
        <v>1035</v>
      </c>
      <c r="D191" s="76" t="s">
        <v>902</v>
      </c>
      <c r="E191" s="79" t="s">
        <v>1041</v>
      </c>
      <c r="F191" s="79"/>
    </row>
    <row r="192" spans="1:6">
      <c r="A192" s="77">
        <f t="shared" ca="1" si="5"/>
        <v>45966</v>
      </c>
      <c r="B192" s="80">
        <f t="shared" ca="1" si="6"/>
        <v>45966.62791909722</v>
      </c>
      <c r="C192" s="76" t="s">
        <v>1035</v>
      </c>
      <c r="D192" s="76" t="s">
        <v>902</v>
      </c>
      <c r="E192" s="79" t="s">
        <v>955</v>
      </c>
      <c r="F192" s="79"/>
    </row>
    <row r="193" spans="1:7">
      <c r="A193" s="77">
        <f t="shared" ca="1" si="5"/>
        <v>45966</v>
      </c>
      <c r="B193" s="80">
        <f t="shared" ca="1" si="6"/>
        <v>45966.629765509257</v>
      </c>
      <c r="C193" s="76" t="s">
        <v>1035</v>
      </c>
      <c r="D193" s="76" t="s">
        <v>902</v>
      </c>
      <c r="E193" s="79" t="s">
        <v>1042</v>
      </c>
      <c r="F193" s="79"/>
    </row>
    <row r="194" spans="1:7">
      <c r="A194" s="77">
        <f t="shared" ref="A194:A257" ca="1" si="7">IF(C194&lt;&gt;0,IF(A194=0,TODAY(),A194),)</f>
        <v>45966</v>
      </c>
      <c r="B194" s="80">
        <f t="shared" ca="1" si="6"/>
        <v>45966.632851388888</v>
      </c>
      <c r="C194" s="76" t="s">
        <v>1035</v>
      </c>
      <c r="D194" s="76" t="s">
        <v>902</v>
      </c>
      <c r="E194" s="79" t="s">
        <v>1043</v>
      </c>
      <c r="F194" s="79"/>
    </row>
    <row r="195" spans="1:7">
      <c r="A195" s="77">
        <f t="shared" ca="1" si="7"/>
        <v>45966</v>
      </c>
      <c r="B195" s="80">
        <f t="shared" ca="1" si="6"/>
        <v>45966.633471412038</v>
      </c>
      <c r="C195" s="76" t="s">
        <v>1035</v>
      </c>
      <c r="D195" s="76" t="s">
        <v>902</v>
      </c>
      <c r="E195" s="79" t="s">
        <v>955</v>
      </c>
      <c r="F195" s="79"/>
    </row>
    <row r="196" spans="1:7">
      <c r="A196" s="77">
        <f t="shared" ca="1" si="7"/>
        <v>45966</v>
      </c>
      <c r="B196" s="80">
        <f t="shared" ca="1" si="6"/>
        <v>45966.634804745372</v>
      </c>
      <c r="C196" s="76" t="s">
        <v>1035</v>
      </c>
      <c r="D196" s="76" t="s">
        <v>902</v>
      </c>
      <c r="E196" s="79" t="s">
        <v>1044</v>
      </c>
      <c r="F196" s="79"/>
    </row>
    <row r="197" spans="1:7">
      <c r="A197" s="77">
        <f t="shared" ca="1" si="7"/>
        <v>45966</v>
      </c>
      <c r="B197" s="80">
        <f t="shared" ca="1" si="6"/>
        <v>45966.637612962964</v>
      </c>
      <c r="C197" s="76" t="s">
        <v>1035</v>
      </c>
      <c r="D197" s="76" t="s">
        <v>902</v>
      </c>
      <c r="E197" s="79" t="s">
        <v>1020</v>
      </c>
      <c r="F197" s="79"/>
    </row>
    <row r="198" spans="1:7">
      <c r="A198" s="77">
        <f t="shared" ca="1" si="7"/>
        <v>45966</v>
      </c>
      <c r="B198" s="80">
        <f t="shared" ca="1" si="6"/>
        <v>45966.641992824072</v>
      </c>
      <c r="C198" s="76" t="s">
        <v>1035</v>
      </c>
      <c r="D198" s="76" t="s">
        <v>902</v>
      </c>
      <c r="E198" s="83" t="s">
        <v>1020</v>
      </c>
      <c r="F198" s="79"/>
    </row>
    <row r="199" spans="1:7">
      <c r="A199" s="77">
        <f t="shared" ca="1" si="7"/>
        <v>45966</v>
      </c>
      <c r="B199" s="80">
        <f t="shared" ca="1" si="6"/>
        <v>45966.646652430558</v>
      </c>
      <c r="C199" s="76" t="s">
        <v>1035</v>
      </c>
      <c r="D199" s="76" t="s">
        <v>902</v>
      </c>
      <c r="E199" s="83" t="s">
        <v>1020</v>
      </c>
      <c r="F199" s="79"/>
    </row>
    <row r="200" spans="1:7">
      <c r="A200" s="77">
        <f t="shared" ca="1" si="7"/>
        <v>45966</v>
      </c>
      <c r="B200" s="80">
        <f t="shared" ca="1" si="6"/>
        <v>45966.646955902776</v>
      </c>
      <c r="C200" s="76" t="s">
        <v>1035</v>
      </c>
      <c r="D200" s="76" t="s">
        <v>902</v>
      </c>
      <c r="E200" s="83" t="s">
        <v>1020</v>
      </c>
      <c r="F200" s="79"/>
    </row>
    <row r="201" spans="1:7">
      <c r="A201" s="77">
        <f t="shared" ca="1" si="7"/>
        <v>45966</v>
      </c>
      <c r="B201" s="80">
        <f t="shared" ca="1" si="6"/>
        <v>45966.650442708335</v>
      </c>
      <c r="C201" s="76" t="s">
        <v>1035</v>
      </c>
      <c r="D201" s="76" t="s">
        <v>902</v>
      </c>
      <c r="E201" s="83" t="s">
        <v>1020</v>
      </c>
      <c r="F201" s="79"/>
    </row>
    <row r="202" spans="1:7">
      <c r="A202" s="77">
        <f t="shared" ca="1" si="7"/>
        <v>45966</v>
      </c>
      <c r="B202" s="80">
        <f t="shared" ca="1" si="6"/>
        <v>45966.656714004632</v>
      </c>
      <c r="C202" s="76" t="s">
        <v>1035</v>
      </c>
      <c r="D202" s="76" t="s">
        <v>902</v>
      </c>
      <c r="E202" s="79" t="s">
        <v>1045</v>
      </c>
      <c r="F202" s="79"/>
    </row>
    <row r="203" spans="1:7">
      <c r="A203" s="77">
        <f t="shared" ca="1" si="7"/>
        <v>45966</v>
      </c>
      <c r="B203" s="80">
        <f t="shared" ca="1" si="6"/>
        <v>45966.660291087966</v>
      </c>
      <c r="C203" s="76" t="s">
        <v>1035</v>
      </c>
      <c r="D203" s="76" t="s">
        <v>902</v>
      </c>
      <c r="E203" s="79" t="s">
        <v>955</v>
      </c>
      <c r="F203" s="79"/>
    </row>
    <row r="204" spans="1:7">
      <c r="A204" s="77">
        <f t="shared" ca="1" si="7"/>
        <v>45966</v>
      </c>
      <c r="B204" s="80">
        <f t="shared" ca="1" si="6"/>
        <v>45966.660691203702</v>
      </c>
      <c r="C204" s="76" t="s">
        <v>1035</v>
      </c>
      <c r="D204" s="76" t="s">
        <v>902</v>
      </c>
      <c r="E204" s="79"/>
      <c r="F204" s="79" t="s">
        <v>1010</v>
      </c>
      <c r="G204" s="76" t="s">
        <v>1011</v>
      </c>
    </row>
    <row r="205" spans="1:7">
      <c r="A205" s="77">
        <f t="shared" ca="1" si="7"/>
        <v>45966</v>
      </c>
      <c r="B205" s="80">
        <f t="shared" ca="1" si="6"/>
        <v>45966.661698842596</v>
      </c>
      <c r="C205" s="76" t="s">
        <v>1035</v>
      </c>
      <c r="D205" s="76" t="s">
        <v>902</v>
      </c>
      <c r="E205" s="79" t="s">
        <v>955</v>
      </c>
      <c r="F205" s="79"/>
    </row>
    <row r="206" spans="1:7">
      <c r="A206" s="77">
        <f t="shared" ca="1" si="7"/>
        <v>45966</v>
      </c>
      <c r="B206" s="80">
        <f t="shared" ca="1" si="6"/>
        <v>45966.664042939818</v>
      </c>
      <c r="C206" s="76" t="s">
        <v>1035</v>
      </c>
      <c r="D206" s="76" t="s">
        <v>902</v>
      </c>
      <c r="E206" s="79" t="s">
        <v>955</v>
      </c>
      <c r="F206" s="79"/>
    </row>
    <row r="207" spans="1:7">
      <c r="A207" s="77">
        <f t="shared" ca="1" si="7"/>
        <v>45966</v>
      </c>
      <c r="B207" s="80">
        <f t="shared" ca="1" si="6"/>
        <v>45966.666017476855</v>
      </c>
      <c r="C207" s="76" t="s">
        <v>1035</v>
      </c>
      <c r="D207" s="210" t="s">
        <v>922</v>
      </c>
      <c r="E207" s="79"/>
      <c r="F207" s="79"/>
    </row>
    <row r="208" spans="1:7">
      <c r="A208" s="77">
        <f t="shared" ca="1" si="7"/>
        <v>45966</v>
      </c>
      <c r="B208" s="80">
        <f t="shared" ca="1" si="6"/>
        <v>45966.699845138886</v>
      </c>
      <c r="C208" s="76" t="s">
        <v>1046</v>
      </c>
      <c r="D208" s="210" t="s">
        <v>909</v>
      </c>
      <c r="E208" s="79"/>
      <c r="F208" s="79"/>
    </row>
    <row r="209" spans="1:7">
      <c r="A209" s="77">
        <f t="shared" ca="1" si="7"/>
        <v>45966</v>
      </c>
      <c r="B209" s="80">
        <f t="shared" ca="1" si="6"/>
        <v>45966.700593981484</v>
      </c>
      <c r="C209" s="76" t="s">
        <v>1046</v>
      </c>
      <c r="D209" s="76" t="s">
        <v>902</v>
      </c>
      <c r="E209" s="79" t="s">
        <v>1047</v>
      </c>
      <c r="F209" s="79"/>
    </row>
    <row r="210" spans="1:7">
      <c r="A210" s="77">
        <f t="shared" ca="1" si="7"/>
        <v>45966</v>
      </c>
      <c r="B210" s="80">
        <f t="shared" ca="1" si="6"/>
        <v>45966.70581388889</v>
      </c>
      <c r="C210" s="76" t="s">
        <v>1046</v>
      </c>
      <c r="D210" s="76" t="s">
        <v>902</v>
      </c>
      <c r="E210" s="79" t="s">
        <v>955</v>
      </c>
      <c r="F210" s="79"/>
    </row>
    <row r="211" spans="1:7">
      <c r="A211" s="77">
        <f t="shared" ca="1" si="7"/>
        <v>45966</v>
      </c>
      <c r="B211" s="80">
        <f t="shared" ca="1" si="6"/>
        <v>45966.706454629631</v>
      </c>
      <c r="C211" s="76" t="s">
        <v>1046</v>
      </c>
      <c r="D211" s="76" t="s">
        <v>902</v>
      </c>
      <c r="E211" s="79" t="s">
        <v>1034</v>
      </c>
      <c r="F211" s="79"/>
    </row>
    <row r="212" spans="1:7">
      <c r="A212" s="77">
        <f t="shared" ca="1" si="7"/>
        <v>45966</v>
      </c>
      <c r="B212" s="80">
        <f t="shared" ca="1" si="6"/>
        <v>45966.706895254632</v>
      </c>
      <c r="C212" s="76" t="s">
        <v>1046</v>
      </c>
      <c r="D212" s="76" t="s">
        <v>902</v>
      </c>
      <c r="E212" s="79" t="s">
        <v>1020</v>
      </c>
      <c r="F212" s="79"/>
    </row>
    <row r="213" spans="1:7">
      <c r="A213" s="77">
        <f t="shared" ca="1" si="7"/>
        <v>45966</v>
      </c>
      <c r="B213" s="80">
        <f t="shared" ca="1" si="6"/>
        <v>45966.708236921295</v>
      </c>
      <c r="C213" s="76" t="s">
        <v>1046</v>
      </c>
      <c r="D213" s="76" t="s">
        <v>902</v>
      </c>
      <c r="E213" s="79" t="s">
        <v>1048</v>
      </c>
      <c r="F213" s="79"/>
    </row>
    <row r="214" spans="1:7">
      <c r="A214" s="77">
        <f t="shared" ca="1" si="7"/>
        <v>45966</v>
      </c>
      <c r="B214" s="80">
        <f t="shared" ca="1" si="6"/>
        <v>45966.709114583333</v>
      </c>
      <c r="C214" s="76" t="s">
        <v>1046</v>
      </c>
      <c r="D214" s="76" t="s">
        <v>902</v>
      </c>
      <c r="E214" s="79" t="s">
        <v>1049</v>
      </c>
      <c r="F214" s="79"/>
    </row>
    <row r="215" spans="1:7">
      <c r="A215" s="77">
        <f t="shared" ca="1" si="7"/>
        <v>45966</v>
      </c>
      <c r="B215" s="80">
        <f t="shared" ca="1" si="6"/>
        <v>45966.709365277777</v>
      </c>
      <c r="C215" s="76" t="s">
        <v>1046</v>
      </c>
      <c r="D215" s="76" t="s">
        <v>902</v>
      </c>
      <c r="E215" s="79" t="s">
        <v>1050</v>
      </c>
      <c r="F215" s="79"/>
    </row>
    <row r="216" spans="1:7">
      <c r="A216" s="77">
        <f t="shared" ca="1" si="7"/>
        <v>45966</v>
      </c>
      <c r="B216" s="80">
        <f t="shared" ca="1" si="6"/>
        <v>45966.709895254629</v>
      </c>
      <c r="C216" s="76" t="s">
        <v>1046</v>
      </c>
      <c r="D216" s="76" t="s">
        <v>902</v>
      </c>
      <c r="E216" s="79" t="s">
        <v>955</v>
      </c>
      <c r="F216" s="79"/>
    </row>
    <row r="217" spans="1:7">
      <c r="A217" s="77">
        <f t="shared" ca="1" si="7"/>
        <v>45966</v>
      </c>
      <c r="B217" s="80">
        <f t="shared" ca="1" si="6"/>
        <v>45966.715900000003</v>
      </c>
      <c r="C217" s="76" t="s">
        <v>1046</v>
      </c>
      <c r="D217" s="150" t="s">
        <v>1007</v>
      </c>
      <c r="E217" s="79" t="s">
        <v>1051</v>
      </c>
      <c r="F217" s="79"/>
      <c r="G217" s="76" t="s">
        <v>1052</v>
      </c>
    </row>
    <row r="218" spans="1:7">
      <c r="A218" s="77">
        <f t="shared" ca="1" si="7"/>
        <v>45966</v>
      </c>
      <c r="B218" s="80">
        <f t="shared" ca="1" si="6"/>
        <v>45966.719974537038</v>
      </c>
      <c r="C218" s="76" t="s">
        <v>1046</v>
      </c>
      <c r="D218" s="76" t="s">
        <v>902</v>
      </c>
      <c r="E218" s="79" t="s">
        <v>1053</v>
      </c>
      <c r="F218" s="79"/>
    </row>
    <row r="219" spans="1:7">
      <c r="A219" s="77">
        <f t="shared" ca="1" si="7"/>
        <v>45966</v>
      </c>
      <c r="B219" s="80">
        <f t="shared" ca="1" si="6"/>
        <v>45966.722723148145</v>
      </c>
      <c r="C219" s="76" t="s">
        <v>1046</v>
      </c>
      <c r="D219" s="76" t="s">
        <v>902</v>
      </c>
      <c r="E219" s="79" t="s">
        <v>996</v>
      </c>
      <c r="F219" s="79"/>
    </row>
    <row r="220" spans="1:7">
      <c r="A220" s="77">
        <f t="shared" ca="1" si="7"/>
        <v>45966</v>
      </c>
      <c r="B220" s="80">
        <f t="shared" ca="1" si="6"/>
        <v>45966.726416898149</v>
      </c>
      <c r="C220" s="76" t="s">
        <v>1046</v>
      </c>
      <c r="D220" s="76" t="s">
        <v>902</v>
      </c>
      <c r="E220" s="79" t="s">
        <v>1054</v>
      </c>
      <c r="F220" s="79"/>
    </row>
    <row r="221" spans="1:7">
      <c r="A221" s="77">
        <f t="shared" ca="1" si="7"/>
        <v>45966</v>
      </c>
      <c r="B221" s="80">
        <f t="shared" ca="1" si="6"/>
        <v>45966.726775694442</v>
      </c>
      <c r="C221" s="76" t="s">
        <v>1046</v>
      </c>
      <c r="D221" s="76" t="s">
        <v>902</v>
      </c>
      <c r="E221" s="79" t="s">
        <v>955</v>
      </c>
      <c r="F221" s="79"/>
    </row>
    <row r="222" spans="1:7">
      <c r="A222" s="77">
        <f t="shared" ca="1" si="7"/>
        <v>45966</v>
      </c>
      <c r="B222" s="80">
        <f t="shared" ca="1" si="6"/>
        <v>45966.730093749997</v>
      </c>
      <c r="C222" s="76" t="s">
        <v>1046</v>
      </c>
      <c r="D222" s="76" t="s">
        <v>902</v>
      </c>
      <c r="E222" s="79" t="s">
        <v>1055</v>
      </c>
      <c r="F222" s="79"/>
    </row>
    <row r="223" spans="1:7">
      <c r="A223" s="77">
        <f t="shared" ca="1" si="7"/>
        <v>45966</v>
      </c>
      <c r="B223" s="80">
        <f t="shared" ca="1" si="6"/>
        <v>45966.731798032408</v>
      </c>
      <c r="C223" s="76" t="s">
        <v>1046</v>
      </c>
      <c r="D223" s="76" t="s">
        <v>902</v>
      </c>
      <c r="E223" s="79" t="s">
        <v>1056</v>
      </c>
      <c r="F223" s="79"/>
    </row>
    <row r="224" spans="1:7">
      <c r="A224" s="77">
        <f t="shared" ca="1" si="7"/>
        <v>45966</v>
      </c>
      <c r="B224" s="80">
        <f t="shared" ca="1" si="6"/>
        <v>45966.733996643517</v>
      </c>
      <c r="C224" s="76" t="s">
        <v>1046</v>
      </c>
      <c r="D224" s="76" t="s">
        <v>902</v>
      </c>
      <c r="E224" s="79" t="s">
        <v>932</v>
      </c>
      <c r="F224" s="79"/>
    </row>
    <row r="225" spans="1:7">
      <c r="A225" s="77">
        <f t="shared" ca="1" si="7"/>
        <v>45966</v>
      </c>
      <c r="B225" s="80">
        <f t="shared" ca="1" si="6"/>
        <v>45966.738276504628</v>
      </c>
      <c r="C225" s="76" t="s">
        <v>1046</v>
      </c>
      <c r="D225" s="76" t="s">
        <v>902</v>
      </c>
      <c r="E225" s="79" t="s">
        <v>1056</v>
      </c>
      <c r="F225" s="79"/>
    </row>
    <row r="226" spans="1:7">
      <c r="A226" s="77">
        <f t="shared" ca="1" si="7"/>
        <v>45966</v>
      </c>
      <c r="B226" s="80">
        <f t="shared" ca="1" si="6"/>
        <v>45966.73990763889</v>
      </c>
      <c r="C226" s="76" t="s">
        <v>1046</v>
      </c>
      <c r="D226" s="76" t="s">
        <v>902</v>
      </c>
      <c r="E226" s="79" t="s">
        <v>1056</v>
      </c>
      <c r="F226" s="79"/>
    </row>
    <row r="227" spans="1:7">
      <c r="A227" s="77">
        <f t="shared" ca="1" si="7"/>
        <v>45966</v>
      </c>
      <c r="B227" s="80">
        <f t="shared" ca="1" si="6"/>
        <v>45966.740997569446</v>
      </c>
      <c r="C227" s="76" t="s">
        <v>1046</v>
      </c>
      <c r="D227" s="76" t="s">
        <v>902</v>
      </c>
      <c r="E227" s="79"/>
      <c r="F227" s="79" t="s">
        <v>1010</v>
      </c>
      <c r="G227" s="76" t="s">
        <v>1011</v>
      </c>
    </row>
    <row r="228" spans="1:7">
      <c r="A228" s="77">
        <f t="shared" ca="1" si="7"/>
        <v>45966</v>
      </c>
      <c r="B228" s="80">
        <f t="shared" ca="1" si="6"/>
        <v>45966.74839108796</v>
      </c>
      <c r="C228" s="76" t="s">
        <v>1046</v>
      </c>
      <c r="D228" s="76" t="s">
        <v>902</v>
      </c>
      <c r="E228" s="79" t="s">
        <v>1057</v>
      </c>
      <c r="F228" s="79"/>
    </row>
    <row r="229" spans="1:7">
      <c r="A229" s="77">
        <f t="shared" ca="1" si="7"/>
        <v>45966</v>
      </c>
      <c r="B229" s="80">
        <f t="shared" ca="1" si="6"/>
        <v>45966.750796296299</v>
      </c>
      <c r="C229" s="76" t="s">
        <v>1046</v>
      </c>
      <c r="D229" s="76" t="s">
        <v>902</v>
      </c>
      <c r="E229" s="79" t="s">
        <v>1056</v>
      </c>
      <c r="F229" s="79"/>
    </row>
    <row r="230" spans="1:7">
      <c r="A230" s="77">
        <f t="shared" ca="1" si="7"/>
        <v>45966</v>
      </c>
      <c r="B230" s="80">
        <f t="shared" ca="1" si="6"/>
        <v>45966.752988657405</v>
      </c>
      <c r="C230" s="76" t="s">
        <v>1046</v>
      </c>
      <c r="D230" s="210" t="s">
        <v>922</v>
      </c>
      <c r="E230" s="79"/>
      <c r="F230" s="79"/>
    </row>
    <row r="231" spans="1:7">
      <c r="A231" s="77">
        <f t="shared" ca="1" si="7"/>
        <v>45966</v>
      </c>
      <c r="B231" s="84">
        <v>0.85645833333333332</v>
      </c>
      <c r="C231" s="76" t="s">
        <v>1058</v>
      </c>
      <c r="D231" s="210" t="s">
        <v>909</v>
      </c>
      <c r="E231" s="79"/>
      <c r="F231" s="79"/>
    </row>
    <row r="232" spans="1:7">
      <c r="A232" s="77">
        <f t="shared" ca="1" si="7"/>
        <v>45966</v>
      </c>
      <c r="B232" s="85">
        <v>45966.858414351853</v>
      </c>
      <c r="C232" s="76" t="s">
        <v>1058</v>
      </c>
      <c r="D232" s="150" t="s">
        <v>1059</v>
      </c>
      <c r="E232" s="79"/>
      <c r="F232" s="79"/>
    </row>
    <row r="233" spans="1:7">
      <c r="A233" s="77">
        <f t="shared" ca="1" si="7"/>
        <v>45966</v>
      </c>
      <c r="B233" s="85">
        <v>45966.858414351853</v>
      </c>
      <c r="C233" s="76" t="s">
        <v>1058</v>
      </c>
      <c r="D233" s="76" t="s">
        <v>902</v>
      </c>
      <c r="E233" s="79" t="s">
        <v>1060</v>
      </c>
      <c r="F233" s="79"/>
    </row>
    <row r="234" spans="1:7">
      <c r="A234" s="77">
        <f t="shared" ca="1" si="7"/>
        <v>45966</v>
      </c>
      <c r="B234" s="85">
        <v>45966.858414351853</v>
      </c>
      <c r="C234" s="76" t="s">
        <v>1058</v>
      </c>
      <c r="D234" s="76" t="s">
        <v>902</v>
      </c>
      <c r="E234" s="79" t="s">
        <v>1061</v>
      </c>
      <c r="F234" s="79"/>
    </row>
    <row r="235" spans="1:7">
      <c r="A235" s="77">
        <f t="shared" ca="1" si="7"/>
        <v>45966</v>
      </c>
      <c r="B235" s="85">
        <v>45966.858414351853</v>
      </c>
      <c r="C235" s="76" t="s">
        <v>1058</v>
      </c>
      <c r="D235" s="76" t="s">
        <v>902</v>
      </c>
      <c r="E235" s="79" t="s">
        <v>1062</v>
      </c>
      <c r="F235" s="79"/>
    </row>
    <row r="236" spans="1:7">
      <c r="A236" s="77">
        <f t="shared" ca="1" si="7"/>
        <v>45966</v>
      </c>
      <c r="B236" s="85">
        <v>45966.858414351853</v>
      </c>
      <c r="C236" s="76" t="s">
        <v>1058</v>
      </c>
      <c r="D236" s="76" t="s">
        <v>902</v>
      </c>
      <c r="E236" s="79" t="s">
        <v>1063</v>
      </c>
      <c r="F236" s="79"/>
    </row>
    <row r="237" spans="1:7">
      <c r="A237" s="77">
        <f t="shared" ca="1" si="7"/>
        <v>45966</v>
      </c>
      <c r="B237" s="85">
        <v>45966.858414351853</v>
      </c>
      <c r="C237" s="76" t="s">
        <v>1058</v>
      </c>
      <c r="D237" s="76" t="s">
        <v>902</v>
      </c>
      <c r="E237" s="79" t="s">
        <v>1012</v>
      </c>
      <c r="F237" s="79"/>
    </row>
    <row r="238" spans="1:7">
      <c r="A238" s="77">
        <f t="shared" ca="1" si="7"/>
        <v>45966</v>
      </c>
      <c r="B238" s="85">
        <v>45966.858414351853</v>
      </c>
      <c r="C238" s="76" t="s">
        <v>1058</v>
      </c>
      <c r="D238" s="76" t="s">
        <v>902</v>
      </c>
      <c r="E238" s="79" t="s">
        <v>1012</v>
      </c>
      <c r="F238" s="79"/>
    </row>
    <row r="239" spans="1:7">
      <c r="A239" s="77">
        <f t="shared" ca="1" si="7"/>
        <v>45966</v>
      </c>
      <c r="B239" s="85">
        <v>45966.858414351853</v>
      </c>
      <c r="C239" s="76" t="s">
        <v>1058</v>
      </c>
      <c r="D239" s="76" t="s">
        <v>902</v>
      </c>
      <c r="E239" s="79" t="s">
        <v>1012</v>
      </c>
      <c r="F239" s="79"/>
    </row>
    <row r="240" spans="1:7">
      <c r="A240" s="77">
        <f t="shared" ca="1" si="7"/>
        <v>45966</v>
      </c>
      <c r="B240" s="85">
        <v>45966.858414351853</v>
      </c>
      <c r="C240" s="76" t="s">
        <v>1058</v>
      </c>
      <c r="D240" s="76" t="s">
        <v>902</v>
      </c>
      <c r="E240" s="79" t="s">
        <v>1064</v>
      </c>
      <c r="F240" s="79"/>
    </row>
    <row r="241" spans="1:6">
      <c r="A241" s="77">
        <f t="shared" ca="1" si="7"/>
        <v>45966</v>
      </c>
      <c r="B241" s="85">
        <v>45966.858414351853</v>
      </c>
      <c r="C241" s="76" t="s">
        <v>1058</v>
      </c>
      <c r="D241" s="76" t="s">
        <v>902</v>
      </c>
      <c r="E241" s="79" t="s">
        <v>1012</v>
      </c>
      <c r="F241" s="79"/>
    </row>
    <row r="242" spans="1:6">
      <c r="A242" s="77">
        <f t="shared" ca="1" si="7"/>
        <v>45966</v>
      </c>
      <c r="B242" s="85">
        <v>45966.858414351853</v>
      </c>
      <c r="C242" s="76" t="s">
        <v>1058</v>
      </c>
      <c r="D242" s="76" t="s">
        <v>902</v>
      </c>
      <c r="E242" s="79" t="s">
        <v>1012</v>
      </c>
      <c r="F242" s="79"/>
    </row>
    <row r="243" spans="1:6">
      <c r="A243" s="77">
        <f t="shared" ca="1" si="7"/>
        <v>45966</v>
      </c>
      <c r="B243" s="86">
        <v>0.91094907407407411</v>
      </c>
      <c r="C243" s="76" t="s">
        <v>1058</v>
      </c>
      <c r="D243" s="210" t="s">
        <v>922</v>
      </c>
      <c r="E243" s="79"/>
      <c r="F243" s="79"/>
    </row>
    <row r="244" spans="1:6">
      <c r="A244" s="77">
        <f t="shared" ca="1" si="7"/>
        <v>45967</v>
      </c>
      <c r="B244" s="80">
        <f t="shared" ref="B244:B301" ca="1" si="8">IF(C244&lt;&gt;0,IF(B244=0,NOW(),B244),)</f>
        <v>45967.717422800924</v>
      </c>
      <c r="C244" s="76" t="s">
        <v>1065</v>
      </c>
      <c r="D244" s="210" t="s">
        <v>906</v>
      </c>
      <c r="E244" s="79"/>
      <c r="F244" s="79"/>
    </row>
    <row r="245" spans="1:6">
      <c r="A245" s="77">
        <f t="shared" ca="1" si="7"/>
        <v>45967</v>
      </c>
      <c r="B245" s="80">
        <v>0.15694444444444444</v>
      </c>
      <c r="C245" s="76" t="s">
        <v>1065</v>
      </c>
      <c r="D245" s="210" t="s">
        <v>909</v>
      </c>
      <c r="E245" s="79"/>
      <c r="F245" s="79"/>
    </row>
    <row r="246" spans="1:6">
      <c r="A246" s="77">
        <f t="shared" ca="1" si="7"/>
        <v>45967</v>
      </c>
      <c r="B246" s="87">
        <f t="shared" ca="1" si="8"/>
        <v>45967.717422800924</v>
      </c>
      <c r="C246" s="76" t="s">
        <v>1065</v>
      </c>
      <c r="D246" s="76" t="s">
        <v>902</v>
      </c>
      <c r="E246" s="79" t="s">
        <v>1066</v>
      </c>
      <c r="F246" s="79"/>
    </row>
    <row r="247" spans="1:6">
      <c r="A247" s="77">
        <f t="shared" ca="1" si="7"/>
        <v>45967</v>
      </c>
      <c r="B247" s="87">
        <f t="shared" ca="1" si="8"/>
        <v>45967.717422800924</v>
      </c>
      <c r="C247" s="76" t="s">
        <v>1065</v>
      </c>
      <c r="D247" s="76" t="s">
        <v>902</v>
      </c>
      <c r="E247" s="79" t="s">
        <v>1067</v>
      </c>
      <c r="F247" s="79"/>
    </row>
    <row r="248" spans="1:6">
      <c r="A248" s="77">
        <f t="shared" ca="1" si="7"/>
        <v>45967</v>
      </c>
      <c r="B248" s="87">
        <f t="shared" ca="1" si="8"/>
        <v>45967.717422800924</v>
      </c>
      <c r="C248" s="76" t="s">
        <v>1065</v>
      </c>
      <c r="D248" s="76" t="s">
        <v>902</v>
      </c>
      <c r="E248" s="79" t="s">
        <v>1012</v>
      </c>
      <c r="F248" s="79"/>
    </row>
    <row r="249" spans="1:6">
      <c r="A249" s="77">
        <f t="shared" ca="1" si="7"/>
        <v>45967</v>
      </c>
      <c r="B249" s="87">
        <f t="shared" ca="1" si="8"/>
        <v>45967.717422800924</v>
      </c>
      <c r="C249" s="76" t="s">
        <v>1065</v>
      </c>
      <c r="D249" s="76" t="s">
        <v>902</v>
      </c>
      <c r="E249" s="79" t="s">
        <v>1068</v>
      </c>
      <c r="F249" s="79"/>
    </row>
    <row r="250" spans="1:6">
      <c r="A250" s="77">
        <f t="shared" ca="1" si="7"/>
        <v>45967</v>
      </c>
      <c r="B250" s="87">
        <f t="shared" ca="1" si="8"/>
        <v>45967.717422800924</v>
      </c>
      <c r="C250" s="76" t="s">
        <v>1065</v>
      </c>
      <c r="D250" s="76" t="s">
        <v>902</v>
      </c>
      <c r="E250" s="79" t="s">
        <v>1069</v>
      </c>
      <c r="F250" s="79"/>
    </row>
    <row r="251" spans="1:6">
      <c r="A251" s="77">
        <f t="shared" ca="1" si="7"/>
        <v>45967</v>
      </c>
      <c r="B251" s="87">
        <f t="shared" ca="1" si="8"/>
        <v>45967.717422800924</v>
      </c>
      <c r="C251" s="76" t="s">
        <v>1065</v>
      </c>
      <c r="D251" s="150" t="s">
        <v>1070</v>
      </c>
      <c r="E251" s="79" t="s">
        <v>1071</v>
      </c>
      <c r="F251" s="79"/>
    </row>
    <row r="252" spans="1:6">
      <c r="A252" s="77">
        <f t="shared" ca="1" si="7"/>
        <v>45967</v>
      </c>
      <c r="B252" s="87">
        <f t="shared" ca="1" si="8"/>
        <v>45967.717422800924</v>
      </c>
      <c r="C252" s="76" t="s">
        <v>1065</v>
      </c>
      <c r="D252" s="76" t="s">
        <v>902</v>
      </c>
      <c r="E252" s="79" t="s">
        <v>1072</v>
      </c>
      <c r="F252" s="79"/>
    </row>
    <row r="253" spans="1:6">
      <c r="A253" s="77">
        <f t="shared" ca="1" si="7"/>
        <v>45967</v>
      </c>
      <c r="B253" s="87">
        <f t="shared" ca="1" si="8"/>
        <v>45967.717422800924</v>
      </c>
      <c r="C253" s="76" t="s">
        <v>1065</v>
      </c>
      <c r="D253" s="210" t="s">
        <v>922</v>
      </c>
      <c r="E253" s="79"/>
      <c r="F253" s="79"/>
    </row>
    <row r="254" spans="1:6">
      <c r="A254" s="77">
        <f t="shared" ca="1" si="7"/>
        <v>45967</v>
      </c>
      <c r="B254" s="87">
        <f t="shared" ca="1" si="8"/>
        <v>45967.717422800924</v>
      </c>
      <c r="C254" s="76" t="s">
        <v>72</v>
      </c>
      <c r="D254" s="210" t="s">
        <v>909</v>
      </c>
      <c r="E254" s="79"/>
      <c r="F254" s="79"/>
    </row>
    <row r="255" spans="1:6">
      <c r="A255" s="77">
        <f t="shared" ca="1" si="7"/>
        <v>45967</v>
      </c>
      <c r="B255" s="87">
        <f t="shared" ca="1" si="8"/>
        <v>45967.717422800924</v>
      </c>
      <c r="C255" s="76" t="s">
        <v>72</v>
      </c>
      <c r="D255" s="76" t="s">
        <v>902</v>
      </c>
      <c r="E255" s="79" t="s">
        <v>1012</v>
      </c>
      <c r="F255" s="79"/>
    </row>
    <row r="256" spans="1:6">
      <c r="A256" s="77">
        <f t="shared" ca="1" si="7"/>
        <v>45967</v>
      </c>
      <c r="B256" s="87">
        <f t="shared" ca="1" si="8"/>
        <v>45967.717422800924</v>
      </c>
      <c r="C256" s="76" t="s">
        <v>72</v>
      </c>
      <c r="D256" s="76" t="s">
        <v>902</v>
      </c>
      <c r="E256" s="79" t="s">
        <v>1073</v>
      </c>
      <c r="F256" s="79"/>
    </row>
    <row r="257" spans="1:6">
      <c r="A257" s="77">
        <f t="shared" ca="1" si="7"/>
        <v>45967</v>
      </c>
      <c r="B257" s="87">
        <f t="shared" ca="1" si="8"/>
        <v>45967.717422800924</v>
      </c>
      <c r="C257" s="76" t="s">
        <v>72</v>
      </c>
      <c r="D257" s="76" t="s">
        <v>902</v>
      </c>
      <c r="E257" s="79" t="s">
        <v>997</v>
      </c>
      <c r="F257" s="79"/>
    </row>
    <row r="258" spans="1:6">
      <c r="A258" s="77">
        <f t="shared" ref="A258:A320" ca="1" si="9">IF(C258&lt;&gt;0,IF(A258=0,TODAY(),A258),)</f>
        <v>45967</v>
      </c>
      <c r="B258" s="87">
        <f t="shared" ca="1" si="8"/>
        <v>45967.717422800924</v>
      </c>
      <c r="C258" s="76" t="s">
        <v>72</v>
      </c>
      <c r="D258" s="79" t="s">
        <v>902</v>
      </c>
      <c r="E258" s="79" t="s">
        <v>1074</v>
      </c>
      <c r="F258" s="79"/>
    </row>
    <row r="259" spans="1:6">
      <c r="A259" s="77">
        <f t="shared" ca="1" si="9"/>
        <v>45967</v>
      </c>
      <c r="B259" s="87">
        <f t="shared" ca="1" si="8"/>
        <v>45967.717422800924</v>
      </c>
      <c r="C259" s="76" t="s">
        <v>72</v>
      </c>
      <c r="D259" s="76" t="s">
        <v>902</v>
      </c>
      <c r="E259" s="79" t="s">
        <v>1016</v>
      </c>
      <c r="F259" s="79"/>
    </row>
    <row r="260" spans="1:6">
      <c r="A260" s="77">
        <f t="shared" ca="1" si="9"/>
        <v>45967</v>
      </c>
      <c r="B260" s="87">
        <f t="shared" ca="1" si="8"/>
        <v>45967.717422800924</v>
      </c>
      <c r="C260" s="76" t="s">
        <v>72</v>
      </c>
      <c r="D260" s="76" t="s">
        <v>902</v>
      </c>
      <c r="E260" s="79" t="s">
        <v>1016</v>
      </c>
      <c r="F260" s="79"/>
    </row>
    <row r="261" spans="1:6">
      <c r="A261" s="77">
        <f t="shared" ca="1" si="9"/>
        <v>45967</v>
      </c>
      <c r="B261" s="87">
        <f t="shared" ca="1" si="8"/>
        <v>45967.717422800924</v>
      </c>
      <c r="C261" s="76" t="s">
        <v>72</v>
      </c>
      <c r="D261" s="76" t="s">
        <v>902</v>
      </c>
      <c r="E261" s="79" t="s">
        <v>1075</v>
      </c>
      <c r="F261" s="79"/>
    </row>
    <row r="262" spans="1:6">
      <c r="A262" s="77">
        <f t="shared" ca="1" si="9"/>
        <v>45967</v>
      </c>
      <c r="B262" s="87">
        <f t="shared" ca="1" si="8"/>
        <v>45967.717422800924</v>
      </c>
      <c r="C262" s="76" t="s">
        <v>72</v>
      </c>
      <c r="D262" s="76" t="s">
        <v>902</v>
      </c>
      <c r="E262" s="79" t="s">
        <v>1076</v>
      </c>
      <c r="F262" s="79"/>
    </row>
    <row r="263" spans="1:6">
      <c r="A263" s="77">
        <f t="shared" ca="1" si="9"/>
        <v>45967</v>
      </c>
      <c r="B263" s="87">
        <f t="shared" ca="1" si="8"/>
        <v>45967.717422800924</v>
      </c>
      <c r="C263" s="76" t="s">
        <v>72</v>
      </c>
      <c r="D263" s="76" t="s">
        <v>902</v>
      </c>
      <c r="E263" s="79" t="s">
        <v>1077</v>
      </c>
      <c r="F263" s="79"/>
    </row>
    <row r="264" spans="1:6">
      <c r="A264" s="77">
        <f t="shared" ca="1" si="9"/>
        <v>45967</v>
      </c>
      <c r="B264" s="87">
        <f t="shared" ca="1" si="8"/>
        <v>45967.717422800924</v>
      </c>
      <c r="C264" s="76" t="s">
        <v>72</v>
      </c>
      <c r="D264" s="76" t="s">
        <v>902</v>
      </c>
      <c r="E264" s="79" t="s">
        <v>1078</v>
      </c>
      <c r="F264" s="79"/>
    </row>
    <row r="265" spans="1:6">
      <c r="A265" s="77">
        <f t="shared" ca="1" si="9"/>
        <v>45967</v>
      </c>
      <c r="B265" s="87">
        <f t="shared" ca="1" si="8"/>
        <v>45967.717422800924</v>
      </c>
      <c r="C265" s="76" t="s">
        <v>72</v>
      </c>
      <c r="D265" s="76" t="s">
        <v>902</v>
      </c>
      <c r="E265" s="79" t="s">
        <v>1079</v>
      </c>
      <c r="F265" s="79"/>
    </row>
    <row r="266" spans="1:6">
      <c r="A266" s="77">
        <f t="shared" ca="1" si="9"/>
        <v>45967</v>
      </c>
      <c r="B266" s="87">
        <f t="shared" ca="1" si="8"/>
        <v>45967.717422800924</v>
      </c>
      <c r="C266" s="76" t="s">
        <v>72</v>
      </c>
      <c r="D266" s="76" t="s">
        <v>902</v>
      </c>
      <c r="E266" s="79" t="s">
        <v>1080</v>
      </c>
      <c r="F266" s="79"/>
    </row>
    <row r="267" spans="1:6">
      <c r="A267" s="77">
        <f t="shared" ca="1" si="9"/>
        <v>45967</v>
      </c>
      <c r="B267" s="87">
        <f t="shared" ca="1" si="8"/>
        <v>45967.717422800924</v>
      </c>
      <c r="C267" s="76" t="s">
        <v>72</v>
      </c>
      <c r="D267" s="76" t="s">
        <v>902</v>
      </c>
      <c r="E267" s="79" t="s">
        <v>1081</v>
      </c>
      <c r="F267" s="79"/>
    </row>
    <row r="268" spans="1:6">
      <c r="A268" s="77">
        <f t="shared" ca="1" si="9"/>
        <v>45967</v>
      </c>
      <c r="B268" s="87">
        <f t="shared" ca="1" si="8"/>
        <v>45967.717422800924</v>
      </c>
      <c r="C268" s="76" t="s">
        <v>72</v>
      </c>
      <c r="D268" s="76" t="s">
        <v>902</v>
      </c>
      <c r="E268" s="79" t="s">
        <v>980</v>
      </c>
      <c r="F268" s="79"/>
    </row>
    <row r="269" spans="1:6">
      <c r="A269" s="77">
        <f t="shared" ca="1" si="9"/>
        <v>45967</v>
      </c>
      <c r="B269" s="87">
        <f t="shared" ca="1" si="8"/>
        <v>45967.717422800924</v>
      </c>
      <c r="C269" s="76" t="s">
        <v>72</v>
      </c>
      <c r="D269" s="76" t="s">
        <v>902</v>
      </c>
      <c r="E269" s="79" t="s">
        <v>1082</v>
      </c>
      <c r="F269" s="79"/>
    </row>
    <row r="270" spans="1:6">
      <c r="A270" s="77">
        <f t="shared" ca="1" si="9"/>
        <v>45967</v>
      </c>
      <c r="B270" s="80">
        <v>0.41591435185185183</v>
      </c>
      <c r="C270" s="76" t="s">
        <v>72</v>
      </c>
      <c r="D270" s="210" t="s">
        <v>922</v>
      </c>
      <c r="E270" s="79"/>
      <c r="F270" s="79"/>
    </row>
    <row r="271" spans="1:6">
      <c r="A271" s="77">
        <f ca="1">IF(C271&lt;&gt;0,IF(A271=0,TODAY(),A271),)</f>
        <v>45967</v>
      </c>
      <c r="B271" s="80">
        <v>0.5060069444444445</v>
      </c>
      <c r="C271" s="76" t="s">
        <v>25</v>
      </c>
      <c r="D271" s="79" t="s">
        <v>902</v>
      </c>
      <c r="E271" s="79" t="s">
        <v>1083</v>
      </c>
      <c r="F271" s="79"/>
    </row>
    <row r="272" spans="1:6">
      <c r="A272" s="77">
        <f t="shared" ca="1" si="9"/>
        <v>45967</v>
      </c>
      <c r="B272" s="87">
        <f t="shared" ca="1" si="8"/>
        <v>45967.717422800924</v>
      </c>
      <c r="C272" s="76" t="s">
        <v>25</v>
      </c>
      <c r="D272" s="150" t="s">
        <v>1084</v>
      </c>
      <c r="E272" s="79" t="s">
        <v>1085</v>
      </c>
      <c r="F272" s="79"/>
    </row>
    <row r="273" spans="1:6">
      <c r="A273" s="77">
        <f t="shared" ca="1" si="9"/>
        <v>45967</v>
      </c>
      <c r="B273" s="87">
        <f t="shared" ca="1" si="8"/>
        <v>45967.717422800924</v>
      </c>
      <c r="C273" s="76" t="s">
        <v>25</v>
      </c>
      <c r="D273" s="150" t="s">
        <v>1084</v>
      </c>
      <c r="E273" s="79" t="s">
        <v>1086</v>
      </c>
      <c r="F273" s="79"/>
    </row>
    <row r="274" spans="1:6">
      <c r="A274" s="77">
        <f t="shared" ca="1" si="9"/>
        <v>45967</v>
      </c>
      <c r="B274" s="87">
        <f t="shared" ca="1" si="8"/>
        <v>45967.717422800924</v>
      </c>
      <c r="C274" s="76" t="s">
        <v>25</v>
      </c>
      <c r="D274" s="76" t="s">
        <v>902</v>
      </c>
      <c r="E274" s="79" t="s">
        <v>1087</v>
      </c>
      <c r="F274" s="79"/>
    </row>
    <row r="275" spans="1:6">
      <c r="A275" s="77">
        <f t="shared" ca="1" si="9"/>
        <v>45967</v>
      </c>
      <c r="B275" s="87">
        <f t="shared" ca="1" si="8"/>
        <v>45967.717422800924</v>
      </c>
      <c r="C275" s="76" t="s">
        <v>25</v>
      </c>
      <c r="D275" s="76" t="s">
        <v>902</v>
      </c>
      <c r="E275" s="79" t="s">
        <v>922</v>
      </c>
      <c r="F275" s="79"/>
    </row>
    <row r="276" spans="1:6">
      <c r="A276" s="77">
        <f t="shared" ca="1" si="9"/>
        <v>45967</v>
      </c>
      <c r="B276" s="87">
        <f t="shared" ca="1" si="8"/>
        <v>45967.717422800924</v>
      </c>
      <c r="C276" s="76" t="s">
        <v>25</v>
      </c>
      <c r="D276" s="76" t="s">
        <v>902</v>
      </c>
      <c r="E276" s="79" t="s">
        <v>1088</v>
      </c>
      <c r="F276" s="79"/>
    </row>
    <row r="277" spans="1:6">
      <c r="A277" s="77">
        <f t="shared" ca="1" si="9"/>
        <v>45967</v>
      </c>
      <c r="B277" s="87">
        <f t="shared" ca="1" si="8"/>
        <v>45967.717422800924</v>
      </c>
      <c r="C277" s="76" t="s">
        <v>25</v>
      </c>
      <c r="D277" s="150" t="s">
        <v>1084</v>
      </c>
      <c r="E277" s="79" t="s">
        <v>1089</v>
      </c>
      <c r="F277" s="79"/>
    </row>
    <row r="278" spans="1:6">
      <c r="A278" s="77">
        <f t="shared" ca="1" si="9"/>
        <v>45967</v>
      </c>
      <c r="B278" s="87">
        <f t="shared" ca="1" si="8"/>
        <v>45967.717422800924</v>
      </c>
      <c r="C278" s="76" t="s">
        <v>25</v>
      </c>
      <c r="D278" s="150" t="s">
        <v>1084</v>
      </c>
      <c r="E278" s="79" t="s">
        <v>1086</v>
      </c>
      <c r="F278" s="79"/>
    </row>
    <row r="279" spans="1:6">
      <c r="A279" s="77">
        <f t="shared" ca="1" si="9"/>
        <v>45967</v>
      </c>
      <c r="B279" s="87">
        <f t="shared" ca="1" si="8"/>
        <v>45967.717422800924</v>
      </c>
      <c r="C279" s="76" t="s">
        <v>25</v>
      </c>
      <c r="D279" s="150" t="s">
        <v>1084</v>
      </c>
      <c r="E279" s="79" t="s">
        <v>1090</v>
      </c>
      <c r="F279" s="79"/>
    </row>
    <row r="280" spans="1:6">
      <c r="A280" s="77">
        <f t="shared" ca="1" si="9"/>
        <v>45967</v>
      </c>
      <c r="B280" s="87">
        <f t="shared" ca="1" si="8"/>
        <v>45967.717422800924</v>
      </c>
      <c r="C280" s="76" t="s">
        <v>25</v>
      </c>
      <c r="D280" s="150" t="s">
        <v>1084</v>
      </c>
      <c r="E280" s="79" t="s">
        <v>1091</v>
      </c>
      <c r="F280" s="79"/>
    </row>
    <row r="281" spans="1:6">
      <c r="A281" s="77">
        <f t="shared" ca="1" si="9"/>
        <v>45967</v>
      </c>
      <c r="B281" s="87">
        <f t="shared" ca="1" si="8"/>
        <v>45967.717422800924</v>
      </c>
      <c r="C281" s="76" t="s">
        <v>25</v>
      </c>
      <c r="D281" s="150" t="s">
        <v>1084</v>
      </c>
      <c r="E281" s="79" t="s">
        <v>1092</v>
      </c>
      <c r="F281" s="79"/>
    </row>
    <row r="282" spans="1:6">
      <c r="A282" s="77">
        <f ca="1">IF(C282&lt;&gt;0,IF(A282=0,TODAY(),A282),)</f>
        <v>45967</v>
      </c>
      <c r="B282" s="87">
        <f ca="1">IF(C282&lt;&gt;0,IF(B282=0,NOW(),B282),)</f>
        <v>45967.717422800924</v>
      </c>
      <c r="C282" s="76" t="s">
        <v>25</v>
      </c>
      <c r="D282" s="79" t="s">
        <v>902</v>
      </c>
      <c r="E282" s="76" t="s">
        <v>1093</v>
      </c>
      <c r="F282" s="79"/>
    </row>
    <row r="283" spans="1:6">
      <c r="A283" s="77">
        <f ca="1">IF(C283&lt;&gt;0,IF(A283=0,TODAY(),A283),)</f>
        <v>45967</v>
      </c>
      <c r="B283" s="87">
        <f ca="1">IF(C283&lt;&gt;0,IF(B283=0,NOW(),B283),)</f>
        <v>45967.717422800924</v>
      </c>
      <c r="C283" s="76" t="s">
        <v>25</v>
      </c>
      <c r="D283" s="150" t="s">
        <v>1084</v>
      </c>
      <c r="E283" s="79" t="s">
        <v>1094</v>
      </c>
      <c r="F283" s="79"/>
    </row>
    <row r="284" spans="1:6">
      <c r="A284" s="77">
        <f t="shared" ca="1" si="9"/>
        <v>45967</v>
      </c>
      <c r="B284" s="87">
        <f t="shared" ca="1" si="8"/>
        <v>45967.717422800924</v>
      </c>
      <c r="C284" s="76" t="s">
        <v>25</v>
      </c>
      <c r="D284" s="150" t="s">
        <v>1084</v>
      </c>
      <c r="E284" s="79" t="s">
        <v>1095</v>
      </c>
      <c r="F284" s="79"/>
    </row>
    <row r="285" spans="1:6">
      <c r="A285" s="77">
        <f t="shared" ca="1" si="9"/>
        <v>45967</v>
      </c>
      <c r="B285" s="87">
        <f t="shared" ca="1" si="8"/>
        <v>45967.717422800924</v>
      </c>
      <c r="C285" s="76" t="s">
        <v>25</v>
      </c>
      <c r="D285" s="76" t="s">
        <v>902</v>
      </c>
      <c r="E285" s="79" t="s">
        <v>1096</v>
      </c>
      <c r="F285" s="79"/>
    </row>
    <row r="286" spans="1:6">
      <c r="A286" s="77">
        <f t="shared" ca="1" si="9"/>
        <v>45967</v>
      </c>
      <c r="B286" s="87">
        <f t="shared" ca="1" si="8"/>
        <v>45967.717422800924</v>
      </c>
      <c r="C286" s="76" t="s">
        <v>25</v>
      </c>
      <c r="D286" s="76" t="s">
        <v>902</v>
      </c>
      <c r="E286" s="79" t="s">
        <v>1097</v>
      </c>
      <c r="F286" s="79"/>
    </row>
    <row r="287" spans="1:6">
      <c r="A287" s="77">
        <f t="shared" ca="1" si="9"/>
        <v>45967</v>
      </c>
      <c r="B287" s="87">
        <f t="shared" ca="1" si="8"/>
        <v>45967.717422800924</v>
      </c>
      <c r="C287" s="76" t="s">
        <v>25</v>
      </c>
      <c r="D287" s="210" t="s">
        <v>1098</v>
      </c>
      <c r="E287" s="79"/>
      <c r="F287" s="79"/>
    </row>
    <row r="288" spans="1:6">
      <c r="A288" s="77">
        <f t="shared" ca="1" si="9"/>
        <v>45967</v>
      </c>
      <c r="B288" s="86">
        <v>0.72980324074074077</v>
      </c>
      <c r="C288" s="76" t="s">
        <v>78</v>
      </c>
      <c r="D288" s="210" t="s">
        <v>906</v>
      </c>
      <c r="E288" s="79"/>
      <c r="F288" s="79"/>
    </row>
    <row r="289" spans="1:6">
      <c r="A289" s="77">
        <f t="shared" ca="1" si="9"/>
        <v>45967</v>
      </c>
      <c r="B289" s="80">
        <f t="shared" ca="1" si="8"/>
        <v>45967.745629398145</v>
      </c>
      <c r="C289" s="76" t="s">
        <v>78</v>
      </c>
      <c r="D289" s="210" t="s">
        <v>909</v>
      </c>
      <c r="E289" s="79"/>
      <c r="F289" s="79"/>
    </row>
    <row r="290" spans="1:6">
      <c r="A290" s="77">
        <f t="shared" ca="1" si="9"/>
        <v>45967</v>
      </c>
      <c r="B290" s="80">
        <f t="shared" ca="1" si="8"/>
        <v>45967.750622685184</v>
      </c>
      <c r="C290" s="76" t="s">
        <v>78</v>
      </c>
      <c r="D290" s="76" t="s">
        <v>902</v>
      </c>
      <c r="E290" s="79" t="s">
        <v>1099</v>
      </c>
      <c r="F290" s="79"/>
    </row>
    <row r="291" spans="1:6">
      <c r="A291" s="77">
        <f t="shared" ca="1" si="9"/>
        <v>45967</v>
      </c>
      <c r="B291" s="80">
        <f t="shared" ca="1" si="8"/>
        <v>45967.751274884256</v>
      </c>
      <c r="C291" s="76" t="s">
        <v>78</v>
      </c>
      <c r="D291" s="76" t="s">
        <v>902</v>
      </c>
      <c r="E291" s="79" t="s">
        <v>1100</v>
      </c>
      <c r="F291" s="79"/>
    </row>
    <row r="292" spans="1:6">
      <c r="A292" s="77">
        <f t="shared" ca="1" si="9"/>
        <v>45967</v>
      </c>
      <c r="B292" s="80">
        <f t="shared" ca="1" si="8"/>
        <v>45967.751899421295</v>
      </c>
      <c r="C292" s="76" t="s">
        <v>78</v>
      </c>
      <c r="D292" s="76" t="s">
        <v>902</v>
      </c>
      <c r="E292" s="79" t="s">
        <v>955</v>
      </c>
      <c r="F292" s="79"/>
    </row>
    <row r="293" spans="1:6">
      <c r="A293" s="77">
        <f t="shared" ca="1" si="9"/>
        <v>45967</v>
      </c>
      <c r="B293" s="80">
        <f t="shared" ca="1" si="8"/>
        <v>45967.751974768522</v>
      </c>
      <c r="C293" s="76" t="s">
        <v>78</v>
      </c>
      <c r="D293" s="76" t="s">
        <v>902</v>
      </c>
      <c r="E293" s="79" t="s">
        <v>1101</v>
      </c>
      <c r="F293" s="79"/>
    </row>
    <row r="294" spans="1:6">
      <c r="A294" s="77">
        <f t="shared" ca="1" si="9"/>
        <v>45967</v>
      </c>
      <c r="B294" s="80">
        <f t="shared" ca="1" si="8"/>
        <v>45967.754245023149</v>
      </c>
      <c r="C294" s="76" t="s">
        <v>78</v>
      </c>
      <c r="D294" s="76" t="s">
        <v>902</v>
      </c>
      <c r="E294" s="79" t="s">
        <v>1102</v>
      </c>
      <c r="F294" s="79"/>
    </row>
    <row r="295" spans="1:6">
      <c r="A295" s="77">
        <f t="shared" ca="1" si="9"/>
        <v>45967</v>
      </c>
      <c r="B295" s="80">
        <f t="shared" ca="1" si="8"/>
        <v>45967.754798148148</v>
      </c>
      <c r="C295" s="76" t="s">
        <v>78</v>
      </c>
      <c r="D295" s="76" t="s">
        <v>902</v>
      </c>
      <c r="E295" s="79" t="s">
        <v>959</v>
      </c>
      <c r="F295" s="79"/>
    </row>
    <row r="296" spans="1:6">
      <c r="A296" s="77">
        <f t="shared" ca="1" si="9"/>
        <v>45967</v>
      </c>
      <c r="B296" s="80">
        <f t="shared" ca="1" si="8"/>
        <v>45967.755245023145</v>
      </c>
      <c r="C296" s="76" t="s">
        <v>78</v>
      </c>
      <c r="D296" s="76" t="s">
        <v>902</v>
      </c>
      <c r="E296" s="79" t="s">
        <v>1103</v>
      </c>
      <c r="F296" s="79"/>
    </row>
    <row r="297" spans="1:6">
      <c r="A297" s="77">
        <f t="shared" ca="1" si="9"/>
        <v>45967</v>
      </c>
      <c r="B297" s="80">
        <f t="shared" ca="1" si="8"/>
        <v>45967.756675115743</v>
      </c>
      <c r="C297" s="76" t="s">
        <v>78</v>
      </c>
      <c r="D297" s="76" t="s">
        <v>902</v>
      </c>
      <c r="E297" s="79" t="s">
        <v>1104</v>
      </c>
      <c r="F297" s="79"/>
    </row>
    <row r="298" spans="1:6">
      <c r="A298" s="77">
        <f t="shared" ca="1" si="9"/>
        <v>45967</v>
      </c>
      <c r="B298" s="80">
        <f t="shared" ca="1" si="8"/>
        <v>45967.761938194446</v>
      </c>
      <c r="C298" s="76" t="s">
        <v>78</v>
      </c>
      <c r="D298" s="76" t="s">
        <v>902</v>
      </c>
      <c r="E298" s="79" t="s">
        <v>1105</v>
      </c>
      <c r="F298" s="79"/>
    </row>
    <row r="299" spans="1:6">
      <c r="A299" s="77">
        <f t="shared" ca="1" si="9"/>
        <v>45967</v>
      </c>
      <c r="B299" s="80">
        <f t="shared" ca="1" si="8"/>
        <v>45967.763884837965</v>
      </c>
      <c r="C299" s="76" t="s">
        <v>78</v>
      </c>
      <c r="D299" s="76" t="s">
        <v>902</v>
      </c>
      <c r="E299" s="79" t="s">
        <v>1106</v>
      </c>
      <c r="F299" s="79"/>
    </row>
    <row r="300" spans="1:6">
      <c r="A300" s="77">
        <f t="shared" ca="1" si="9"/>
        <v>45967</v>
      </c>
      <c r="B300" s="80">
        <f t="shared" ca="1" si="8"/>
        <v>45967.764314120373</v>
      </c>
      <c r="C300" s="76" t="s">
        <v>78</v>
      </c>
      <c r="D300" s="76" t="s">
        <v>902</v>
      </c>
      <c r="E300" s="79" t="s">
        <v>1107</v>
      </c>
      <c r="F300" s="79"/>
    </row>
    <row r="301" spans="1:6">
      <c r="A301" s="77">
        <f t="shared" ca="1" si="9"/>
        <v>45967</v>
      </c>
      <c r="B301" s="80">
        <f t="shared" ca="1" si="8"/>
        <v>45967.765503472219</v>
      </c>
      <c r="C301" s="76" t="s">
        <v>78</v>
      </c>
      <c r="D301" s="76" t="s">
        <v>902</v>
      </c>
      <c r="E301" s="79" t="s">
        <v>1108</v>
      </c>
      <c r="F301" s="79"/>
    </row>
    <row r="302" spans="1:6">
      <c r="A302" s="77">
        <f t="shared" ca="1" si="9"/>
        <v>45967</v>
      </c>
      <c r="B302" s="80">
        <f t="shared" ref="B302:B365" ca="1" si="10">IF(C302&lt;&gt;0,IF(B302=0,NOW(),B302),)</f>
        <v>45967.767623958331</v>
      </c>
      <c r="C302" s="76" t="s">
        <v>78</v>
      </c>
      <c r="D302" s="76" t="s">
        <v>902</v>
      </c>
      <c r="E302" s="79" t="s">
        <v>1109</v>
      </c>
      <c r="F302" s="79"/>
    </row>
    <row r="303" spans="1:6">
      <c r="A303" s="77">
        <f t="shared" ca="1" si="9"/>
        <v>45967</v>
      </c>
      <c r="B303" s="80">
        <f t="shared" ca="1" si="10"/>
        <v>45967.771823495372</v>
      </c>
      <c r="C303" s="76" t="s">
        <v>78</v>
      </c>
      <c r="D303" s="76" t="s">
        <v>902</v>
      </c>
      <c r="E303" s="79" t="s">
        <v>1110</v>
      </c>
      <c r="F303" s="79"/>
    </row>
    <row r="304" spans="1:6">
      <c r="A304" s="77">
        <f t="shared" ca="1" si="9"/>
        <v>45967</v>
      </c>
      <c r="B304" s="80">
        <f t="shared" ca="1" si="10"/>
        <v>45967.772409375</v>
      </c>
      <c r="C304" s="76" t="s">
        <v>78</v>
      </c>
      <c r="D304" s="76" t="s">
        <v>902</v>
      </c>
      <c r="E304" s="79" t="s">
        <v>1110</v>
      </c>
      <c r="F304" s="79"/>
    </row>
    <row r="305" spans="1:6">
      <c r="A305" s="77">
        <f t="shared" ca="1" si="9"/>
        <v>45967</v>
      </c>
      <c r="B305" s="80">
        <f t="shared" ca="1" si="10"/>
        <v>45967.781255208334</v>
      </c>
      <c r="C305" s="76" t="s">
        <v>78</v>
      </c>
      <c r="D305" s="150" t="s">
        <v>1007</v>
      </c>
      <c r="E305" s="79" t="s">
        <v>1111</v>
      </c>
      <c r="F305" s="79"/>
    </row>
    <row r="306" spans="1:6">
      <c r="A306" s="77">
        <f t="shared" ca="1" si="9"/>
        <v>45967</v>
      </c>
      <c r="B306" s="80">
        <f t="shared" ca="1" si="10"/>
        <v>45967.782263194444</v>
      </c>
      <c r="C306" s="76" t="s">
        <v>78</v>
      </c>
      <c r="D306" s="76" t="s">
        <v>902</v>
      </c>
      <c r="E306" s="79" t="s">
        <v>1112</v>
      </c>
      <c r="F306" s="79"/>
    </row>
    <row r="307" spans="1:6">
      <c r="A307" s="77">
        <f t="shared" ca="1" si="9"/>
        <v>45967</v>
      </c>
      <c r="B307" s="80">
        <f t="shared" ca="1" si="10"/>
        <v>45967.791963078707</v>
      </c>
      <c r="C307" s="76" t="s">
        <v>78</v>
      </c>
      <c r="D307" s="76" t="s">
        <v>902</v>
      </c>
      <c r="E307" s="79" t="s">
        <v>1113</v>
      </c>
      <c r="F307" s="79"/>
    </row>
    <row r="308" spans="1:6">
      <c r="A308" s="77">
        <f t="shared" ca="1" si="9"/>
        <v>45967</v>
      </c>
      <c r="B308" s="80">
        <f t="shared" ca="1" si="10"/>
        <v>45967.797950231485</v>
      </c>
      <c r="C308" s="76" t="s">
        <v>78</v>
      </c>
      <c r="D308" s="76" t="s">
        <v>902</v>
      </c>
      <c r="E308" s="79" t="s">
        <v>1105</v>
      </c>
      <c r="F308" s="79"/>
    </row>
    <row r="309" spans="1:6">
      <c r="A309" s="77">
        <f t="shared" ca="1" si="9"/>
        <v>45967</v>
      </c>
      <c r="B309" s="80">
        <f t="shared" ca="1" si="10"/>
        <v>45967.802563888887</v>
      </c>
      <c r="C309" s="76" t="s">
        <v>78</v>
      </c>
      <c r="D309" s="76" t="s">
        <v>902</v>
      </c>
      <c r="E309" s="79" t="s">
        <v>1114</v>
      </c>
      <c r="F309" s="79"/>
    </row>
    <row r="310" spans="1:6">
      <c r="A310" s="77">
        <f t="shared" ca="1" si="9"/>
        <v>45967</v>
      </c>
      <c r="B310" s="80">
        <f t="shared" ca="1" si="10"/>
        <v>45967.803826041665</v>
      </c>
      <c r="C310" s="76" t="s">
        <v>78</v>
      </c>
      <c r="D310" s="76" t="s">
        <v>902</v>
      </c>
      <c r="E310" s="79" t="s">
        <v>1115</v>
      </c>
      <c r="F310" s="79"/>
    </row>
    <row r="311" spans="1:6">
      <c r="A311" s="77">
        <f t="shared" ca="1" si="9"/>
        <v>45967</v>
      </c>
      <c r="B311" s="80">
        <f t="shared" ca="1" si="10"/>
        <v>45967.805898379629</v>
      </c>
      <c r="C311" s="76" t="s">
        <v>78</v>
      </c>
      <c r="D311" s="76" t="s">
        <v>902</v>
      </c>
      <c r="E311" s="79" t="s">
        <v>932</v>
      </c>
      <c r="F311" s="79"/>
    </row>
    <row r="312" spans="1:6">
      <c r="A312" s="77">
        <f t="shared" ca="1" si="9"/>
        <v>45967</v>
      </c>
      <c r="B312" s="80">
        <f t="shared" ca="1" si="10"/>
        <v>45967.813765740742</v>
      </c>
      <c r="C312" s="76" t="s">
        <v>78</v>
      </c>
      <c r="D312" s="76" t="s">
        <v>902</v>
      </c>
      <c r="E312" s="79" t="s">
        <v>1116</v>
      </c>
      <c r="F312" s="79"/>
    </row>
    <row r="313" spans="1:6">
      <c r="A313" s="77">
        <f t="shared" ca="1" si="9"/>
        <v>45967</v>
      </c>
      <c r="B313" s="80">
        <f t="shared" ca="1" si="10"/>
        <v>45967.81901215278</v>
      </c>
      <c r="C313" s="76" t="s">
        <v>78</v>
      </c>
      <c r="D313" s="76" t="s">
        <v>902</v>
      </c>
      <c r="E313" s="79" t="s">
        <v>1117</v>
      </c>
      <c r="F313" s="79"/>
    </row>
    <row r="314" spans="1:6">
      <c r="A314" s="77">
        <f t="shared" ca="1" si="9"/>
        <v>45967</v>
      </c>
      <c r="B314" s="80">
        <f t="shared" ca="1" si="10"/>
        <v>45967.819472569441</v>
      </c>
      <c r="C314" s="76" t="s">
        <v>78</v>
      </c>
      <c r="D314" s="76" t="s">
        <v>902</v>
      </c>
      <c r="E314" s="79" t="s">
        <v>1118</v>
      </c>
      <c r="F314" s="79"/>
    </row>
    <row r="315" spans="1:6">
      <c r="A315" s="77">
        <f t="shared" ca="1" si="9"/>
        <v>45967</v>
      </c>
      <c r="B315" s="80">
        <f t="shared" ca="1" si="10"/>
        <v>45967.821611111111</v>
      </c>
      <c r="C315" s="76" t="s">
        <v>78</v>
      </c>
      <c r="D315" s="76" t="s">
        <v>902</v>
      </c>
      <c r="E315" s="79" t="s">
        <v>1119</v>
      </c>
      <c r="F315" s="79"/>
    </row>
    <row r="316" spans="1:6">
      <c r="A316" s="77">
        <f t="shared" ca="1" si="9"/>
        <v>45967</v>
      </c>
      <c r="B316" s="80">
        <f t="shared" ca="1" si="10"/>
        <v>45967.826299305554</v>
      </c>
      <c r="C316" s="76" t="s">
        <v>78</v>
      </c>
      <c r="D316" s="76" t="s">
        <v>902</v>
      </c>
      <c r="E316" s="79" t="s">
        <v>1120</v>
      </c>
      <c r="F316" s="79"/>
    </row>
    <row r="317" spans="1:6">
      <c r="A317" s="77">
        <f t="shared" ca="1" si="9"/>
        <v>45967</v>
      </c>
      <c r="B317" s="80">
        <v>0.83472222222222225</v>
      </c>
      <c r="C317" s="76" t="s">
        <v>78</v>
      </c>
      <c r="D317" s="210" t="s">
        <v>922</v>
      </c>
      <c r="E317" s="79"/>
      <c r="F317" s="79"/>
    </row>
    <row r="318" spans="1:6">
      <c r="A318" s="77">
        <f t="shared" ca="1" si="9"/>
        <v>45967</v>
      </c>
      <c r="B318" s="80">
        <f t="shared" ca="1" si="10"/>
        <v>45967.894807638892</v>
      </c>
      <c r="C318" s="76" t="s">
        <v>81</v>
      </c>
      <c r="D318" s="210" t="s">
        <v>909</v>
      </c>
      <c r="E318" s="79"/>
      <c r="F318" s="79"/>
    </row>
    <row r="319" spans="1:6">
      <c r="A319" s="77">
        <f t="shared" ca="1" si="9"/>
        <v>45967</v>
      </c>
      <c r="B319" s="80">
        <f t="shared" ca="1" si="10"/>
        <v>45967.895075578701</v>
      </c>
      <c r="C319" s="76" t="s">
        <v>81</v>
      </c>
      <c r="D319" s="76" t="s">
        <v>902</v>
      </c>
      <c r="E319" s="79" t="s">
        <v>956</v>
      </c>
      <c r="F319" s="79"/>
    </row>
    <row r="320" spans="1:6">
      <c r="A320" s="77">
        <f t="shared" ca="1" si="9"/>
        <v>45967</v>
      </c>
      <c r="B320" s="80">
        <f t="shared" ca="1" si="10"/>
        <v>45967.895819328704</v>
      </c>
      <c r="C320" s="76" t="s">
        <v>81</v>
      </c>
      <c r="D320" s="76" t="s">
        <v>902</v>
      </c>
      <c r="E320" s="79" t="s">
        <v>1121</v>
      </c>
      <c r="F320" s="79"/>
    </row>
    <row r="321" spans="1:6">
      <c r="A321" s="77">
        <f t="shared" ref="A321:A384" ca="1" si="11">IF(C321&lt;&gt;0,IF(A321=0,TODAY(),A321),)</f>
        <v>45967</v>
      </c>
      <c r="B321" s="80">
        <f t="shared" ca="1" si="10"/>
        <v>45967.897658796297</v>
      </c>
      <c r="C321" s="76" t="s">
        <v>81</v>
      </c>
      <c r="D321" s="76" t="s">
        <v>902</v>
      </c>
      <c r="E321" s="79" t="s">
        <v>956</v>
      </c>
      <c r="F321" s="79"/>
    </row>
    <row r="322" spans="1:6">
      <c r="A322" s="77">
        <f t="shared" ca="1" si="11"/>
        <v>45967</v>
      </c>
      <c r="B322" s="80">
        <f t="shared" ca="1" si="10"/>
        <v>45967.900756712967</v>
      </c>
      <c r="C322" s="76" t="s">
        <v>81</v>
      </c>
      <c r="D322" s="76" t="s">
        <v>902</v>
      </c>
      <c r="E322" s="79" t="s">
        <v>1045</v>
      </c>
      <c r="F322" s="79"/>
    </row>
    <row r="323" spans="1:6">
      <c r="A323" s="77">
        <f t="shared" ca="1" si="11"/>
        <v>45967</v>
      </c>
      <c r="B323" s="80">
        <f t="shared" ca="1" si="10"/>
        <v>45967.901126041666</v>
      </c>
      <c r="C323" s="76" t="s">
        <v>81</v>
      </c>
      <c r="D323" s="76" t="s">
        <v>902</v>
      </c>
      <c r="E323" s="79" t="s">
        <v>1121</v>
      </c>
      <c r="F323" s="79"/>
    </row>
    <row r="324" spans="1:6">
      <c r="A324" s="77">
        <f t="shared" ca="1" si="11"/>
        <v>45967</v>
      </c>
      <c r="B324" s="80">
        <f t="shared" ca="1" si="10"/>
        <v>45967.901474768521</v>
      </c>
      <c r="C324" s="76" t="s">
        <v>81</v>
      </c>
      <c r="D324" s="76" t="s">
        <v>902</v>
      </c>
      <c r="E324" s="79" t="s">
        <v>1122</v>
      </c>
      <c r="F324" s="79"/>
    </row>
    <row r="325" spans="1:6">
      <c r="A325" s="77">
        <f t="shared" ca="1" si="11"/>
        <v>45967</v>
      </c>
      <c r="B325" s="80">
        <f t="shared" ca="1" si="10"/>
        <v>45967.901621527781</v>
      </c>
      <c r="C325" s="76" t="s">
        <v>81</v>
      </c>
      <c r="D325" s="76" t="s">
        <v>902</v>
      </c>
      <c r="E325" s="79" t="s">
        <v>1045</v>
      </c>
      <c r="F325" s="79"/>
    </row>
    <row r="326" spans="1:6">
      <c r="A326" s="77">
        <f t="shared" ca="1" si="11"/>
        <v>45967</v>
      </c>
      <c r="B326" s="80">
        <f t="shared" ca="1" si="10"/>
        <v>45967.901692939813</v>
      </c>
      <c r="C326" s="76" t="s">
        <v>81</v>
      </c>
      <c r="D326" s="76" t="s">
        <v>902</v>
      </c>
      <c r="E326" s="79" t="s">
        <v>1123</v>
      </c>
      <c r="F326" s="79"/>
    </row>
    <row r="327" spans="1:6">
      <c r="A327" s="77">
        <f t="shared" ca="1" si="11"/>
        <v>45967</v>
      </c>
      <c r="B327" s="80">
        <f t="shared" ca="1" si="10"/>
        <v>45967.901967824073</v>
      </c>
      <c r="C327" s="76" t="s">
        <v>81</v>
      </c>
      <c r="D327" s="76" t="s">
        <v>902</v>
      </c>
      <c r="E327" s="79" t="s">
        <v>1121</v>
      </c>
      <c r="F327" s="79"/>
    </row>
    <row r="328" spans="1:6">
      <c r="A328" s="77">
        <f t="shared" ca="1" si="11"/>
        <v>45967</v>
      </c>
      <c r="B328" s="80">
        <f t="shared" ca="1" si="10"/>
        <v>45967.902177083335</v>
      </c>
      <c r="C328" s="76" t="s">
        <v>81</v>
      </c>
      <c r="D328" s="76" t="s">
        <v>902</v>
      </c>
      <c r="E328" s="79" t="s">
        <v>1121</v>
      </c>
      <c r="F328" s="79"/>
    </row>
    <row r="329" spans="1:6">
      <c r="A329" s="77">
        <f t="shared" ca="1" si="11"/>
        <v>45967</v>
      </c>
      <c r="B329" s="80">
        <f t="shared" ca="1" si="10"/>
        <v>45967.902275810186</v>
      </c>
      <c r="C329" s="76" t="s">
        <v>81</v>
      </c>
      <c r="D329" s="76" t="s">
        <v>902</v>
      </c>
      <c r="E329" s="79" t="s">
        <v>1121</v>
      </c>
      <c r="F329" s="79"/>
    </row>
    <row r="330" spans="1:6">
      <c r="A330" s="77">
        <f t="shared" ca="1" si="11"/>
        <v>45967</v>
      </c>
      <c r="B330" s="80">
        <f t="shared" ca="1" si="10"/>
        <v>45967.902833564818</v>
      </c>
      <c r="C330" s="76" t="s">
        <v>81</v>
      </c>
      <c r="D330" s="76" t="s">
        <v>902</v>
      </c>
      <c r="E330" s="79" t="s">
        <v>1124</v>
      </c>
      <c r="F330" s="79"/>
    </row>
    <row r="331" spans="1:6">
      <c r="A331" s="77">
        <f t="shared" ca="1" si="11"/>
        <v>45967</v>
      </c>
      <c r="B331" s="80">
        <f t="shared" ca="1" si="10"/>
        <v>45967.903205555558</v>
      </c>
      <c r="C331" s="76" t="s">
        <v>81</v>
      </c>
      <c r="D331" s="76" t="s">
        <v>902</v>
      </c>
      <c r="E331" s="79" t="s">
        <v>1125</v>
      </c>
      <c r="F331" s="79"/>
    </row>
    <row r="332" spans="1:6">
      <c r="A332" s="77">
        <f t="shared" ca="1" si="11"/>
        <v>45967</v>
      </c>
      <c r="B332" s="80">
        <f t="shared" ca="1" si="10"/>
        <v>45967.903379629628</v>
      </c>
      <c r="C332" s="76" t="s">
        <v>81</v>
      </c>
      <c r="D332" s="76" t="s">
        <v>902</v>
      </c>
      <c r="E332" s="79" t="s">
        <v>1126</v>
      </c>
      <c r="F332" s="79"/>
    </row>
    <row r="333" spans="1:6">
      <c r="A333" s="77">
        <f t="shared" ca="1" si="11"/>
        <v>45967</v>
      </c>
      <c r="B333" s="80">
        <f t="shared" ca="1" si="10"/>
        <v>45967.903534606485</v>
      </c>
      <c r="C333" s="76" t="s">
        <v>81</v>
      </c>
      <c r="D333" s="76" t="s">
        <v>902</v>
      </c>
      <c r="E333" s="79" t="s">
        <v>1127</v>
      </c>
      <c r="F333" s="79"/>
    </row>
    <row r="334" spans="1:6">
      <c r="A334" s="77">
        <f t="shared" ca="1" si="11"/>
        <v>45967</v>
      </c>
      <c r="B334" s="80">
        <f t="shared" ca="1" si="10"/>
        <v>45967.903877430559</v>
      </c>
      <c r="C334" s="76" t="s">
        <v>81</v>
      </c>
      <c r="D334" s="76" t="s">
        <v>902</v>
      </c>
      <c r="E334" s="79" t="s">
        <v>1128</v>
      </c>
      <c r="F334" s="79"/>
    </row>
    <row r="335" spans="1:6">
      <c r="A335" s="77">
        <f t="shared" ca="1" si="11"/>
        <v>45967</v>
      </c>
      <c r="B335" s="80">
        <f t="shared" ca="1" si="10"/>
        <v>45967.904222453704</v>
      </c>
      <c r="C335" s="76" t="s">
        <v>81</v>
      </c>
      <c r="D335" s="76" t="s">
        <v>902</v>
      </c>
      <c r="E335" s="79" t="s">
        <v>1129</v>
      </c>
      <c r="F335" s="79"/>
    </row>
    <row r="336" spans="1:6">
      <c r="A336" s="77">
        <f t="shared" ca="1" si="11"/>
        <v>45967</v>
      </c>
      <c r="B336" s="80">
        <f t="shared" ca="1" si="10"/>
        <v>45967.904424884262</v>
      </c>
      <c r="C336" s="76" t="s">
        <v>81</v>
      </c>
      <c r="D336" s="76" t="s">
        <v>902</v>
      </c>
      <c r="E336" s="79" t="s">
        <v>1130</v>
      </c>
      <c r="F336" s="79"/>
    </row>
    <row r="337" spans="1:6">
      <c r="A337" s="77">
        <f t="shared" ca="1" si="11"/>
        <v>45967</v>
      </c>
      <c r="B337" s="80">
        <f t="shared" ca="1" si="10"/>
        <v>45967.904784722225</v>
      </c>
      <c r="C337" s="76" t="s">
        <v>81</v>
      </c>
      <c r="D337" s="76" t="s">
        <v>902</v>
      </c>
      <c r="E337" s="79" t="s">
        <v>1128</v>
      </c>
      <c r="F337" s="79"/>
    </row>
    <row r="338" spans="1:6">
      <c r="A338" s="77">
        <f t="shared" ca="1" si="11"/>
        <v>45967</v>
      </c>
      <c r="B338" s="80">
        <f t="shared" ca="1" si="10"/>
        <v>45967.904900578702</v>
      </c>
      <c r="C338" s="76" t="s">
        <v>81</v>
      </c>
      <c r="D338" s="76" t="s">
        <v>902</v>
      </c>
      <c r="E338" s="79" t="s">
        <v>1131</v>
      </c>
      <c r="F338" s="79"/>
    </row>
    <row r="339" spans="1:6">
      <c r="A339" s="77">
        <f t="shared" ca="1" si="11"/>
        <v>45967</v>
      </c>
      <c r="B339" s="80">
        <f t="shared" ca="1" si="10"/>
        <v>45967.905998032409</v>
      </c>
      <c r="C339" s="76" t="s">
        <v>81</v>
      </c>
      <c r="D339" s="76" t="s">
        <v>902</v>
      </c>
      <c r="E339" s="79" t="s">
        <v>1132</v>
      </c>
      <c r="F339" s="79"/>
    </row>
    <row r="340" spans="1:6">
      <c r="A340" s="77">
        <f t="shared" ca="1" si="11"/>
        <v>45967</v>
      </c>
      <c r="B340" s="80">
        <f t="shared" ca="1" si="10"/>
        <v>45967.906682175926</v>
      </c>
      <c r="C340" s="76" t="s">
        <v>81</v>
      </c>
      <c r="D340" s="76" t="s">
        <v>902</v>
      </c>
      <c r="E340" s="79" t="s">
        <v>1121</v>
      </c>
      <c r="F340" s="79"/>
    </row>
    <row r="341" spans="1:6">
      <c r="A341" s="77">
        <f t="shared" ca="1" si="11"/>
        <v>45967</v>
      </c>
      <c r="B341" s="80">
        <f t="shared" ca="1" si="10"/>
        <v>45967.906857407404</v>
      </c>
      <c r="C341" s="76" t="s">
        <v>81</v>
      </c>
      <c r="D341" s="76" t="s">
        <v>902</v>
      </c>
      <c r="E341" s="79" t="s">
        <v>1133</v>
      </c>
      <c r="F341" s="79"/>
    </row>
    <row r="342" spans="1:6">
      <c r="A342" s="77">
        <f t="shared" ca="1" si="11"/>
        <v>45967</v>
      </c>
      <c r="B342" s="80">
        <f t="shared" ca="1" si="10"/>
        <v>45967.909920486112</v>
      </c>
      <c r="C342" s="76" t="s">
        <v>81</v>
      </c>
      <c r="D342" s="76" t="s">
        <v>902</v>
      </c>
      <c r="E342" s="79" t="s">
        <v>1134</v>
      </c>
      <c r="F342" s="79"/>
    </row>
    <row r="343" spans="1:6">
      <c r="A343" s="77">
        <f t="shared" ca="1" si="11"/>
        <v>45967</v>
      </c>
      <c r="B343" s="80">
        <f t="shared" ca="1" si="10"/>
        <v>45967.910841435187</v>
      </c>
      <c r="C343" s="76" t="s">
        <v>81</v>
      </c>
      <c r="D343" s="76" t="s">
        <v>902</v>
      </c>
      <c r="E343" s="79" t="s">
        <v>1135</v>
      </c>
      <c r="F343" s="79"/>
    </row>
    <row r="344" spans="1:6">
      <c r="A344" s="77">
        <f t="shared" ca="1" si="11"/>
        <v>45967</v>
      </c>
      <c r="B344" s="80">
        <f t="shared" ca="1" si="10"/>
        <v>45967.910992592595</v>
      </c>
      <c r="C344" s="76" t="s">
        <v>81</v>
      </c>
      <c r="D344" s="76" t="s">
        <v>902</v>
      </c>
      <c r="E344" s="79" t="s">
        <v>1136</v>
      </c>
      <c r="F344" s="79"/>
    </row>
    <row r="345" spans="1:6">
      <c r="A345" s="77">
        <f t="shared" ca="1" si="11"/>
        <v>45967</v>
      </c>
      <c r="B345" s="80">
        <f t="shared" ca="1" si="10"/>
        <v>45967.911165393518</v>
      </c>
      <c r="C345" s="76" t="s">
        <v>81</v>
      </c>
      <c r="D345" s="76" t="s">
        <v>902</v>
      </c>
      <c r="E345" s="79" t="s">
        <v>1137</v>
      </c>
      <c r="F345" s="79"/>
    </row>
    <row r="346" spans="1:6">
      <c r="A346" s="77">
        <f t="shared" ca="1" si="11"/>
        <v>45967</v>
      </c>
      <c r="B346" s="80">
        <f t="shared" ca="1" si="10"/>
        <v>45967.912018171293</v>
      </c>
      <c r="C346" s="76" t="s">
        <v>81</v>
      </c>
      <c r="D346" s="76" t="s">
        <v>902</v>
      </c>
      <c r="E346" s="79" t="s">
        <v>1121</v>
      </c>
      <c r="F346" s="79"/>
    </row>
    <row r="347" spans="1:6">
      <c r="A347" s="77">
        <f t="shared" ca="1" si="11"/>
        <v>45967</v>
      </c>
      <c r="B347" s="80">
        <f t="shared" ca="1" si="10"/>
        <v>45967.913176041664</v>
      </c>
      <c r="C347" s="76" t="s">
        <v>81</v>
      </c>
      <c r="D347" s="76" t="s">
        <v>902</v>
      </c>
      <c r="E347" s="79" t="s">
        <v>1138</v>
      </c>
      <c r="F347" s="79"/>
    </row>
    <row r="348" spans="1:6">
      <c r="A348" s="77">
        <f t="shared" ca="1" si="11"/>
        <v>45967</v>
      </c>
      <c r="B348" s="80">
        <f t="shared" ca="1" si="10"/>
        <v>45967.915602546294</v>
      </c>
      <c r="C348" s="76" t="s">
        <v>81</v>
      </c>
      <c r="D348" s="76" t="s">
        <v>902</v>
      </c>
      <c r="E348" s="79" t="s">
        <v>1139</v>
      </c>
      <c r="F348" s="79"/>
    </row>
    <row r="349" spans="1:6">
      <c r="A349" s="77">
        <f t="shared" ca="1" si="11"/>
        <v>45967</v>
      </c>
      <c r="B349" s="80">
        <f t="shared" ca="1" si="10"/>
        <v>45967.915934722223</v>
      </c>
      <c r="C349" s="76" t="s">
        <v>81</v>
      </c>
      <c r="D349" s="76" t="s">
        <v>902</v>
      </c>
      <c r="E349" s="79" t="s">
        <v>1121</v>
      </c>
      <c r="F349" s="79"/>
    </row>
    <row r="350" spans="1:6">
      <c r="A350" s="77">
        <f t="shared" ca="1" si="11"/>
        <v>45967</v>
      </c>
      <c r="B350" s="80">
        <f t="shared" ca="1" si="10"/>
        <v>45967.916043171295</v>
      </c>
      <c r="C350" s="76" t="s">
        <v>81</v>
      </c>
      <c r="D350" s="76" t="s">
        <v>902</v>
      </c>
      <c r="E350" s="79" t="s">
        <v>1140</v>
      </c>
      <c r="F350" s="79"/>
    </row>
    <row r="351" spans="1:6">
      <c r="A351" s="77">
        <f t="shared" ca="1" si="11"/>
        <v>45967</v>
      </c>
      <c r="B351" s="80">
        <f t="shared" ca="1" si="10"/>
        <v>45967.916723842594</v>
      </c>
      <c r="C351" s="76" t="s">
        <v>81</v>
      </c>
      <c r="D351" s="76" t="s">
        <v>902</v>
      </c>
      <c r="E351" s="79" t="s">
        <v>1141</v>
      </c>
      <c r="F351" s="79"/>
    </row>
    <row r="352" spans="1:6">
      <c r="A352" s="77">
        <f t="shared" ca="1" si="11"/>
        <v>45967</v>
      </c>
      <c r="B352" s="80">
        <f t="shared" ca="1" si="10"/>
        <v>45967.917492708337</v>
      </c>
      <c r="C352" s="76" t="s">
        <v>81</v>
      </c>
      <c r="D352" s="76" t="s">
        <v>902</v>
      </c>
      <c r="E352" s="79" t="s">
        <v>1126</v>
      </c>
      <c r="F352" s="79"/>
    </row>
    <row r="353" spans="1:6">
      <c r="A353" s="77">
        <f t="shared" ca="1" si="11"/>
        <v>45967</v>
      </c>
      <c r="B353" s="80">
        <f t="shared" ca="1" si="10"/>
        <v>45967.918165856485</v>
      </c>
      <c r="C353" s="76" t="s">
        <v>81</v>
      </c>
      <c r="D353" s="76" t="s">
        <v>902</v>
      </c>
      <c r="E353" s="79" t="s">
        <v>1121</v>
      </c>
      <c r="F353" s="79"/>
    </row>
    <row r="354" spans="1:6">
      <c r="A354" s="77">
        <f t="shared" ca="1" si="11"/>
        <v>45967</v>
      </c>
      <c r="B354" s="80">
        <f t="shared" ca="1" si="10"/>
        <v>45967.920260185187</v>
      </c>
      <c r="C354" s="76" t="s">
        <v>81</v>
      </c>
      <c r="D354" s="76" t="s">
        <v>902</v>
      </c>
      <c r="E354" s="79" t="s">
        <v>1138</v>
      </c>
      <c r="F354" s="79"/>
    </row>
    <row r="355" spans="1:6">
      <c r="A355" s="77">
        <f t="shared" ca="1" si="11"/>
        <v>45967</v>
      </c>
      <c r="B355" s="80">
        <f t="shared" ca="1" si="10"/>
        <v>45967.921363078705</v>
      </c>
      <c r="C355" s="76" t="s">
        <v>81</v>
      </c>
      <c r="D355" s="76" t="s">
        <v>902</v>
      </c>
      <c r="E355" s="79" t="s">
        <v>1139</v>
      </c>
      <c r="F355" s="79"/>
    </row>
    <row r="356" spans="1:6">
      <c r="A356" s="77">
        <f t="shared" ca="1" si="11"/>
        <v>45967</v>
      </c>
      <c r="B356" s="80">
        <f t="shared" ca="1" si="10"/>
        <v>45967.921371180557</v>
      </c>
      <c r="C356" s="76" t="s">
        <v>81</v>
      </c>
      <c r="D356" s="76" t="s">
        <v>902</v>
      </c>
      <c r="E356" s="79" t="s">
        <v>1142</v>
      </c>
      <c r="F356" s="79"/>
    </row>
    <row r="357" spans="1:6">
      <c r="A357" s="77">
        <f t="shared" ca="1" si="11"/>
        <v>45967</v>
      </c>
      <c r="B357" s="80">
        <f t="shared" ca="1" si="10"/>
        <v>45967.921384143519</v>
      </c>
      <c r="C357" s="76" t="s">
        <v>81</v>
      </c>
      <c r="D357" s="76" t="s">
        <v>902</v>
      </c>
      <c r="E357" s="79" t="s">
        <v>1143</v>
      </c>
      <c r="F357" s="79"/>
    </row>
    <row r="358" spans="1:6">
      <c r="A358" s="77">
        <f t="shared" ca="1" si="11"/>
        <v>45967</v>
      </c>
      <c r="B358" s="80">
        <f t="shared" ca="1" si="10"/>
        <v>45967.92170486111</v>
      </c>
      <c r="C358" s="76" t="s">
        <v>81</v>
      </c>
      <c r="D358" s="76" t="s">
        <v>902</v>
      </c>
      <c r="E358" s="79" t="s">
        <v>1144</v>
      </c>
      <c r="F358" s="79"/>
    </row>
    <row r="359" spans="1:6">
      <c r="A359" s="77">
        <f t="shared" ca="1" si="11"/>
        <v>45967</v>
      </c>
      <c r="B359" s="80">
        <f t="shared" ca="1" si="10"/>
        <v>45967.921890972226</v>
      </c>
      <c r="C359" s="76" t="s">
        <v>81</v>
      </c>
      <c r="D359" s="76" t="s">
        <v>902</v>
      </c>
      <c r="E359" s="79" t="s">
        <v>1145</v>
      </c>
      <c r="F359" s="79"/>
    </row>
    <row r="360" spans="1:6">
      <c r="A360" s="77">
        <f t="shared" ca="1" si="11"/>
        <v>45967</v>
      </c>
      <c r="B360" s="80">
        <f t="shared" ca="1" si="10"/>
        <v>45967.921899768517</v>
      </c>
      <c r="C360" s="76" t="s">
        <v>81</v>
      </c>
      <c r="D360" s="76" t="s">
        <v>902</v>
      </c>
      <c r="E360" s="79" t="s">
        <v>1138</v>
      </c>
      <c r="F360" s="79"/>
    </row>
    <row r="361" spans="1:6">
      <c r="A361" s="77">
        <f t="shared" ca="1" si="11"/>
        <v>45967</v>
      </c>
      <c r="B361" s="80">
        <f t="shared" ca="1" si="10"/>
        <v>45967.922754861109</v>
      </c>
      <c r="C361" s="76" t="s">
        <v>81</v>
      </c>
      <c r="D361" s="76" t="s">
        <v>902</v>
      </c>
      <c r="E361" s="79" t="s">
        <v>1143</v>
      </c>
      <c r="F361" s="79"/>
    </row>
    <row r="362" spans="1:6">
      <c r="A362" s="77">
        <f t="shared" ca="1" si="11"/>
        <v>45967</v>
      </c>
      <c r="B362" s="80">
        <f t="shared" ca="1" si="10"/>
        <v>45967.922889236113</v>
      </c>
      <c r="C362" s="76" t="s">
        <v>81</v>
      </c>
      <c r="D362" s="76" t="s">
        <v>902</v>
      </c>
      <c r="E362" s="79" t="s">
        <v>1146</v>
      </c>
      <c r="F362" s="79"/>
    </row>
    <row r="363" spans="1:6">
      <c r="A363" s="77">
        <f t="shared" ca="1" si="11"/>
        <v>45967</v>
      </c>
      <c r="B363" s="80">
        <f t="shared" ca="1" si="10"/>
        <v>45967.92363449074</v>
      </c>
      <c r="C363" s="76" t="s">
        <v>81</v>
      </c>
      <c r="D363" s="76" t="s">
        <v>902</v>
      </c>
      <c r="E363" s="79" t="s">
        <v>1147</v>
      </c>
      <c r="F363" s="79"/>
    </row>
    <row r="364" spans="1:6">
      <c r="A364" s="77">
        <f t="shared" ca="1" si="11"/>
        <v>45967</v>
      </c>
      <c r="B364" s="80">
        <f t="shared" ca="1" si="10"/>
        <v>45967.924447337966</v>
      </c>
      <c r="C364" s="76" t="s">
        <v>81</v>
      </c>
      <c r="D364" s="76" t="s">
        <v>902</v>
      </c>
      <c r="E364" s="79" t="s">
        <v>1148</v>
      </c>
      <c r="F364" s="79"/>
    </row>
    <row r="365" spans="1:6">
      <c r="A365" s="77">
        <f t="shared" ca="1" si="11"/>
        <v>45967</v>
      </c>
      <c r="B365" s="80">
        <f t="shared" ca="1" si="10"/>
        <v>45967.924985763886</v>
      </c>
      <c r="C365" s="76" t="s">
        <v>81</v>
      </c>
      <c r="D365" s="76" t="s">
        <v>902</v>
      </c>
      <c r="E365" s="79" t="s">
        <v>1126</v>
      </c>
      <c r="F365" s="79"/>
    </row>
    <row r="366" spans="1:6">
      <c r="A366" s="77">
        <f t="shared" ca="1" si="11"/>
        <v>45967</v>
      </c>
      <c r="B366" s="80">
        <f t="shared" ref="B366:B429" ca="1" si="12">IF(C366&lt;&gt;0,IF(B366=0,NOW(),B366),)</f>
        <v>45967.925228356478</v>
      </c>
      <c r="C366" s="76" t="s">
        <v>81</v>
      </c>
      <c r="D366" s="76" t="s">
        <v>902</v>
      </c>
      <c r="E366" s="79" t="s">
        <v>1140</v>
      </c>
      <c r="F366" s="79"/>
    </row>
    <row r="367" spans="1:6">
      <c r="A367" s="77">
        <f t="shared" ca="1" si="11"/>
        <v>45967</v>
      </c>
      <c r="B367" s="80">
        <f t="shared" ca="1" si="12"/>
        <v>45967.925279976851</v>
      </c>
      <c r="C367" s="76" t="s">
        <v>81</v>
      </c>
      <c r="D367" s="76" t="s">
        <v>902</v>
      </c>
      <c r="E367" s="79" t="s">
        <v>1149</v>
      </c>
      <c r="F367" s="79"/>
    </row>
    <row r="368" spans="1:6">
      <c r="A368" s="77">
        <f t="shared" ca="1" si="11"/>
        <v>45967</v>
      </c>
      <c r="B368" s="80">
        <f t="shared" ca="1" si="12"/>
        <v>45967.925795370371</v>
      </c>
      <c r="C368" s="76" t="s">
        <v>81</v>
      </c>
      <c r="D368" s="76" t="s">
        <v>902</v>
      </c>
      <c r="E368" s="79" t="s">
        <v>1150</v>
      </c>
      <c r="F368" s="79"/>
    </row>
    <row r="369" spans="1:6">
      <c r="A369" s="77">
        <f t="shared" ca="1" si="11"/>
        <v>45967</v>
      </c>
      <c r="B369" s="80">
        <f t="shared" ca="1" si="12"/>
        <v>45967.926353240742</v>
      </c>
      <c r="C369" s="76" t="s">
        <v>81</v>
      </c>
      <c r="D369" s="76" t="s">
        <v>902</v>
      </c>
      <c r="E369" s="79" t="s">
        <v>1143</v>
      </c>
      <c r="F369" s="79"/>
    </row>
    <row r="370" spans="1:6">
      <c r="A370" s="77">
        <f t="shared" ca="1" si="11"/>
        <v>45967</v>
      </c>
      <c r="B370" s="80">
        <f t="shared" ca="1" si="12"/>
        <v>45967.926518749999</v>
      </c>
      <c r="C370" s="76" t="s">
        <v>81</v>
      </c>
      <c r="D370" s="76" t="s">
        <v>902</v>
      </c>
      <c r="E370" s="79" t="s">
        <v>1150</v>
      </c>
      <c r="F370" s="79"/>
    </row>
    <row r="371" spans="1:6">
      <c r="A371" s="77">
        <f t="shared" ca="1" si="11"/>
        <v>45967</v>
      </c>
      <c r="B371" s="80">
        <f t="shared" ca="1" si="12"/>
        <v>45967.927814236115</v>
      </c>
      <c r="C371" s="76" t="s">
        <v>81</v>
      </c>
      <c r="D371" s="76" t="s">
        <v>902</v>
      </c>
      <c r="E371" s="79" t="s">
        <v>1151</v>
      </c>
      <c r="F371" s="79"/>
    </row>
    <row r="372" spans="1:6">
      <c r="A372" s="77">
        <f t="shared" ca="1" si="11"/>
        <v>45967</v>
      </c>
      <c r="B372" s="80">
        <f t="shared" ca="1" si="12"/>
        <v>45967.93029837963</v>
      </c>
      <c r="C372" s="76" t="s">
        <v>81</v>
      </c>
      <c r="D372" s="76" t="s">
        <v>902</v>
      </c>
      <c r="E372" s="79" t="s">
        <v>1151</v>
      </c>
      <c r="F372" s="79"/>
    </row>
    <row r="373" spans="1:6">
      <c r="A373" s="77">
        <f t="shared" ca="1" si="11"/>
        <v>45967</v>
      </c>
      <c r="B373" s="80">
        <f t="shared" ca="1" si="12"/>
        <v>45967.932022222223</v>
      </c>
      <c r="C373" s="76" t="s">
        <v>81</v>
      </c>
      <c r="D373" s="76" t="s">
        <v>902</v>
      </c>
      <c r="E373" s="79" t="s">
        <v>1152</v>
      </c>
      <c r="F373" s="79"/>
    </row>
    <row r="374" spans="1:6">
      <c r="A374" s="77">
        <f t="shared" ca="1" si="11"/>
        <v>45967</v>
      </c>
      <c r="B374" s="80">
        <f t="shared" ca="1" si="12"/>
        <v>45967.937493518519</v>
      </c>
      <c r="C374" s="76" t="s">
        <v>81</v>
      </c>
      <c r="D374" s="76" t="s">
        <v>902</v>
      </c>
      <c r="E374" s="79" t="s">
        <v>1153</v>
      </c>
      <c r="F374" s="79"/>
    </row>
    <row r="375" spans="1:6">
      <c r="A375" s="77">
        <f t="shared" ca="1" si="11"/>
        <v>45967</v>
      </c>
      <c r="B375" s="80">
        <f t="shared" ca="1" si="12"/>
        <v>45967.937698726855</v>
      </c>
      <c r="C375" s="76" t="s">
        <v>81</v>
      </c>
      <c r="D375" s="76" t="s">
        <v>902</v>
      </c>
      <c r="E375" s="79" t="s">
        <v>935</v>
      </c>
      <c r="F375" s="79"/>
    </row>
    <row r="376" spans="1:6">
      <c r="A376" s="77">
        <f t="shared" ca="1" si="11"/>
        <v>45967</v>
      </c>
      <c r="B376" s="80">
        <f t="shared" ca="1" si="12"/>
        <v>45967.938730902781</v>
      </c>
      <c r="C376" s="76" t="s">
        <v>81</v>
      </c>
      <c r="D376" s="76" t="s">
        <v>902</v>
      </c>
      <c r="E376" s="79" t="s">
        <v>1154</v>
      </c>
      <c r="F376" s="79"/>
    </row>
    <row r="377" spans="1:6">
      <c r="A377" s="77">
        <f t="shared" ca="1" si="11"/>
        <v>45967</v>
      </c>
      <c r="B377" s="80">
        <f t="shared" ca="1" si="12"/>
        <v>45967.940329513891</v>
      </c>
      <c r="C377" s="76" t="s">
        <v>81</v>
      </c>
      <c r="D377" s="76" t="s">
        <v>902</v>
      </c>
      <c r="E377" s="79" t="s">
        <v>1121</v>
      </c>
      <c r="F377" s="79"/>
    </row>
    <row r="378" spans="1:6">
      <c r="A378" s="77">
        <f t="shared" ca="1" si="11"/>
        <v>45967</v>
      </c>
      <c r="B378" s="80">
        <f t="shared" ca="1" si="12"/>
        <v>45967.941432060186</v>
      </c>
      <c r="C378" s="76" t="s">
        <v>81</v>
      </c>
      <c r="D378" s="76" t="s">
        <v>902</v>
      </c>
      <c r="E378" s="79" t="s">
        <v>1155</v>
      </c>
      <c r="F378" s="79"/>
    </row>
    <row r="379" spans="1:6">
      <c r="A379" s="77">
        <f t="shared" ca="1" si="11"/>
        <v>45967</v>
      </c>
      <c r="B379" s="80">
        <f t="shared" ca="1" si="12"/>
        <v>45967.941598379628</v>
      </c>
      <c r="C379" s="76" t="s">
        <v>81</v>
      </c>
      <c r="D379" s="76" t="s">
        <v>902</v>
      </c>
      <c r="E379" s="79" t="s">
        <v>1121</v>
      </c>
      <c r="F379" s="79"/>
    </row>
    <row r="380" spans="1:6">
      <c r="A380" s="77">
        <f t="shared" ca="1" si="11"/>
        <v>45967</v>
      </c>
      <c r="B380" s="80">
        <f t="shared" ca="1" si="12"/>
        <v>45967.942350810183</v>
      </c>
      <c r="C380" s="76" t="s">
        <v>81</v>
      </c>
      <c r="D380" s="76" t="s">
        <v>902</v>
      </c>
      <c r="E380" s="79" t="s">
        <v>1129</v>
      </c>
      <c r="F380" s="79"/>
    </row>
    <row r="381" spans="1:6">
      <c r="A381" s="77">
        <f t="shared" ca="1" si="11"/>
        <v>45967</v>
      </c>
      <c r="B381" s="80">
        <f t="shared" ca="1" si="12"/>
        <v>45967.944206365741</v>
      </c>
      <c r="C381" s="76" t="s">
        <v>81</v>
      </c>
      <c r="D381" s="76" t="s">
        <v>902</v>
      </c>
      <c r="E381" s="79" t="s">
        <v>1156</v>
      </c>
      <c r="F381" s="79"/>
    </row>
    <row r="382" spans="1:6">
      <c r="A382" s="77">
        <f t="shared" ca="1" si="11"/>
        <v>45967</v>
      </c>
      <c r="B382" s="80">
        <f t="shared" ca="1" si="12"/>
        <v>45967.944672569443</v>
      </c>
      <c r="C382" s="76" t="s">
        <v>81</v>
      </c>
      <c r="D382" s="76" t="s">
        <v>902</v>
      </c>
      <c r="E382" s="79" t="s">
        <v>1121</v>
      </c>
      <c r="F382" s="79"/>
    </row>
    <row r="383" spans="1:6">
      <c r="A383" s="77">
        <f t="shared" ca="1" si="11"/>
        <v>45967</v>
      </c>
      <c r="B383" s="80">
        <f t="shared" ca="1" si="12"/>
        <v>45967.947495370368</v>
      </c>
      <c r="C383" s="76" t="s">
        <v>81</v>
      </c>
      <c r="D383" s="76" t="s">
        <v>902</v>
      </c>
      <c r="E383" s="79" t="s">
        <v>1157</v>
      </c>
      <c r="F383" s="79"/>
    </row>
    <row r="384" spans="1:6">
      <c r="A384" s="77">
        <f t="shared" ca="1" si="11"/>
        <v>45967</v>
      </c>
      <c r="B384" s="80">
        <f t="shared" ca="1" si="12"/>
        <v>45967.948574074071</v>
      </c>
      <c r="C384" s="76" t="s">
        <v>81</v>
      </c>
      <c r="D384" s="76" t="s">
        <v>902</v>
      </c>
      <c r="E384" s="79" t="s">
        <v>1138</v>
      </c>
      <c r="F384" s="79"/>
    </row>
    <row r="385" spans="1:6">
      <c r="A385" s="77">
        <f t="shared" ref="A385:A448" ca="1" si="13">IF(C385&lt;&gt;0,IF(A385=0,TODAY(),A385),)</f>
        <v>45967</v>
      </c>
      <c r="B385" s="80">
        <f t="shared" ca="1" si="12"/>
        <v>45967.949977199074</v>
      </c>
      <c r="C385" s="76" t="s">
        <v>81</v>
      </c>
      <c r="D385" s="76" t="s">
        <v>902</v>
      </c>
      <c r="E385" s="79" t="s">
        <v>1158</v>
      </c>
      <c r="F385" s="79"/>
    </row>
    <row r="386" spans="1:6">
      <c r="A386" s="77">
        <f t="shared" ca="1" si="13"/>
        <v>45967</v>
      </c>
      <c r="B386" s="80">
        <f t="shared" ca="1" si="12"/>
        <v>45967.951567708333</v>
      </c>
      <c r="C386" s="76" t="s">
        <v>81</v>
      </c>
      <c r="D386" s="76" t="s">
        <v>902</v>
      </c>
      <c r="E386" s="79" t="s">
        <v>1159</v>
      </c>
      <c r="F386" s="79"/>
    </row>
    <row r="387" spans="1:6">
      <c r="A387" s="77">
        <f t="shared" ca="1" si="13"/>
        <v>45967</v>
      </c>
      <c r="B387" s="80">
        <f t="shared" ca="1" si="12"/>
        <v>45967.952743865739</v>
      </c>
      <c r="C387" s="76" t="s">
        <v>81</v>
      </c>
      <c r="D387" s="76" t="s">
        <v>902</v>
      </c>
      <c r="E387" s="79" t="s">
        <v>1160</v>
      </c>
      <c r="F387" s="79"/>
    </row>
    <row r="388" spans="1:6">
      <c r="A388" s="77">
        <f t="shared" ca="1" si="13"/>
        <v>45967</v>
      </c>
      <c r="B388" s="80">
        <f t="shared" ca="1" si="12"/>
        <v>45967.95309664352</v>
      </c>
      <c r="C388" s="76" t="s">
        <v>81</v>
      </c>
      <c r="D388" s="76" t="s">
        <v>902</v>
      </c>
      <c r="E388" s="79" t="s">
        <v>1121</v>
      </c>
      <c r="F388" s="79"/>
    </row>
    <row r="389" spans="1:6">
      <c r="A389" s="77">
        <f t="shared" ca="1" si="13"/>
        <v>45967</v>
      </c>
      <c r="B389" s="80">
        <f t="shared" ca="1" si="12"/>
        <v>45967.955263888885</v>
      </c>
      <c r="C389" s="76" t="s">
        <v>81</v>
      </c>
      <c r="D389" s="76" t="s">
        <v>902</v>
      </c>
      <c r="E389" s="79" t="s">
        <v>1161</v>
      </c>
      <c r="F389" s="79"/>
    </row>
    <row r="390" spans="1:6">
      <c r="A390" s="77">
        <f t="shared" ca="1" si="13"/>
        <v>45968</v>
      </c>
      <c r="B390" s="80">
        <f t="shared" ca="1" si="12"/>
        <v>45968.004838657405</v>
      </c>
      <c r="C390" s="76" t="s">
        <v>84</v>
      </c>
      <c r="D390" s="210" t="s">
        <v>906</v>
      </c>
      <c r="E390" s="79"/>
      <c r="F390" s="79"/>
    </row>
    <row r="391" spans="1:6">
      <c r="A391" s="77">
        <f t="shared" ca="1" si="13"/>
        <v>45968</v>
      </c>
      <c r="B391" s="80">
        <f t="shared" ca="1" si="12"/>
        <v>45968.020798379628</v>
      </c>
      <c r="C391" s="76" t="s">
        <v>84</v>
      </c>
      <c r="D391" s="210" t="s">
        <v>909</v>
      </c>
      <c r="E391" s="79"/>
      <c r="F391" s="79"/>
    </row>
    <row r="392" spans="1:6">
      <c r="A392" s="77">
        <f t="shared" ca="1" si="13"/>
        <v>45968</v>
      </c>
      <c r="B392" s="80">
        <f t="shared" ca="1" si="12"/>
        <v>45968.026986458332</v>
      </c>
      <c r="C392" s="76" t="s">
        <v>84</v>
      </c>
      <c r="D392" s="76" t="s">
        <v>902</v>
      </c>
      <c r="E392" s="79" t="s">
        <v>1162</v>
      </c>
      <c r="F392" s="79"/>
    </row>
    <row r="393" spans="1:6">
      <c r="A393" s="77">
        <f t="shared" ca="1" si="13"/>
        <v>45968</v>
      </c>
      <c r="B393" s="80">
        <f t="shared" ca="1" si="12"/>
        <v>45968.027321296293</v>
      </c>
      <c r="C393" s="76" t="s">
        <v>84</v>
      </c>
      <c r="D393" s="76" t="s">
        <v>902</v>
      </c>
      <c r="E393" s="79" t="s">
        <v>1163</v>
      </c>
      <c r="F393" s="79"/>
    </row>
    <row r="394" spans="1:6">
      <c r="A394" s="77">
        <f t="shared" ca="1" si="13"/>
        <v>45968</v>
      </c>
      <c r="B394" s="80">
        <f t="shared" ca="1" si="12"/>
        <v>45968.027907638891</v>
      </c>
      <c r="C394" s="76" t="s">
        <v>84</v>
      </c>
      <c r="D394" s="76" t="s">
        <v>902</v>
      </c>
      <c r="E394" s="79" t="s">
        <v>1164</v>
      </c>
      <c r="F394" s="79"/>
    </row>
    <row r="395" spans="1:6">
      <c r="A395" s="77">
        <f t="shared" ca="1" si="13"/>
        <v>45968</v>
      </c>
      <c r="B395" s="80">
        <f t="shared" ca="1" si="12"/>
        <v>45968.028530787036</v>
      </c>
      <c r="C395" s="76" t="s">
        <v>84</v>
      </c>
      <c r="D395" s="76" t="s">
        <v>902</v>
      </c>
      <c r="E395" s="79" t="s">
        <v>1163</v>
      </c>
      <c r="F395" s="79"/>
    </row>
    <row r="396" spans="1:6">
      <c r="A396" s="77">
        <f t="shared" ca="1" si="13"/>
        <v>45968</v>
      </c>
      <c r="B396" s="80">
        <f t="shared" ca="1" si="12"/>
        <v>45968.031115740741</v>
      </c>
      <c r="C396" s="76" t="s">
        <v>84</v>
      </c>
      <c r="D396" s="76" t="s">
        <v>902</v>
      </c>
      <c r="E396" s="79" t="s">
        <v>1165</v>
      </c>
      <c r="F396" s="79"/>
    </row>
    <row r="397" spans="1:6">
      <c r="A397" s="77">
        <f t="shared" ca="1" si="13"/>
        <v>45968</v>
      </c>
      <c r="B397" s="80">
        <f t="shared" ca="1" si="12"/>
        <v>45968.03258634259</v>
      </c>
      <c r="C397" s="76" t="s">
        <v>84</v>
      </c>
      <c r="D397" s="76" t="s">
        <v>902</v>
      </c>
      <c r="E397" s="79" t="s">
        <v>1124</v>
      </c>
      <c r="F397" s="79"/>
    </row>
    <row r="398" spans="1:6">
      <c r="A398" s="77">
        <f t="shared" ca="1" si="13"/>
        <v>45968</v>
      </c>
      <c r="B398" s="80">
        <f t="shared" ca="1" si="12"/>
        <v>45968.044835416666</v>
      </c>
      <c r="C398" s="76" t="s">
        <v>84</v>
      </c>
      <c r="D398" s="76" t="s">
        <v>902</v>
      </c>
      <c r="E398" s="79" t="s">
        <v>1166</v>
      </c>
      <c r="F398" s="79"/>
    </row>
    <row r="399" spans="1:6">
      <c r="A399" s="77">
        <f t="shared" ca="1" si="13"/>
        <v>45968</v>
      </c>
      <c r="B399" s="80">
        <f t="shared" ca="1" si="12"/>
        <v>45968.045042129626</v>
      </c>
      <c r="C399" s="76" t="s">
        <v>84</v>
      </c>
      <c r="D399" s="76" t="s">
        <v>902</v>
      </c>
      <c r="E399" s="79" t="s">
        <v>1115</v>
      </c>
      <c r="F399" s="79"/>
    </row>
    <row r="400" spans="1:6">
      <c r="A400" s="77">
        <f t="shared" ca="1" si="13"/>
        <v>45968</v>
      </c>
      <c r="B400" s="80">
        <f t="shared" ca="1" si="12"/>
        <v>45968.045880555554</v>
      </c>
      <c r="C400" s="76" t="s">
        <v>84</v>
      </c>
      <c r="D400" s="76" t="s">
        <v>902</v>
      </c>
      <c r="E400" s="79" t="s">
        <v>1167</v>
      </c>
      <c r="F400" s="79"/>
    </row>
    <row r="401" spans="1:6">
      <c r="A401" s="77">
        <f t="shared" ca="1" si="13"/>
        <v>45968</v>
      </c>
      <c r="B401" s="80">
        <f t="shared" ca="1" si="12"/>
        <v>45968.052971296296</v>
      </c>
      <c r="C401" s="76" t="s">
        <v>84</v>
      </c>
      <c r="D401" s="76" t="s">
        <v>902</v>
      </c>
      <c r="E401" s="79" t="s">
        <v>1168</v>
      </c>
      <c r="F401" s="79"/>
    </row>
    <row r="402" spans="1:6">
      <c r="A402" s="77">
        <f t="shared" ca="1" si="13"/>
        <v>45968</v>
      </c>
      <c r="B402" s="80">
        <f t="shared" ca="1" si="12"/>
        <v>45968.05420914352</v>
      </c>
      <c r="C402" s="76" t="s">
        <v>84</v>
      </c>
      <c r="D402" s="76" t="s">
        <v>902</v>
      </c>
      <c r="E402" s="79" t="s">
        <v>956</v>
      </c>
      <c r="F402" s="79"/>
    </row>
    <row r="403" spans="1:6">
      <c r="A403" s="77">
        <f t="shared" ca="1" si="13"/>
        <v>45968</v>
      </c>
      <c r="B403" s="80">
        <f t="shared" ca="1" si="12"/>
        <v>45968.057234953703</v>
      </c>
      <c r="C403" s="76" t="s">
        <v>84</v>
      </c>
      <c r="D403" s="76" t="s">
        <v>902</v>
      </c>
      <c r="E403" s="79" t="s">
        <v>1115</v>
      </c>
      <c r="F403" s="79"/>
    </row>
    <row r="404" spans="1:6">
      <c r="A404" s="77">
        <f t="shared" ca="1" si="13"/>
        <v>45968</v>
      </c>
      <c r="B404" s="80">
        <f t="shared" ca="1" si="12"/>
        <v>45968.057567361109</v>
      </c>
      <c r="C404" s="76" t="s">
        <v>84</v>
      </c>
      <c r="D404" s="76" t="s">
        <v>902</v>
      </c>
      <c r="E404" s="79" t="s">
        <v>1166</v>
      </c>
      <c r="F404" s="79"/>
    </row>
    <row r="405" spans="1:6">
      <c r="A405" s="77">
        <f t="shared" ca="1" si="13"/>
        <v>45968</v>
      </c>
      <c r="B405" s="80">
        <f t="shared" ca="1" si="12"/>
        <v>45968.057654398151</v>
      </c>
      <c r="C405" s="76" t="s">
        <v>84</v>
      </c>
      <c r="D405" s="76" t="s">
        <v>902</v>
      </c>
      <c r="E405" s="79" t="s">
        <v>1115</v>
      </c>
      <c r="F405" s="79"/>
    </row>
    <row r="406" spans="1:6">
      <c r="A406" s="77">
        <f t="shared" ca="1" si="13"/>
        <v>45968</v>
      </c>
      <c r="B406" s="80">
        <f t="shared" ca="1" si="12"/>
        <v>45968.057689583336</v>
      </c>
      <c r="C406" s="76" t="s">
        <v>84</v>
      </c>
      <c r="D406" s="76" t="s">
        <v>902</v>
      </c>
      <c r="E406" s="79" t="s">
        <v>1115</v>
      </c>
      <c r="F406" s="79"/>
    </row>
    <row r="407" spans="1:6">
      <c r="A407" s="77">
        <f t="shared" ca="1" si="13"/>
        <v>45968</v>
      </c>
      <c r="B407" s="80">
        <f t="shared" ca="1" si="12"/>
        <v>45968.05773148148</v>
      </c>
      <c r="C407" s="76" t="s">
        <v>84</v>
      </c>
      <c r="D407" s="76" t="s">
        <v>902</v>
      </c>
      <c r="E407" s="79" t="s">
        <v>1166</v>
      </c>
      <c r="F407" s="79"/>
    </row>
    <row r="408" spans="1:6">
      <c r="A408" s="77">
        <f t="shared" ca="1" si="13"/>
        <v>45968</v>
      </c>
      <c r="B408" s="80">
        <f t="shared" ca="1" si="12"/>
        <v>45968.059025347226</v>
      </c>
      <c r="C408" s="76" t="s">
        <v>84</v>
      </c>
      <c r="D408" s="76" t="s">
        <v>902</v>
      </c>
      <c r="E408" s="79" t="s">
        <v>1166</v>
      </c>
      <c r="F408" s="79"/>
    </row>
    <row r="409" spans="1:6">
      <c r="A409" s="77">
        <f t="shared" ca="1" si="13"/>
        <v>45968</v>
      </c>
      <c r="B409" s="80">
        <f t="shared" ca="1" si="12"/>
        <v>45968.05910150463</v>
      </c>
      <c r="C409" s="76" t="s">
        <v>84</v>
      </c>
      <c r="D409" s="76" t="s">
        <v>902</v>
      </c>
      <c r="E409" s="79" t="s">
        <v>956</v>
      </c>
      <c r="F409" s="79"/>
    </row>
    <row r="410" spans="1:6">
      <c r="A410" s="77">
        <f t="shared" ca="1" si="13"/>
        <v>45968</v>
      </c>
      <c r="B410" s="80">
        <f t="shared" ca="1" si="12"/>
        <v>45968.059252314815</v>
      </c>
      <c r="C410" s="76" t="s">
        <v>84</v>
      </c>
      <c r="D410" s="76" t="s">
        <v>902</v>
      </c>
      <c r="E410" s="79" t="s">
        <v>1045</v>
      </c>
      <c r="F410" s="79"/>
    </row>
    <row r="411" spans="1:6">
      <c r="A411" s="77">
        <f t="shared" ca="1" si="13"/>
        <v>45968</v>
      </c>
      <c r="B411" s="80">
        <f t="shared" ca="1" si="12"/>
        <v>45968.060683333337</v>
      </c>
      <c r="C411" s="76" t="s">
        <v>84</v>
      </c>
      <c r="D411" s="76" t="s">
        <v>902</v>
      </c>
      <c r="E411" s="79" t="s">
        <v>1169</v>
      </c>
      <c r="F411" s="79"/>
    </row>
    <row r="412" spans="1:6">
      <c r="A412" s="77">
        <f t="shared" ca="1" si="13"/>
        <v>45968</v>
      </c>
      <c r="B412" s="80">
        <f t="shared" ca="1" si="12"/>
        <v>45968.066515393519</v>
      </c>
      <c r="C412" s="76" t="s">
        <v>84</v>
      </c>
      <c r="D412" s="76" t="s">
        <v>902</v>
      </c>
      <c r="E412" s="79" t="s">
        <v>1170</v>
      </c>
      <c r="F412" s="79"/>
    </row>
    <row r="413" spans="1:6">
      <c r="A413" s="77">
        <f t="shared" ca="1" si="13"/>
        <v>45968</v>
      </c>
      <c r="B413" s="80">
        <f t="shared" ca="1" si="12"/>
        <v>45968.069305439814</v>
      </c>
      <c r="C413" s="76" t="s">
        <v>84</v>
      </c>
      <c r="D413" s="76" t="s">
        <v>902</v>
      </c>
      <c r="E413" s="79" t="s">
        <v>1168</v>
      </c>
      <c r="F413" s="79"/>
    </row>
    <row r="414" spans="1:6">
      <c r="A414" s="77">
        <f t="shared" ca="1" si="13"/>
        <v>45968</v>
      </c>
      <c r="B414" s="80">
        <f t="shared" ca="1" si="12"/>
        <v>45968.070722453704</v>
      </c>
      <c r="C414" s="76" t="s">
        <v>84</v>
      </c>
      <c r="D414" s="76" t="s">
        <v>902</v>
      </c>
      <c r="E414" s="79" t="s">
        <v>1171</v>
      </c>
      <c r="F414" s="79"/>
    </row>
    <row r="415" spans="1:6">
      <c r="A415" s="77">
        <f t="shared" ca="1" si="13"/>
        <v>45968</v>
      </c>
      <c r="B415" s="80">
        <f t="shared" ca="1" si="12"/>
        <v>45968.075603240737</v>
      </c>
      <c r="C415" s="76" t="s">
        <v>84</v>
      </c>
      <c r="D415" s="76" t="s">
        <v>902</v>
      </c>
      <c r="E415" s="79" t="s">
        <v>1170</v>
      </c>
      <c r="F415" s="79"/>
    </row>
    <row r="416" spans="1:6">
      <c r="A416" s="77">
        <f t="shared" ca="1" si="13"/>
        <v>45968</v>
      </c>
      <c r="B416" s="80">
        <f t="shared" ca="1" si="12"/>
        <v>45968.07633009259</v>
      </c>
      <c r="C416" s="76" t="s">
        <v>84</v>
      </c>
      <c r="D416" s="76" t="s">
        <v>902</v>
      </c>
      <c r="E416" s="79" t="s">
        <v>1172</v>
      </c>
      <c r="F416" s="79"/>
    </row>
    <row r="417" spans="1:6">
      <c r="A417" s="77">
        <f t="shared" ca="1" si="13"/>
        <v>45968</v>
      </c>
      <c r="B417" s="80">
        <f t="shared" ca="1" si="12"/>
        <v>45968.077397106485</v>
      </c>
      <c r="C417" s="76" t="s">
        <v>84</v>
      </c>
      <c r="D417" s="76" t="s">
        <v>902</v>
      </c>
      <c r="E417" s="79" t="s">
        <v>1115</v>
      </c>
      <c r="F417" s="79"/>
    </row>
    <row r="418" spans="1:6">
      <c r="A418" s="77">
        <f t="shared" ca="1" si="13"/>
        <v>45968</v>
      </c>
      <c r="B418" s="80">
        <f t="shared" ca="1" si="12"/>
        <v>45968.083042592596</v>
      </c>
      <c r="C418" s="76" t="s">
        <v>84</v>
      </c>
      <c r="D418" s="76" t="s">
        <v>902</v>
      </c>
      <c r="E418" s="79" t="s">
        <v>956</v>
      </c>
      <c r="F418" s="79"/>
    </row>
    <row r="419" spans="1:6">
      <c r="A419" s="77">
        <f t="shared" ca="1" si="13"/>
        <v>45968</v>
      </c>
      <c r="B419" s="80">
        <f t="shared" ca="1" si="12"/>
        <v>45968.088552430556</v>
      </c>
      <c r="C419" s="76" t="s">
        <v>84</v>
      </c>
      <c r="D419" s="76" t="s">
        <v>902</v>
      </c>
      <c r="E419" s="79" t="s">
        <v>1173</v>
      </c>
      <c r="F419" s="79"/>
    </row>
    <row r="420" spans="1:6">
      <c r="A420" s="77">
        <f t="shared" ca="1" si="13"/>
        <v>45968</v>
      </c>
      <c r="B420" s="80">
        <f t="shared" ca="1" si="12"/>
        <v>45968.091829050929</v>
      </c>
      <c r="C420" s="76" t="s">
        <v>84</v>
      </c>
      <c r="D420" s="76" t="s">
        <v>902</v>
      </c>
      <c r="E420" s="79" t="s">
        <v>1174</v>
      </c>
      <c r="F420" s="79"/>
    </row>
    <row r="421" spans="1:6">
      <c r="A421" s="77">
        <f t="shared" ca="1" si="13"/>
        <v>45968</v>
      </c>
      <c r="B421" s="80">
        <v>2.0972222222222223</v>
      </c>
      <c r="C421" s="76" t="s">
        <v>84</v>
      </c>
      <c r="D421" s="210" t="s">
        <v>922</v>
      </c>
      <c r="E421" s="79"/>
      <c r="F421" s="79"/>
    </row>
    <row r="422" spans="1:6">
      <c r="A422" s="77">
        <f t="shared" ca="1" si="13"/>
        <v>45968</v>
      </c>
      <c r="B422" s="80">
        <f t="shared" ca="1" si="12"/>
        <v>45968.164497800928</v>
      </c>
      <c r="C422" s="76" t="s">
        <v>88</v>
      </c>
      <c r="D422" s="210" t="s">
        <v>906</v>
      </c>
      <c r="E422" s="79"/>
      <c r="F422" s="79"/>
    </row>
    <row r="423" spans="1:6">
      <c r="A423" s="77">
        <f t="shared" ca="1" si="13"/>
        <v>45968</v>
      </c>
      <c r="B423" s="80">
        <f t="shared" ca="1" si="12"/>
        <v>45968.172566435183</v>
      </c>
      <c r="C423" s="76" t="s">
        <v>88</v>
      </c>
      <c r="D423" s="210" t="s">
        <v>909</v>
      </c>
      <c r="E423" s="79"/>
      <c r="F423" s="79"/>
    </row>
    <row r="424" spans="1:6">
      <c r="A424" s="77">
        <f t="shared" ca="1" si="13"/>
        <v>45968</v>
      </c>
      <c r="B424" s="80">
        <f t="shared" ca="1" si="12"/>
        <v>45968.174293865741</v>
      </c>
      <c r="C424" s="76" t="s">
        <v>88</v>
      </c>
      <c r="D424" s="76" t="s">
        <v>902</v>
      </c>
      <c r="E424" s="79" t="s">
        <v>1121</v>
      </c>
      <c r="F424" s="79"/>
    </row>
    <row r="425" spans="1:6">
      <c r="A425" s="77">
        <f t="shared" ca="1" si="13"/>
        <v>45968</v>
      </c>
      <c r="B425" s="80">
        <f t="shared" ca="1" si="12"/>
        <v>45968.175807291664</v>
      </c>
      <c r="C425" s="76" t="s">
        <v>88</v>
      </c>
      <c r="D425" s="76" t="s">
        <v>902</v>
      </c>
      <c r="E425" s="79" t="s">
        <v>1121</v>
      </c>
      <c r="F425" s="79"/>
    </row>
    <row r="426" spans="1:6">
      <c r="A426" s="77">
        <f t="shared" ca="1" si="13"/>
        <v>45968</v>
      </c>
      <c r="B426" s="80">
        <f t="shared" ca="1" si="12"/>
        <v>45968.177048379628</v>
      </c>
      <c r="C426" s="76" t="s">
        <v>88</v>
      </c>
      <c r="D426" s="76" t="s">
        <v>902</v>
      </c>
      <c r="E426" s="79" t="s">
        <v>1175</v>
      </c>
      <c r="F426" s="79"/>
    </row>
    <row r="427" spans="1:6">
      <c r="A427" s="77">
        <f t="shared" ca="1" si="13"/>
        <v>45968</v>
      </c>
      <c r="B427" s="80">
        <f t="shared" ca="1" si="12"/>
        <v>45968.178797106484</v>
      </c>
      <c r="C427" s="76" t="s">
        <v>88</v>
      </c>
      <c r="D427" s="76" t="s">
        <v>902</v>
      </c>
      <c r="E427" s="79" t="s">
        <v>1121</v>
      </c>
      <c r="F427" s="79"/>
    </row>
    <row r="428" spans="1:6">
      <c r="A428" s="77">
        <f t="shared" ca="1" si="13"/>
        <v>45968</v>
      </c>
      <c r="B428" s="80">
        <f t="shared" ca="1" si="12"/>
        <v>45968.181385648146</v>
      </c>
      <c r="C428" s="76" t="s">
        <v>88</v>
      </c>
      <c r="D428" s="76" t="s">
        <v>902</v>
      </c>
      <c r="E428" s="79" t="s">
        <v>1139</v>
      </c>
      <c r="F428" s="79"/>
    </row>
    <row r="429" spans="1:6">
      <c r="A429" s="77">
        <f t="shared" ca="1" si="13"/>
        <v>45968</v>
      </c>
      <c r="B429" s="80">
        <f t="shared" ca="1" si="12"/>
        <v>45968.183687500001</v>
      </c>
      <c r="C429" s="76" t="s">
        <v>88</v>
      </c>
      <c r="D429" s="76" t="s">
        <v>902</v>
      </c>
      <c r="E429" s="79" t="s">
        <v>1176</v>
      </c>
      <c r="F429" s="79"/>
    </row>
    <row r="430" spans="1:6">
      <c r="A430" s="77">
        <f t="shared" ca="1" si="13"/>
        <v>45968</v>
      </c>
      <c r="B430" s="80">
        <f t="shared" ref="B430:B493" ca="1" si="14">IF(C430&lt;&gt;0,IF(B430=0,NOW(),B430),)</f>
        <v>45968.184374652781</v>
      </c>
      <c r="C430" s="76" t="s">
        <v>88</v>
      </c>
      <c r="D430" s="76" t="s">
        <v>902</v>
      </c>
      <c r="E430" s="79" t="s">
        <v>1177</v>
      </c>
      <c r="F430" s="79"/>
    </row>
    <row r="431" spans="1:6">
      <c r="A431" s="77">
        <f t="shared" ca="1" si="13"/>
        <v>45968</v>
      </c>
      <c r="B431" s="80">
        <f t="shared" ca="1" si="14"/>
        <v>45968.185274768519</v>
      </c>
      <c r="C431" s="76" t="s">
        <v>88</v>
      </c>
      <c r="D431" s="76" t="s">
        <v>902</v>
      </c>
      <c r="E431" s="79" t="s">
        <v>1121</v>
      </c>
      <c r="F431" s="79"/>
    </row>
    <row r="432" spans="1:6">
      <c r="A432" s="77">
        <v>45968</v>
      </c>
      <c r="B432" s="80">
        <v>45968.185972222222</v>
      </c>
      <c r="C432" s="76" t="s">
        <v>88</v>
      </c>
      <c r="D432" s="76" t="s">
        <v>902</v>
      </c>
      <c r="E432" s="79" t="s">
        <v>1121</v>
      </c>
      <c r="F432" s="79"/>
    </row>
    <row r="433" spans="1:6">
      <c r="A433" s="77">
        <v>45968</v>
      </c>
      <c r="B433" s="80">
        <v>45968.185972222222</v>
      </c>
      <c r="C433" s="76" t="s">
        <v>88</v>
      </c>
      <c r="D433" s="76" t="s">
        <v>902</v>
      </c>
      <c r="E433" s="79" t="s">
        <v>1121</v>
      </c>
      <c r="F433" s="79"/>
    </row>
    <row r="434" spans="1:6">
      <c r="A434" s="77">
        <f t="shared" ca="1" si="13"/>
        <v>45968</v>
      </c>
      <c r="B434" s="80">
        <f t="shared" ca="1" si="14"/>
        <v>45968.187365625003</v>
      </c>
      <c r="C434" s="76" t="s">
        <v>88</v>
      </c>
      <c r="D434" s="76" t="s">
        <v>902</v>
      </c>
      <c r="E434" s="79" t="s">
        <v>1178</v>
      </c>
      <c r="F434" s="79"/>
    </row>
    <row r="435" spans="1:6">
      <c r="A435" s="77">
        <f t="shared" ca="1" si="13"/>
        <v>45968</v>
      </c>
      <c r="B435" s="80">
        <f t="shared" ca="1" si="14"/>
        <v>45968.191180439811</v>
      </c>
      <c r="C435" s="76" t="s">
        <v>88</v>
      </c>
      <c r="D435" s="76" t="s">
        <v>902</v>
      </c>
      <c r="E435" s="79" t="s">
        <v>1179</v>
      </c>
      <c r="F435" s="79"/>
    </row>
    <row r="436" spans="1:6">
      <c r="A436" s="77">
        <v>45968</v>
      </c>
      <c r="B436" s="80">
        <v>45968.19222222222</v>
      </c>
      <c r="C436" s="76" t="s">
        <v>88</v>
      </c>
      <c r="D436" s="76" t="s">
        <v>902</v>
      </c>
      <c r="E436" s="79" t="s">
        <v>1180</v>
      </c>
      <c r="F436" s="79"/>
    </row>
    <row r="437" spans="1:6">
      <c r="A437" s="77">
        <f t="shared" ca="1" si="13"/>
        <v>45968</v>
      </c>
      <c r="B437" s="80">
        <f t="shared" ca="1" si="14"/>
        <v>45968.193411342596</v>
      </c>
      <c r="C437" s="76" t="s">
        <v>88</v>
      </c>
      <c r="D437" s="76" t="s">
        <v>902</v>
      </c>
      <c r="E437" s="79" t="s">
        <v>1181</v>
      </c>
      <c r="F437" s="79"/>
    </row>
    <row r="438" spans="1:6">
      <c r="A438" s="77">
        <f t="shared" ca="1" si="13"/>
        <v>45968</v>
      </c>
      <c r="B438" s="80">
        <f t="shared" ca="1" si="14"/>
        <v>45968.196360416667</v>
      </c>
      <c r="C438" s="76" t="s">
        <v>88</v>
      </c>
      <c r="D438" s="76" t="s">
        <v>902</v>
      </c>
      <c r="E438" s="79" t="s">
        <v>1182</v>
      </c>
      <c r="F438" s="79"/>
    </row>
    <row r="439" spans="1:6">
      <c r="A439" s="77">
        <f t="shared" ca="1" si="13"/>
        <v>45968</v>
      </c>
      <c r="B439" s="80">
        <f t="shared" ca="1" si="14"/>
        <v>45968.197423148151</v>
      </c>
      <c r="C439" s="76" t="s">
        <v>88</v>
      </c>
      <c r="D439" s="76" t="s">
        <v>902</v>
      </c>
      <c r="E439" s="79" t="s">
        <v>1180</v>
      </c>
      <c r="F439" s="79"/>
    </row>
    <row r="440" spans="1:6">
      <c r="A440" s="77">
        <f t="shared" ca="1" si="13"/>
        <v>45968</v>
      </c>
      <c r="B440" s="80">
        <f t="shared" ca="1" si="14"/>
        <v>45968.198224189815</v>
      </c>
      <c r="C440" s="76" t="s">
        <v>88</v>
      </c>
      <c r="D440" s="76" t="s">
        <v>902</v>
      </c>
      <c r="E440" s="79" t="s">
        <v>1121</v>
      </c>
      <c r="F440" s="79"/>
    </row>
    <row r="441" spans="1:6">
      <c r="A441" s="77">
        <f t="shared" ca="1" si="13"/>
        <v>45968</v>
      </c>
      <c r="B441" s="80">
        <f t="shared" ca="1" si="14"/>
        <v>45968.200538078701</v>
      </c>
      <c r="C441" s="76" t="s">
        <v>88</v>
      </c>
      <c r="D441" s="76" t="s">
        <v>902</v>
      </c>
      <c r="E441" s="79" t="s">
        <v>936</v>
      </c>
      <c r="F441" s="79"/>
    </row>
    <row r="442" spans="1:6">
      <c r="A442" s="77">
        <f t="shared" ca="1" si="13"/>
        <v>45968</v>
      </c>
      <c r="B442" s="80">
        <f t="shared" ca="1" si="14"/>
        <v>45968.200907754632</v>
      </c>
      <c r="C442" s="76" t="s">
        <v>88</v>
      </c>
      <c r="D442" s="76" t="s">
        <v>902</v>
      </c>
      <c r="E442" s="79" t="s">
        <v>1183</v>
      </c>
      <c r="F442" s="79"/>
    </row>
    <row r="443" spans="1:6">
      <c r="A443" s="77">
        <f t="shared" ca="1" si="13"/>
        <v>45968</v>
      </c>
      <c r="B443" s="80">
        <f t="shared" ca="1" si="14"/>
        <v>45968.20207013889</v>
      </c>
      <c r="C443" s="76" t="s">
        <v>88</v>
      </c>
      <c r="D443" s="76" t="s">
        <v>902</v>
      </c>
      <c r="E443" s="79" t="s">
        <v>1184</v>
      </c>
      <c r="F443" s="79"/>
    </row>
    <row r="444" spans="1:6">
      <c r="A444" s="77">
        <f t="shared" ca="1" si="13"/>
        <v>45968</v>
      </c>
      <c r="B444" s="80">
        <f t="shared" ca="1" si="14"/>
        <v>45968.204613310183</v>
      </c>
      <c r="C444" s="76" t="s">
        <v>88</v>
      </c>
      <c r="D444" s="76" t="s">
        <v>902</v>
      </c>
      <c r="E444" s="79" t="s">
        <v>1139</v>
      </c>
      <c r="F444" s="79"/>
    </row>
    <row r="445" spans="1:6">
      <c r="A445" s="77">
        <f t="shared" ca="1" si="13"/>
        <v>45968</v>
      </c>
      <c r="B445" s="80">
        <f t="shared" ca="1" si="14"/>
        <v>45968.205791087959</v>
      </c>
      <c r="C445" s="76" t="s">
        <v>88</v>
      </c>
      <c r="D445" s="76" t="s">
        <v>902</v>
      </c>
      <c r="E445" s="79" t="s">
        <v>1139</v>
      </c>
      <c r="F445" s="79"/>
    </row>
    <row r="446" spans="1:6">
      <c r="A446" s="77">
        <f t="shared" ca="1" si="13"/>
        <v>45968</v>
      </c>
      <c r="B446" s="80">
        <f t="shared" ca="1" si="14"/>
        <v>45968.209766550928</v>
      </c>
      <c r="C446" s="76" t="s">
        <v>88</v>
      </c>
      <c r="D446" s="76" t="s">
        <v>902</v>
      </c>
      <c r="E446" s="79" t="s">
        <v>1138</v>
      </c>
      <c r="F446" s="79"/>
    </row>
    <row r="447" spans="1:6">
      <c r="A447" s="77">
        <f t="shared" ca="1" si="13"/>
        <v>45968</v>
      </c>
      <c r="B447" s="80">
        <f t="shared" ca="1" si="14"/>
        <v>45968.210645370367</v>
      </c>
      <c r="C447" s="76" t="s">
        <v>88</v>
      </c>
      <c r="D447" s="76" t="s">
        <v>902</v>
      </c>
      <c r="E447" s="79" t="s">
        <v>1185</v>
      </c>
      <c r="F447" s="79"/>
    </row>
    <row r="448" spans="1:6">
      <c r="A448" s="77">
        <f t="shared" ca="1" si="13"/>
        <v>45968</v>
      </c>
      <c r="B448" s="80">
        <f t="shared" ca="1" si="14"/>
        <v>45968.213077083332</v>
      </c>
      <c r="C448" s="76" t="s">
        <v>88</v>
      </c>
      <c r="D448" s="76" t="s">
        <v>902</v>
      </c>
      <c r="E448" s="79" t="s">
        <v>1121</v>
      </c>
      <c r="F448" s="79"/>
    </row>
    <row r="449" spans="1:6">
      <c r="A449" s="77">
        <f t="shared" ref="A449:A512" ca="1" si="15">IF(C449&lt;&gt;0,IF(A449=0,TODAY(),A449),)</f>
        <v>45968</v>
      </c>
      <c r="B449" s="80">
        <f t="shared" ca="1" si="14"/>
        <v>45968.213246990737</v>
      </c>
      <c r="C449" s="76" t="s">
        <v>88</v>
      </c>
      <c r="D449" s="76" t="s">
        <v>902</v>
      </c>
      <c r="E449" s="79" t="s">
        <v>1186</v>
      </c>
      <c r="F449" s="79"/>
    </row>
    <row r="450" spans="1:6">
      <c r="A450" s="77">
        <f t="shared" ca="1" si="15"/>
        <v>45968</v>
      </c>
      <c r="B450" s="80">
        <f t="shared" ca="1" si="14"/>
        <v>45968.216577777777</v>
      </c>
      <c r="C450" s="76" t="s">
        <v>88</v>
      </c>
      <c r="D450" s="76" t="s">
        <v>902</v>
      </c>
      <c r="E450" s="79" t="s">
        <v>1185</v>
      </c>
      <c r="F450" s="79"/>
    </row>
    <row r="451" spans="1:6">
      <c r="A451" s="77">
        <f t="shared" ca="1" si="15"/>
        <v>45968</v>
      </c>
      <c r="B451" s="80">
        <f t="shared" ca="1" si="14"/>
        <v>45968.21989108796</v>
      </c>
      <c r="C451" s="76" t="s">
        <v>88</v>
      </c>
      <c r="D451" s="76" t="s">
        <v>902</v>
      </c>
      <c r="E451" s="79" t="s">
        <v>1187</v>
      </c>
      <c r="F451" s="79"/>
    </row>
    <row r="452" spans="1:6">
      <c r="A452" s="77">
        <f t="shared" ca="1" si="15"/>
        <v>45968</v>
      </c>
      <c r="B452" s="80">
        <f t="shared" ca="1" si="14"/>
        <v>45968.222124537038</v>
      </c>
      <c r="C452" s="76" t="s">
        <v>88</v>
      </c>
      <c r="D452" s="76" t="s">
        <v>902</v>
      </c>
      <c r="E452" s="79" t="s">
        <v>1139</v>
      </c>
      <c r="F452" s="79"/>
    </row>
    <row r="453" spans="1:6">
      <c r="A453" s="77">
        <f t="shared" ca="1" si="15"/>
        <v>45968</v>
      </c>
      <c r="B453" s="80">
        <f t="shared" ca="1" si="14"/>
        <v>45968.223304976855</v>
      </c>
      <c r="C453" s="76" t="s">
        <v>88</v>
      </c>
      <c r="D453" s="76" t="s">
        <v>902</v>
      </c>
      <c r="E453" s="79" t="s">
        <v>1187</v>
      </c>
      <c r="F453" s="79"/>
    </row>
    <row r="454" spans="1:6">
      <c r="A454" s="77">
        <f t="shared" ca="1" si="15"/>
        <v>45968</v>
      </c>
      <c r="B454" s="80">
        <f t="shared" ca="1" si="14"/>
        <v>45968.225521527776</v>
      </c>
      <c r="C454" s="76" t="s">
        <v>88</v>
      </c>
      <c r="D454" s="76" t="s">
        <v>902</v>
      </c>
      <c r="E454" s="79" t="s">
        <v>1139</v>
      </c>
      <c r="F454" s="79"/>
    </row>
    <row r="455" spans="1:6">
      <c r="A455" s="77">
        <f t="shared" ca="1" si="15"/>
        <v>45968</v>
      </c>
      <c r="B455" s="80">
        <f t="shared" ca="1" si="14"/>
        <v>45968.229193171297</v>
      </c>
      <c r="C455" s="76" t="s">
        <v>88</v>
      </c>
      <c r="D455" s="76" t="s">
        <v>902</v>
      </c>
      <c r="E455" s="79" t="s">
        <v>1181</v>
      </c>
      <c r="F455" s="79"/>
    </row>
    <row r="456" spans="1:6">
      <c r="A456" s="77">
        <f t="shared" ca="1" si="15"/>
        <v>45968</v>
      </c>
      <c r="B456" s="80">
        <f t="shared" ca="1" si="14"/>
        <v>45968.230804166669</v>
      </c>
      <c r="C456" s="76" t="s">
        <v>88</v>
      </c>
      <c r="D456" s="76" t="s">
        <v>902</v>
      </c>
      <c r="E456" s="79" t="s">
        <v>1139</v>
      </c>
      <c r="F456" s="79"/>
    </row>
    <row r="457" spans="1:6">
      <c r="A457" s="77">
        <f t="shared" ca="1" si="15"/>
        <v>45968</v>
      </c>
      <c r="B457" s="80">
        <f t="shared" ca="1" si="14"/>
        <v>45968.231011574077</v>
      </c>
      <c r="C457" s="76" t="s">
        <v>88</v>
      </c>
      <c r="D457" s="76" t="s">
        <v>902</v>
      </c>
      <c r="E457" s="79" t="s">
        <v>1188</v>
      </c>
      <c r="F457" s="79"/>
    </row>
    <row r="458" spans="1:6">
      <c r="A458" s="77">
        <f t="shared" ca="1" si="15"/>
        <v>45968</v>
      </c>
      <c r="B458" s="80">
        <f t="shared" ca="1" si="14"/>
        <v>45968.23152465278</v>
      </c>
      <c r="C458" s="76" t="s">
        <v>88</v>
      </c>
      <c r="D458" s="76" t="s">
        <v>902</v>
      </c>
      <c r="E458" s="79" t="s">
        <v>1189</v>
      </c>
      <c r="F458" s="79"/>
    </row>
    <row r="459" spans="1:6">
      <c r="A459" s="77">
        <f t="shared" ca="1" si="15"/>
        <v>45968</v>
      </c>
      <c r="B459" s="80">
        <f t="shared" ca="1" si="14"/>
        <v>45968.231906712965</v>
      </c>
      <c r="C459" s="76" t="s">
        <v>88</v>
      </c>
      <c r="D459" s="76" t="s">
        <v>902</v>
      </c>
      <c r="E459" s="79" t="s">
        <v>1190</v>
      </c>
      <c r="F459" s="79"/>
    </row>
    <row r="460" spans="1:6">
      <c r="A460" s="77">
        <f t="shared" ca="1" si="15"/>
        <v>45968</v>
      </c>
      <c r="B460" s="80">
        <f t="shared" ca="1" si="14"/>
        <v>45968.231913194446</v>
      </c>
      <c r="C460" s="76" t="s">
        <v>88</v>
      </c>
      <c r="D460" s="76" t="s">
        <v>902</v>
      </c>
      <c r="E460" s="79" t="s">
        <v>1191</v>
      </c>
      <c r="F460" s="79"/>
    </row>
    <row r="461" spans="1:6">
      <c r="A461" s="77">
        <f t="shared" ca="1" si="15"/>
        <v>45968</v>
      </c>
      <c r="B461" s="80">
        <f t="shared" ca="1" si="14"/>
        <v>45968.232396180552</v>
      </c>
      <c r="C461" s="76" t="s">
        <v>88</v>
      </c>
      <c r="D461" s="76" t="s">
        <v>902</v>
      </c>
      <c r="E461" s="79" t="s">
        <v>970</v>
      </c>
      <c r="F461" s="79"/>
    </row>
    <row r="462" spans="1:6">
      <c r="A462" s="77">
        <v>45968</v>
      </c>
      <c r="B462" s="80">
        <v>45968.422824074078</v>
      </c>
      <c r="C462" s="76" t="s">
        <v>91</v>
      </c>
      <c r="D462" s="210" t="s">
        <v>906</v>
      </c>
      <c r="E462" s="79"/>
      <c r="F462" s="79"/>
    </row>
    <row r="463" spans="1:6">
      <c r="A463" s="77">
        <f t="shared" ca="1" si="15"/>
        <v>45968</v>
      </c>
      <c r="B463" s="80">
        <f t="shared" ca="1" si="14"/>
        <v>45968.443298148151</v>
      </c>
      <c r="C463" s="76" t="s">
        <v>91</v>
      </c>
      <c r="D463" s="76" t="s">
        <v>902</v>
      </c>
      <c r="E463" s="79" t="s">
        <v>1192</v>
      </c>
      <c r="F463" s="79"/>
    </row>
    <row r="464" spans="1:6">
      <c r="A464" s="77">
        <f t="shared" ca="1" si="15"/>
        <v>45968</v>
      </c>
      <c r="B464" s="80">
        <f t="shared" ca="1" si="14"/>
        <v>45968.449395254633</v>
      </c>
      <c r="C464" s="76" t="s">
        <v>91</v>
      </c>
      <c r="D464" s="210" t="s">
        <v>909</v>
      </c>
      <c r="E464" s="79"/>
      <c r="F464" s="79"/>
    </row>
    <row r="465" spans="1:7">
      <c r="A465" s="77">
        <f t="shared" ca="1" si="15"/>
        <v>45968</v>
      </c>
      <c r="B465" s="80">
        <f t="shared" ca="1" si="14"/>
        <v>45968.449888310184</v>
      </c>
      <c r="C465" s="76" t="s">
        <v>91</v>
      </c>
      <c r="D465" s="76" t="s">
        <v>902</v>
      </c>
      <c r="E465" s="79" t="s">
        <v>1192</v>
      </c>
      <c r="F465" s="79"/>
    </row>
    <row r="466" spans="1:7">
      <c r="A466" s="77">
        <f t="shared" ca="1" si="15"/>
        <v>45968</v>
      </c>
      <c r="B466" s="80">
        <f t="shared" ca="1" si="14"/>
        <v>45968.450478356484</v>
      </c>
      <c r="C466" s="76" t="s">
        <v>91</v>
      </c>
      <c r="D466" s="76" t="s">
        <v>902</v>
      </c>
      <c r="E466" s="79"/>
      <c r="F466" s="79" t="s">
        <v>1003</v>
      </c>
      <c r="G466" s="79" t="s">
        <v>1193</v>
      </c>
    </row>
    <row r="467" spans="1:7">
      <c r="A467" s="77">
        <f t="shared" ca="1" si="15"/>
        <v>45968</v>
      </c>
      <c r="B467" s="80">
        <f t="shared" ca="1" si="14"/>
        <v>45968.451217476853</v>
      </c>
      <c r="C467" s="76" t="s">
        <v>91</v>
      </c>
      <c r="D467" s="76" t="s">
        <v>902</v>
      </c>
      <c r="E467" s="79" t="s">
        <v>1192</v>
      </c>
      <c r="F467" s="79"/>
    </row>
    <row r="468" spans="1:7">
      <c r="A468" s="77">
        <f t="shared" ca="1" si="15"/>
        <v>45968</v>
      </c>
      <c r="B468" s="80">
        <f t="shared" ca="1" si="14"/>
        <v>45968.451409027781</v>
      </c>
      <c r="C468" s="76" t="s">
        <v>91</v>
      </c>
      <c r="D468" s="76" t="s">
        <v>902</v>
      </c>
      <c r="E468" s="79" t="s">
        <v>1192</v>
      </c>
      <c r="F468" s="79"/>
    </row>
    <row r="469" spans="1:7">
      <c r="A469" s="77">
        <f t="shared" ca="1" si="15"/>
        <v>45968</v>
      </c>
      <c r="B469" s="80">
        <f t="shared" ca="1" si="14"/>
        <v>45968.453029282406</v>
      </c>
      <c r="C469" s="76" t="s">
        <v>91</v>
      </c>
      <c r="D469" s="76" t="s">
        <v>902</v>
      </c>
      <c r="E469" s="79" t="s">
        <v>1192</v>
      </c>
      <c r="F469" s="79"/>
    </row>
    <row r="470" spans="1:7">
      <c r="A470" s="77">
        <f t="shared" ca="1" si="15"/>
        <v>45968</v>
      </c>
      <c r="B470" s="80">
        <f t="shared" ca="1" si="14"/>
        <v>45968.454151273145</v>
      </c>
      <c r="C470" s="76" t="s">
        <v>91</v>
      </c>
      <c r="D470" s="76" t="s">
        <v>902</v>
      </c>
      <c r="E470" s="79" t="s">
        <v>1192</v>
      </c>
      <c r="F470" s="79"/>
    </row>
    <row r="471" spans="1:7">
      <c r="A471" s="77">
        <f t="shared" ca="1" si="15"/>
        <v>45968</v>
      </c>
      <c r="B471" s="80">
        <f t="shared" ca="1" si="14"/>
        <v>45968.457058796295</v>
      </c>
      <c r="C471" s="76" t="s">
        <v>91</v>
      </c>
      <c r="D471" s="76" t="s">
        <v>902</v>
      </c>
      <c r="E471" s="79" t="s">
        <v>1194</v>
      </c>
      <c r="F471" s="79"/>
    </row>
    <row r="472" spans="1:7">
      <c r="A472" s="77">
        <f t="shared" ca="1" si="15"/>
        <v>45968</v>
      </c>
      <c r="B472" s="80">
        <f t="shared" ca="1" si="14"/>
        <v>45968.458185995369</v>
      </c>
      <c r="C472" s="76" t="s">
        <v>91</v>
      </c>
      <c r="D472" s="76" t="s">
        <v>902</v>
      </c>
      <c r="E472" s="79" t="s">
        <v>1195</v>
      </c>
      <c r="F472" s="79"/>
    </row>
    <row r="473" spans="1:7">
      <c r="A473" s="77">
        <f t="shared" ca="1" si="15"/>
        <v>45968</v>
      </c>
      <c r="B473" s="80">
        <f t="shared" ca="1" si="14"/>
        <v>45968.459335185187</v>
      </c>
      <c r="C473" s="76" t="s">
        <v>91</v>
      </c>
      <c r="D473" s="76" t="s">
        <v>902</v>
      </c>
      <c r="E473" s="79" t="s">
        <v>1196</v>
      </c>
      <c r="F473" s="79"/>
    </row>
    <row r="474" spans="1:7">
      <c r="A474" s="77">
        <f t="shared" ca="1" si="15"/>
        <v>45968</v>
      </c>
      <c r="B474" s="80">
        <f t="shared" ca="1" si="14"/>
        <v>45968.462660879632</v>
      </c>
      <c r="C474" s="76" t="s">
        <v>91</v>
      </c>
      <c r="D474" s="76" t="s">
        <v>902</v>
      </c>
      <c r="E474" s="79" t="s">
        <v>1197</v>
      </c>
      <c r="F474" s="79"/>
    </row>
    <row r="475" spans="1:7">
      <c r="A475" s="77">
        <f t="shared" ca="1" si="15"/>
        <v>45968</v>
      </c>
      <c r="B475" s="80">
        <f t="shared" ca="1" si="14"/>
        <v>45968.463322685187</v>
      </c>
      <c r="C475" s="76" t="s">
        <v>91</v>
      </c>
      <c r="D475" s="76" t="s">
        <v>902</v>
      </c>
      <c r="E475" s="79" t="s">
        <v>1198</v>
      </c>
      <c r="F475" s="79"/>
    </row>
    <row r="476" spans="1:7">
      <c r="A476" s="77">
        <f t="shared" ca="1" si="15"/>
        <v>45968</v>
      </c>
      <c r="B476" s="80">
        <f t="shared" ca="1" si="14"/>
        <v>45968.466202199073</v>
      </c>
      <c r="C476" s="76" t="s">
        <v>91</v>
      </c>
      <c r="D476" s="76" t="s">
        <v>902</v>
      </c>
      <c r="E476" s="79" t="s">
        <v>1199</v>
      </c>
      <c r="F476" s="79"/>
    </row>
    <row r="477" spans="1:7">
      <c r="A477" s="77">
        <f t="shared" ca="1" si="15"/>
        <v>45968</v>
      </c>
      <c r="B477" s="80">
        <f t="shared" ca="1" si="14"/>
        <v>45968.466600462962</v>
      </c>
      <c r="C477" s="76" t="s">
        <v>91</v>
      </c>
      <c r="D477" s="76" t="s">
        <v>902</v>
      </c>
      <c r="E477" s="79" t="s">
        <v>1197</v>
      </c>
      <c r="F477" s="79"/>
    </row>
    <row r="478" spans="1:7">
      <c r="A478" s="77">
        <f t="shared" ca="1" si="15"/>
        <v>45968</v>
      </c>
      <c r="B478" s="80">
        <f t="shared" ca="1" si="14"/>
        <v>45968.468312152778</v>
      </c>
      <c r="C478" s="76" t="s">
        <v>91</v>
      </c>
      <c r="D478" s="76" t="s">
        <v>902</v>
      </c>
      <c r="E478" s="79" t="s">
        <v>1192</v>
      </c>
      <c r="F478" s="79"/>
    </row>
    <row r="479" spans="1:7">
      <c r="A479" s="77">
        <f t="shared" ca="1" si="15"/>
        <v>45968</v>
      </c>
      <c r="B479" s="80">
        <f t="shared" ca="1" si="14"/>
        <v>45968.469227314818</v>
      </c>
      <c r="C479" s="76" t="s">
        <v>91</v>
      </c>
      <c r="D479" s="76" t="s">
        <v>902</v>
      </c>
      <c r="E479" s="79" t="s">
        <v>1118</v>
      </c>
      <c r="F479" s="79"/>
    </row>
    <row r="480" spans="1:7">
      <c r="A480" s="77">
        <f t="shared" ca="1" si="15"/>
        <v>45968</v>
      </c>
      <c r="B480" s="80">
        <f t="shared" ca="1" si="14"/>
        <v>45968.471106481484</v>
      </c>
      <c r="C480" s="76" t="s">
        <v>91</v>
      </c>
      <c r="D480" s="76" t="s">
        <v>902</v>
      </c>
      <c r="E480" s="79" t="s">
        <v>1200</v>
      </c>
      <c r="F480" s="79"/>
    </row>
    <row r="481" spans="1:6">
      <c r="A481" s="77">
        <f t="shared" ca="1" si="15"/>
        <v>45968</v>
      </c>
      <c r="B481" s="80">
        <f t="shared" ca="1" si="14"/>
        <v>45968.472084374996</v>
      </c>
      <c r="C481" s="76" t="s">
        <v>91</v>
      </c>
      <c r="D481" s="76" t="s">
        <v>902</v>
      </c>
      <c r="E481" s="79" t="s">
        <v>1195</v>
      </c>
      <c r="F481" s="79"/>
    </row>
    <row r="482" spans="1:6">
      <c r="A482" s="77">
        <f t="shared" ca="1" si="15"/>
        <v>45968</v>
      </c>
      <c r="B482" s="80">
        <f t="shared" ca="1" si="14"/>
        <v>45968.476321064816</v>
      </c>
      <c r="C482" s="76" t="s">
        <v>91</v>
      </c>
      <c r="D482" s="76" t="s">
        <v>902</v>
      </c>
      <c r="E482" s="79" t="s">
        <v>1026</v>
      </c>
      <c r="F482" s="79"/>
    </row>
    <row r="483" spans="1:6">
      <c r="A483" s="77">
        <f t="shared" ca="1" si="15"/>
        <v>45968</v>
      </c>
      <c r="B483" s="80">
        <f t="shared" ca="1" si="14"/>
        <v>45968.477338888886</v>
      </c>
      <c r="C483" s="76" t="s">
        <v>91</v>
      </c>
      <c r="D483" s="76" t="s">
        <v>902</v>
      </c>
      <c r="E483" s="79" t="s">
        <v>1197</v>
      </c>
      <c r="F483" s="79"/>
    </row>
    <row r="484" spans="1:6">
      <c r="A484" s="77">
        <f t="shared" ca="1" si="15"/>
        <v>45968</v>
      </c>
      <c r="B484" s="80">
        <f t="shared" ca="1" si="14"/>
        <v>45968.481656481483</v>
      </c>
      <c r="C484" s="76" t="s">
        <v>91</v>
      </c>
      <c r="D484" s="76" t="s">
        <v>902</v>
      </c>
      <c r="E484" s="79" t="s">
        <v>1201</v>
      </c>
      <c r="F484" s="79"/>
    </row>
    <row r="485" spans="1:6">
      <c r="A485" s="77">
        <f t="shared" ca="1" si="15"/>
        <v>45968</v>
      </c>
      <c r="B485" s="80">
        <f t="shared" ca="1" si="14"/>
        <v>45968.484386111108</v>
      </c>
      <c r="C485" s="76" t="s">
        <v>91</v>
      </c>
      <c r="D485" s="76" t="s">
        <v>902</v>
      </c>
      <c r="E485" s="79" t="s">
        <v>1202</v>
      </c>
      <c r="F485" s="79"/>
    </row>
    <row r="486" spans="1:6">
      <c r="A486" s="77">
        <f t="shared" ca="1" si="15"/>
        <v>45968</v>
      </c>
      <c r="B486" s="80">
        <f t="shared" ca="1" si="14"/>
        <v>45968.485692361108</v>
      </c>
      <c r="C486" s="76" t="s">
        <v>91</v>
      </c>
      <c r="D486" s="76" t="s">
        <v>902</v>
      </c>
      <c r="E486" s="79" t="s">
        <v>1203</v>
      </c>
      <c r="F486" s="79"/>
    </row>
    <row r="487" spans="1:6">
      <c r="A487" s="77">
        <f t="shared" ca="1" si="15"/>
        <v>45968</v>
      </c>
      <c r="B487" s="80">
        <f t="shared" ca="1" si="14"/>
        <v>45968.48601724537</v>
      </c>
      <c r="C487" s="76" t="s">
        <v>91</v>
      </c>
      <c r="D487" s="76" t="s">
        <v>902</v>
      </c>
      <c r="E487" s="79" t="s">
        <v>1204</v>
      </c>
      <c r="F487" s="79"/>
    </row>
    <row r="488" spans="1:6">
      <c r="A488" s="77">
        <f t="shared" ca="1" si="15"/>
        <v>45968</v>
      </c>
      <c r="B488" s="80">
        <f t="shared" ca="1" si="14"/>
        <v>45968.488957407404</v>
      </c>
      <c r="C488" s="76" t="s">
        <v>91</v>
      </c>
      <c r="D488" s="76" t="s">
        <v>902</v>
      </c>
      <c r="E488" s="79" t="s">
        <v>1165</v>
      </c>
      <c r="F488" s="79"/>
    </row>
    <row r="489" spans="1:6">
      <c r="A489" s="77">
        <f t="shared" ca="1" si="15"/>
        <v>45968</v>
      </c>
      <c r="B489" s="80">
        <f t="shared" ca="1" si="14"/>
        <v>45968.489051273151</v>
      </c>
      <c r="C489" s="76" t="s">
        <v>91</v>
      </c>
      <c r="D489" s="76" t="s">
        <v>902</v>
      </c>
      <c r="E489" s="79" t="s">
        <v>1203</v>
      </c>
      <c r="F489" s="79"/>
    </row>
    <row r="490" spans="1:6">
      <c r="A490" s="77">
        <f t="shared" ca="1" si="15"/>
        <v>45968</v>
      </c>
      <c r="B490" s="80">
        <f t="shared" ca="1" si="14"/>
        <v>45968.489735763891</v>
      </c>
      <c r="C490" s="76" t="s">
        <v>91</v>
      </c>
      <c r="D490" s="76" t="s">
        <v>902</v>
      </c>
      <c r="E490" s="79" t="s">
        <v>1203</v>
      </c>
      <c r="F490" s="79"/>
    </row>
    <row r="491" spans="1:6">
      <c r="A491" s="77">
        <f t="shared" ca="1" si="15"/>
        <v>45968</v>
      </c>
      <c r="B491" s="80">
        <f t="shared" ca="1" si="14"/>
        <v>45968.490410532409</v>
      </c>
      <c r="C491" s="76" t="s">
        <v>91</v>
      </c>
      <c r="D491" s="76" t="s">
        <v>902</v>
      </c>
      <c r="E491" s="79" t="s">
        <v>1026</v>
      </c>
      <c r="F491" s="79"/>
    </row>
    <row r="492" spans="1:6">
      <c r="A492" s="77">
        <f t="shared" ca="1" si="15"/>
        <v>45968</v>
      </c>
      <c r="B492" s="80">
        <f t="shared" ca="1" si="14"/>
        <v>45968.492101388889</v>
      </c>
      <c r="C492" s="76" t="s">
        <v>91</v>
      </c>
      <c r="D492" s="76" t="s">
        <v>902</v>
      </c>
      <c r="E492" s="79" t="s">
        <v>1205</v>
      </c>
      <c r="F492" s="79"/>
    </row>
    <row r="493" spans="1:6">
      <c r="A493" s="77">
        <f t="shared" ca="1" si="15"/>
        <v>45968</v>
      </c>
      <c r="B493" s="80">
        <f t="shared" ca="1" si="14"/>
        <v>45968.492813541663</v>
      </c>
      <c r="C493" s="76" t="s">
        <v>91</v>
      </c>
      <c r="D493" s="76" t="s">
        <v>902</v>
      </c>
      <c r="E493" s="79" t="s">
        <v>1206</v>
      </c>
      <c r="F493" s="79"/>
    </row>
    <row r="494" spans="1:6">
      <c r="A494" s="77">
        <f t="shared" ca="1" si="15"/>
        <v>45968</v>
      </c>
      <c r="B494" s="80">
        <f t="shared" ref="B494:B557" ca="1" si="16">IF(C494&lt;&gt;0,IF(B494=0,NOW(),B494),)</f>
        <v>45968.494944444443</v>
      </c>
      <c r="C494" s="76" t="s">
        <v>91</v>
      </c>
      <c r="D494" s="76" t="s">
        <v>902</v>
      </c>
      <c r="E494" s="79" t="s">
        <v>1026</v>
      </c>
      <c r="F494" s="79"/>
    </row>
    <row r="495" spans="1:6">
      <c r="A495" s="77">
        <f t="shared" ca="1" si="15"/>
        <v>45968</v>
      </c>
      <c r="B495" s="80">
        <f t="shared" ca="1" si="16"/>
        <v>45968.499853703703</v>
      </c>
      <c r="C495" s="76" t="s">
        <v>91</v>
      </c>
      <c r="D495" s="76" t="s">
        <v>902</v>
      </c>
      <c r="E495" s="79" t="s">
        <v>1026</v>
      </c>
      <c r="F495" s="79"/>
    </row>
    <row r="496" spans="1:6">
      <c r="A496" s="77">
        <f t="shared" ca="1" si="15"/>
        <v>45968</v>
      </c>
      <c r="B496" s="80">
        <f t="shared" ca="1" si="16"/>
        <v>45968.500309606483</v>
      </c>
      <c r="C496" s="76" t="s">
        <v>91</v>
      </c>
      <c r="D496" s="76" t="s">
        <v>902</v>
      </c>
      <c r="E496" s="79" t="s">
        <v>1203</v>
      </c>
      <c r="F496" s="79"/>
    </row>
    <row r="497" spans="1:6">
      <c r="A497" s="77">
        <f t="shared" ca="1" si="15"/>
        <v>45968</v>
      </c>
      <c r="B497" s="80">
        <f t="shared" ca="1" si="16"/>
        <v>45968.501873958332</v>
      </c>
      <c r="C497" s="76" t="s">
        <v>91</v>
      </c>
      <c r="D497" s="76" t="s">
        <v>902</v>
      </c>
      <c r="E497" s="79" t="s">
        <v>970</v>
      </c>
      <c r="F497" s="79"/>
    </row>
    <row r="498" spans="1:6">
      <c r="A498" s="77">
        <f t="shared" ca="1" si="15"/>
        <v>45968</v>
      </c>
      <c r="B498" s="80">
        <f t="shared" ca="1" si="16"/>
        <v>45968.502216898145</v>
      </c>
      <c r="C498" s="76" t="s">
        <v>91</v>
      </c>
      <c r="D498" s="76" t="s">
        <v>902</v>
      </c>
      <c r="E498" s="79" t="s">
        <v>1026</v>
      </c>
      <c r="F498" s="79"/>
    </row>
    <row r="499" spans="1:6">
      <c r="A499" s="77">
        <f t="shared" ca="1" si="15"/>
        <v>45968</v>
      </c>
      <c r="B499" s="80">
        <f t="shared" ca="1" si="16"/>
        <v>45968.502726620369</v>
      </c>
      <c r="C499" s="76" t="s">
        <v>91</v>
      </c>
      <c r="D499" s="76" t="s">
        <v>902</v>
      </c>
      <c r="E499" s="79" t="s">
        <v>1203</v>
      </c>
      <c r="F499" s="79"/>
    </row>
    <row r="500" spans="1:6">
      <c r="A500" s="77">
        <f t="shared" ca="1" si="15"/>
        <v>45968</v>
      </c>
      <c r="B500" s="80">
        <f t="shared" ca="1" si="16"/>
        <v>45968.503573611109</v>
      </c>
      <c r="C500" s="76" t="s">
        <v>91</v>
      </c>
      <c r="D500" s="76" t="s">
        <v>902</v>
      </c>
      <c r="E500" s="79" t="s">
        <v>1165</v>
      </c>
      <c r="F500" s="79"/>
    </row>
    <row r="501" spans="1:6">
      <c r="A501" s="77">
        <f t="shared" ca="1" si="15"/>
        <v>45968</v>
      </c>
      <c r="B501" s="80">
        <f t="shared" ca="1" si="16"/>
        <v>45968.504095370372</v>
      </c>
      <c r="C501" s="76" t="s">
        <v>91</v>
      </c>
      <c r="D501" s="76" t="s">
        <v>902</v>
      </c>
      <c r="E501" s="79" t="s">
        <v>1203</v>
      </c>
      <c r="F501" s="79"/>
    </row>
    <row r="502" spans="1:6">
      <c r="A502" s="77">
        <f t="shared" ca="1" si="15"/>
        <v>45968</v>
      </c>
      <c r="B502" s="80">
        <f t="shared" ca="1" si="16"/>
        <v>45968.50543553241</v>
      </c>
      <c r="C502" s="76" t="s">
        <v>91</v>
      </c>
      <c r="D502" s="76" t="s">
        <v>902</v>
      </c>
      <c r="E502" s="79" t="s">
        <v>1207</v>
      </c>
      <c r="F502" s="79"/>
    </row>
    <row r="503" spans="1:6">
      <c r="A503" s="77">
        <f t="shared" ca="1" si="15"/>
        <v>45968</v>
      </c>
      <c r="B503" s="80">
        <f t="shared" ca="1" si="16"/>
        <v>45968.50569849537</v>
      </c>
      <c r="C503" s="76" t="s">
        <v>91</v>
      </c>
      <c r="D503" s="76" t="s">
        <v>902</v>
      </c>
      <c r="E503" s="79" t="s">
        <v>1208</v>
      </c>
      <c r="F503" s="79"/>
    </row>
    <row r="504" spans="1:6">
      <c r="A504" s="77">
        <f t="shared" ca="1" si="15"/>
        <v>45968</v>
      </c>
      <c r="B504" s="80">
        <f t="shared" ca="1" si="16"/>
        <v>45968.506292824073</v>
      </c>
      <c r="C504" s="76" t="s">
        <v>91</v>
      </c>
      <c r="D504" s="76" t="s">
        <v>902</v>
      </c>
      <c r="E504" s="79" t="s">
        <v>1209</v>
      </c>
      <c r="F504" s="79"/>
    </row>
    <row r="505" spans="1:6">
      <c r="A505" s="77">
        <f t="shared" ca="1" si="15"/>
        <v>45968</v>
      </c>
      <c r="B505" s="80">
        <f t="shared" ca="1" si="16"/>
        <v>45968.506893171296</v>
      </c>
      <c r="C505" s="76" t="s">
        <v>91</v>
      </c>
      <c r="D505" s="76" t="s">
        <v>902</v>
      </c>
      <c r="E505" s="79" t="s">
        <v>1210</v>
      </c>
      <c r="F505" s="79"/>
    </row>
    <row r="506" spans="1:6">
      <c r="A506" s="77">
        <f t="shared" ca="1" si="15"/>
        <v>45968</v>
      </c>
      <c r="B506" s="80">
        <f t="shared" ca="1" si="16"/>
        <v>45968.508162615741</v>
      </c>
      <c r="C506" s="76" t="s">
        <v>91</v>
      </c>
      <c r="D506" s="76" t="s">
        <v>902</v>
      </c>
      <c r="E506" s="79" t="s">
        <v>1211</v>
      </c>
      <c r="F506" s="79"/>
    </row>
    <row r="507" spans="1:6">
      <c r="A507" s="77">
        <f t="shared" ca="1" si="15"/>
        <v>45968</v>
      </c>
      <c r="B507" s="80">
        <f t="shared" ca="1" si="16"/>
        <v>45968.509450925929</v>
      </c>
      <c r="C507" s="76" t="s">
        <v>91</v>
      </c>
      <c r="D507" s="76" t="s">
        <v>902</v>
      </c>
      <c r="E507" s="79" t="s">
        <v>1212</v>
      </c>
      <c r="F507" s="79"/>
    </row>
    <row r="508" spans="1:6">
      <c r="A508" s="77">
        <f t="shared" ca="1" si="15"/>
        <v>45968</v>
      </c>
      <c r="B508" s="80">
        <f t="shared" ca="1" si="16"/>
        <v>45968.509718402776</v>
      </c>
      <c r="C508" s="76" t="s">
        <v>91</v>
      </c>
      <c r="D508" s="76" t="s">
        <v>902</v>
      </c>
      <c r="E508" s="79"/>
      <c r="F508" s="79" t="s">
        <v>1213</v>
      </c>
    </row>
    <row r="509" spans="1:6">
      <c r="A509" s="77">
        <f t="shared" ca="1" si="15"/>
        <v>45968</v>
      </c>
      <c r="B509" s="80">
        <f t="shared" ca="1" si="16"/>
        <v>45968.509902430553</v>
      </c>
      <c r="C509" s="76" t="s">
        <v>91</v>
      </c>
      <c r="D509" s="76" t="s">
        <v>902</v>
      </c>
      <c r="E509" s="79" t="s">
        <v>1214</v>
      </c>
      <c r="F509" s="79"/>
    </row>
    <row r="510" spans="1:6">
      <c r="A510" s="77">
        <f t="shared" ca="1" si="15"/>
        <v>45968</v>
      </c>
      <c r="B510" s="80">
        <f t="shared" ca="1" si="16"/>
        <v>45968.510115509256</v>
      </c>
      <c r="C510" s="76" t="s">
        <v>91</v>
      </c>
      <c r="D510" s="76" t="s">
        <v>902</v>
      </c>
      <c r="E510" s="79" t="s">
        <v>1203</v>
      </c>
      <c r="F510" s="79"/>
    </row>
    <row r="511" spans="1:6">
      <c r="A511" s="77">
        <f t="shared" ca="1" si="15"/>
        <v>45968</v>
      </c>
      <c r="B511" s="80">
        <f t="shared" ca="1" si="16"/>
        <v>45968.5118</v>
      </c>
      <c r="C511" s="76" t="s">
        <v>91</v>
      </c>
      <c r="D511" s="76" t="s">
        <v>902</v>
      </c>
      <c r="E511" s="79" t="s">
        <v>1215</v>
      </c>
      <c r="F511" s="79"/>
    </row>
    <row r="512" spans="1:6">
      <c r="A512" s="77">
        <f t="shared" ca="1" si="15"/>
        <v>45968</v>
      </c>
      <c r="B512" s="80">
        <f t="shared" ca="1" si="16"/>
        <v>45968.514173842595</v>
      </c>
      <c r="C512" s="76" t="s">
        <v>91</v>
      </c>
      <c r="D512" s="76" t="s">
        <v>902</v>
      </c>
      <c r="E512" s="79" t="s">
        <v>1165</v>
      </c>
      <c r="F512" s="79"/>
    </row>
    <row r="513" spans="1:6">
      <c r="A513" s="77">
        <f t="shared" ref="A513:A575" ca="1" si="17">IF(C513&lt;&gt;0,IF(A513=0,TODAY(),A513),)</f>
        <v>45968</v>
      </c>
      <c r="B513" s="80">
        <f t="shared" ca="1" si="16"/>
        <v>45968.516546990744</v>
      </c>
      <c r="C513" s="76" t="s">
        <v>91</v>
      </c>
      <c r="D513" s="76" t="s">
        <v>902</v>
      </c>
      <c r="E513" s="79" t="s">
        <v>1207</v>
      </c>
      <c r="F513" s="79"/>
    </row>
    <row r="514" spans="1:6">
      <c r="A514" s="77">
        <f t="shared" ca="1" si="17"/>
        <v>45968</v>
      </c>
      <c r="B514" s="80">
        <f t="shared" ca="1" si="16"/>
        <v>45968.516855902781</v>
      </c>
      <c r="C514" s="76" t="s">
        <v>91</v>
      </c>
      <c r="D514" s="76" t="s">
        <v>902</v>
      </c>
      <c r="E514" s="79" t="s">
        <v>1144</v>
      </c>
      <c r="F514" s="79"/>
    </row>
    <row r="515" spans="1:6">
      <c r="A515" s="77">
        <f t="shared" ca="1" si="17"/>
        <v>45968</v>
      </c>
      <c r="B515" s="80">
        <f t="shared" ca="1" si="16"/>
        <v>45968.52004664352</v>
      </c>
      <c r="C515" s="76" t="s">
        <v>91</v>
      </c>
      <c r="D515" s="150" t="s">
        <v>1007</v>
      </c>
      <c r="E515" s="79" t="s">
        <v>1216</v>
      </c>
      <c r="F515" s="79" t="s">
        <v>1217</v>
      </c>
    </row>
    <row r="516" spans="1:6">
      <c r="A516" s="77">
        <f t="shared" ca="1" si="17"/>
        <v>45968</v>
      </c>
      <c r="B516" s="80">
        <f t="shared" ca="1" si="16"/>
        <v>45968.526289120367</v>
      </c>
      <c r="C516" s="76" t="s">
        <v>91</v>
      </c>
      <c r="D516" s="76" t="s">
        <v>902</v>
      </c>
      <c r="E516" s="79" t="s">
        <v>1218</v>
      </c>
      <c r="F516" s="79" t="s">
        <v>1052</v>
      </c>
    </row>
    <row r="517" spans="1:6">
      <c r="A517" s="77">
        <f t="shared" ca="1" si="17"/>
        <v>45968</v>
      </c>
      <c r="B517" s="80">
        <f t="shared" ca="1" si="16"/>
        <v>45968.528939004631</v>
      </c>
      <c r="C517" s="76" t="s">
        <v>91</v>
      </c>
      <c r="D517" s="76" t="s">
        <v>902</v>
      </c>
      <c r="E517" s="79" t="s">
        <v>1219</v>
      </c>
      <c r="F517" s="79"/>
    </row>
    <row r="518" spans="1:6">
      <c r="A518" s="77">
        <f t="shared" ca="1" si="17"/>
        <v>45968</v>
      </c>
      <c r="B518" s="80">
        <f t="shared" ca="1" si="16"/>
        <v>45968.531592824074</v>
      </c>
      <c r="C518" s="76" t="s">
        <v>91</v>
      </c>
      <c r="D518" s="76" t="s">
        <v>902</v>
      </c>
      <c r="E518" s="79" t="s">
        <v>1220</v>
      </c>
      <c r="F518" s="79"/>
    </row>
    <row r="519" spans="1:6">
      <c r="A519" s="77">
        <f t="shared" ca="1" si="17"/>
        <v>45968</v>
      </c>
      <c r="B519" s="80">
        <f t="shared" ca="1" si="16"/>
        <v>45968.533774884258</v>
      </c>
      <c r="C519" s="76" t="s">
        <v>91</v>
      </c>
      <c r="D519" s="76" t="s">
        <v>902</v>
      </c>
      <c r="E519" s="79" t="s">
        <v>1165</v>
      </c>
      <c r="F519" s="79"/>
    </row>
    <row r="520" spans="1:6">
      <c r="A520" s="77">
        <f t="shared" ca="1" si="17"/>
        <v>45968</v>
      </c>
      <c r="B520" s="80">
        <f t="shared" ca="1" si="16"/>
        <v>45968.534879050923</v>
      </c>
      <c r="C520" s="76" t="s">
        <v>91</v>
      </c>
      <c r="D520" s="76" t="s">
        <v>902</v>
      </c>
      <c r="E520" s="79" t="s">
        <v>1144</v>
      </c>
      <c r="F520" s="79"/>
    </row>
    <row r="521" spans="1:6">
      <c r="A521" s="77">
        <f t="shared" ca="1" si="17"/>
        <v>45968</v>
      </c>
      <c r="B521" s="80">
        <f t="shared" ca="1" si="16"/>
        <v>45968.53530949074</v>
      </c>
      <c r="C521" s="76" t="s">
        <v>91</v>
      </c>
      <c r="D521" s="76" t="s">
        <v>902</v>
      </c>
      <c r="E521" s="79" t="s">
        <v>1221</v>
      </c>
      <c r="F521" s="79"/>
    </row>
    <row r="522" spans="1:6">
      <c r="A522" s="77">
        <f t="shared" ca="1" si="17"/>
        <v>45968</v>
      </c>
      <c r="B522" s="80">
        <f t="shared" ca="1" si="16"/>
        <v>45968.535518171295</v>
      </c>
      <c r="C522" s="76" t="s">
        <v>91</v>
      </c>
      <c r="D522" s="76" t="s">
        <v>902</v>
      </c>
      <c r="E522" s="79" t="s">
        <v>1148</v>
      </c>
      <c r="F522" s="79"/>
    </row>
    <row r="523" spans="1:6">
      <c r="A523" s="77">
        <f t="shared" ca="1" si="17"/>
        <v>45968</v>
      </c>
      <c r="B523" s="80">
        <f t="shared" ca="1" si="16"/>
        <v>45968.53638888889</v>
      </c>
      <c r="C523" s="76" t="s">
        <v>91</v>
      </c>
      <c r="D523" s="76" t="s">
        <v>902</v>
      </c>
      <c r="E523" s="79" t="s">
        <v>1203</v>
      </c>
      <c r="F523" s="79"/>
    </row>
    <row r="524" spans="1:6">
      <c r="A524" s="77">
        <f t="shared" ca="1" si="17"/>
        <v>45968</v>
      </c>
      <c r="B524" s="80">
        <f t="shared" ca="1" si="16"/>
        <v>45968.536418055555</v>
      </c>
      <c r="C524" s="76" t="s">
        <v>91</v>
      </c>
      <c r="D524" s="76" t="s">
        <v>902</v>
      </c>
      <c r="E524" s="79" t="s">
        <v>1207</v>
      </c>
      <c r="F524" s="79"/>
    </row>
    <row r="525" spans="1:6">
      <c r="A525" s="77">
        <f t="shared" ca="1" si="17"/>
        <v>45968</v>
      </c>
      <c r="B525" s="80">
        <f t="shared" ca="1" si="16"/>
        <v>45968.538001620371</v>
      </c>
      <c r="C525" s="76" t="s">
        <v>91</v>
      </c>
      <c r="D525" s="76" t="s">
        <v>902</v>
      </c>
      <c r="E525" s="79" t="s">
        <v>1203</v>
      </c>
      <c r="F525" s="79"/>
    </row>
    <row r="526" spans="1:6">
      <c r="A526" s="77">
        <f t="shared" ca="1" si="17"/>
        <v>45968</v>
      </c>
      <c r="B526" s="80">
        <f t="shared" ca="1" si="16"/>
        <v>45968.538452199071</v>
      </c>
      <c r="C526" s="76" t="s">
        <v>91</v>
      </c>
      <c r="D526" s="76" t="s">
        <v>902</v>
      </c>
      <c r="E526" s="79" t="s">
        <v>1203</v>
      </c>
      <c r="F526" s="79"/>
    </row>
    <row r="527" spans="1:6">
      <c r="A527" s="77">
        <f t="shared" ca="1" si="17"/>
        <v>45968</v>
      </c>
      <c r="B527" s="80">
        <f t="shared" ca="1" si="16"/>
        <v>45968.538669444446</v>
      </c>
      <c r="C527" s="76" t="s">
        <v>91</v>
      </c>
      <c r="D527" s="76" t="s">
        <v>902</v>
      </c>
      <c r="E527" s="79" t="s">
        <v>1208</v>
      </c>
      <c r="F527" s="79"/>
    </row>
    <row r="528" spans="1:6">
      <c r="A528" s="77">
        <f t="shared" ca="1" si="17"/>
        <v>45968</v>
      </c>
      <c r="B528" s="80">
        <f t="shared" ca="1" si="16"/>
        <v>45968.539999768516</v>
      </c>
      <c r="C528" s="76" t="s">
        <v>91</v>
      </c>
      <c r="D528" s="210" t="s">
        <v>922</v>
      </c>
      <c r="E528" s="79"/>
      <c r="F528" s="79"/>
    </row>
    <row r="529" spans="1:6">
      <c r="A529" s="77">
        <f t="shared" ca="1" si="17"/>
        <v>45968</v>
      </c>
      <c r="B529" s="80">
        <f t="shared" ca="1" si="16"/>
        <v>45968.55879826389</v>
      </c>
      <c r="C529" s="76" t="s">
        <v>91</v>
      </c>
      <c r="D529" s="210" t="s">
        <v>906</v>
      </c>
      <c r="E529" s="79"/>
      <c r="F529" s="79"/>
    </row>
    <row r="530" spans="1:6">
      <c r="A530" s="77">
        <f t="shared" ca="1" si="17"/>
        <v>45968</v>
      </c>
      <c r="B530" s="80">
        <f t="shared" ca="1" si="16"/>
        <v>45968.601475115742</v>
      </c>
      <c r="C530" s="76" t="s">
        <v>95</v>
      </c>
      <c r="D530" s="210" t="s">
        <v>909</v>
      </c>
      <c r="E530" s="79"/>
      <c r="F530" s="79"/>
    </row>
    <row r="531" spans="1:6">
      <c r="A531" s="77">
        <f t="shared" ca="1" si="17"/>
        <v>45968</v>
      </c>
      <c r="B531" s="80">
        <f t="shared" ca="1" si="16"/>
        <v>45968.603427083333</v>
      </c>
      <c r="C531" s="76" t="s">
        <v>95</v>
      </c>
      <c r="D531" s="76" t="s">
        <v>902</v>
      </c>
      <c r="E531" s="79"/>
      <c r="F531" s="79" t="s">
        <v>1010</v>
      </c>
    </row>
    <row r="532" spans="1:6">
      <c r="A532" s="77">
        <f t="shared" ca="1" si="17"/>
        <v>45968</v>
      </c>
      <c r="B532" s="80">
        <f t="shared" ca="1" si="16"/>
        <v>45968.606509722224</v>
      </c>
      <c r="C532" s="76" t="s">
        <v>95</v>
      </c>
      <c r="D532" s="76" t="s">
        <v>902</v>
      </c>
      <c r="E532" s="79"/>
      <c r="F532" s="79" t="s">
        <v>1222</v>
      </c>
    </row>
    <row r="533" spans="1:6">
      <c r="A533" s="77">
        <f t="shared" ca="1" si="17"/>
        <v>45968</v>
      </c>
      <c r="B533" s="80">
        <f t="shared" ca="1" si="16"/>
        <v>45968.607961458336</v>
      </c>
      <c r="C533" s="76" t="s">
        <v>95</v>
      </c>
      <c r="D533" s="76" t="s">
        <v>902</v>
      </c>
      <c r="E533" s="79" t="s">
        <v>1223</v>
      </c>
      <c r="F533" s="79" t="s">
        <v>1224</v>
      </c>
    </row>
    <row r="534" spans="1:6">
      <c r="A534" s="77">
        <f t="shared" ca="1" si="17"/>
        <v>45968</v>
      </c>
      <c r="B534" s="80">
        <f t="shared" ca="1" si="16"/>
        <v>45968.608005671296</v>
      </c>
      <c r="C534" s="76" t="s">
        <v>95</v>
      </c>
      <c r="D534" s="76" t="s">
        <v>902</v>
      </c>
      <c r="E534" s="79" t="s">
        <v>939</v>
      </c>
      <c r="F534" s="79"/>
    </row>
    <row r="535" spans="1:6">
      <c r="A535" s="77">
        <f t="shared" ca="1" si="17"/>
        <v>45968</v>
      </c>
      <c r="B535" s="80">
        <f t="shared" ca="1" si="16"/>
        <v>45968.609004745369</v>
      </c>
      <c r="C535" s="76" t="s">
        <v>95</v>
      </c>
      <c r="D535" s="76" t="s">
        <v>902</v>
      </c>
      <c r="E535" s="79" t="s">
        <v>1225</v>
      </c>
      <c r="F535" s="79"/>
    </row>
    <row r="536" spans="1:6">
      <c r="A536" s="77">
        <f t="shared" ca="1" si="17"/>
        <v>45968</v>
      </c>
      <c r="B536" s="80">
        <f t="shared" ca="1" si="16"/>
        <v>45968.611833449075</v>
      </c>
      <c r="C536" s="76" t="s">
        <v>95</v>
      </c>
      <c r="D536" s="76" t="s">
        <v>902</v>
      </c>
      <c r="E536" s="79"/>
      <c r="F536" s="79" t="s">
        <v>1010</v>
      </c>
    </row>
    <row r="537" spans="1:6">
      <c r="A537" s="77">
        <f t="shared" ca="1" si="17"/>
        <v>45968</v>
      </c>
      <c r="B537" s="80">
        <f t="shared" ca="1" si="16"/>
        <v>45968.613538310186</v>
      </c>
      <c r="C537" s="76" t="s">
        <v>95</v>
      </c>
      <c r="D537" s="76" t="s">
        <v>902</v>
      </c>
      <c r="E537" s="79" t="s">
        <v>1226</v>
      </c>
      <c r="F537" s="79" t="s">
        <v>1003</v>
      </c>
    </row>
    <row r="538" spans="1:6">
      <c r="A538" s="77">
        <f t="shared" ca="1" si="17"/>
        <v>45968</v>
      </c>
      <c r="B538" s="80">
        <f t="shared" ca="1" si="16"/>
        <v>45968.624571064815</v>
      </c>
      <c r="C538" s="76" t="s">
        <v>95</v>
      </c>
      <c r="D538" s="76" t="s">
        <v>902</v>
      </c>
      <c r="E538" s="79" t="s">
        <v>1225</v>
      </c>
      <c r="F538" s="79"/>
    </row>
    <row r="539" spans="1:6">
      <c r="A539" s="77">
        <f t="shared" ca="1" si="17"/>
        <v>45968</v>
      </c>
      <c r="B539" s="80">
        <f t="shared" ca="1" si="16"/>
        <v>45968.626526041669</v>
      </c>
      <c r="C539" s="76" t="s">
        <v>95</v>
      </c>
      <c r="D539" s="76" t="s">
        <v>902</v>
      </c>
      <c r="E539" s="79" t="s">
        <v>1227</v>
      </c>
      <c r="F539" s="79"/>
    </row>
    <row r="540" spans="1:6">
      <c r="A540" s="77">
        <f t="shared" ca="1" si="17"/>
        <v>45968</v>
      </c>
      <c r="B540" s="80">
        <f t="shared" ca="1" si="16"/>
        <v>45968.631488078703</v>
      </c>
      <c r="C540" s="76" t="s">
        <v>95</v>
      </c>
      <c r="D540" s="76" t="s">
        <v>902</v>
      </c>
      <c r="E540" s="79" t="s">
        <v>932</v>
      </c>
      <c r="F540" s="79"/>
    </row>
    <row r="541" spans="1:6">
      <c r="A541" s="77">
        <f t="shared" ca="1" si="17"/>
        <v>45968</v>
      </c>
      <c r="B541" s="80">
        <f t="shared" ca="1" si="16"/>
        <v>45968.631688078705</v>
      </c>
      <c r="C541" s="76" t="s">
        <v>95</v>
      </c>
      <c r="D541" s="76" t="s">
        <v>902</v>
      </c>
      <c r="E541" s="79" t="s">
        <v>1195</v>
      </c>
      <c r="F541" s="79"/>
    </row>
    <row r="542" spans="1:6">
      <c r="A542" s="77">
        <f t="shared" ca="1" si="17"/>
        <v>45968</v>
      </c>
      <c r="B542" s="80">
        <f t="shared" ca="1" si="16"/>
        <v>45968.631881018518</v>
      </c>
      <c r="C542" s="76" t="s">
        <v>95</v>
      </c>
      <c r="D542" s="76" t="s">
        <v>902</v>
      </c>
      <c r="E542" s="79" t="s">
        <v>1228</v>
      </c>
      <c r="F542" s="79"/>
    </row>
    <row r="543" spans="1:6">
      <c r="A543" s="77">
        <f t="shared" ca="1" si="17"/>
        <v>45968</v>
      </c>
      <c r="B543" s="80">
        <f t="shared" ca="1" si="16"/>
        <v>45968.631962384257</v>
      </c>
      <c r="C543" s="76" t="s">
        <v>95</v>
      </c>
      <c r="D543" s="76" t="s">
        <v>902</v>
      </c>
      <c r="E543" s="79" t="s">
        <v>1229</v>
      </c>
      <c r="F543" s="79"/>
    </row>
    <row r="544" spans="1:6">
      <c r="A544" s="77">
        <f t="shared" ca="1" si="17"/>
        <v>45968</v>
      </c>
      <c r="B544" s="80">
        <f t="shared" ca="1" si="16"/>
        <v>45968.632650231484</v>
      </c>
      <c r="C544" s="76" t="s">
        <v>95</v>
      </c>
      <c r="D544" s="76" t="s">
        <v>902</v>
      </c>
      <c r="E544" s="79" t="s">
        <v>1230</v>
      </c>
      <c r="F544" s="79"/>
    </row>
    <row r="545" spans="1:7">
      <c r="A545" s="77">
        <f t="shared" ca="1" si="17"/>
        <v>45968</v>
      </c>
      <c r="B545" s="80">
        <f t="shared" ca="1" si="16"/>
        <v>45968.634151041668</v>
      </c>
      <c r="C545" s="76" t="s">
        <v>95</v>
      </c>
      <c r="D545" s="76" t="s">
        <v>902</v>
      </c>
      <c r="E545" s="79"/>
      <c r="F545" s="79"/>
      <c r="G545" s="79" t="s">
        <v>1231</v>
      </c>
    </row>
    <row r="546" spans="1:7">
      <c r="A546" s="77">
        <f t="shared" ca="1" si="17"/>
        <v>45968</v>
      </c>
      <c r="B546" s="80">
        <f t="shared" ca="1" si="16"/>
        <v>45968.635811458335</v>
      </c>
      <c r="C546" s="76" t="s">
        <v>95</v>
      </c>
      <c r="D546" s="76" t="s">
        <v>902</v>
      </c>
      <c r="E546" s="79" t="s">
        <v>1232</v>
      </c>
      <c r="F546" s="79"/>
    </row>
    <row r="547" spans="1:7">
      <c r="A547" s="77">
        <f t="shared" ca="1" si="17"/>
        <v>45968</v>
      </c>
      <c r="B547" s="80">
        <f t="shared" ca="1" si="16"/>
        <v>45968.635993171294</v>
      </c>
      <c r="C547" s="76" t="s">
        <v>95</v>
      </c>
      <c r="D547" s="76" t="s">
        <v>902</v>
      </c>
      <c r="E547" s="79" t="s">
        <v>1229</v>
      </c>
      <c r="F547" s="79"/>
    </row>
    <row r="548" spans="1:7">
      <c r="A548" s="77">
        <f t="shared" ca="1" si="17"/>
        <v>45968</v>
      </c>
      <c r="B548" s="80">
        <f t="shared" ca="1" si="16"/>
        <v>45968.636951504632</v>
      </c>
      <c r="C548" s="76" t="s">
        <v>95</v>
      </c>
      <c r="D548" s="76" t="s">
        <v>902</v>
      </c>
      <c r="E548" s="79" t="s">
        <v>1156</v>
      </c>
      <c r="F548" s="79" t="s">
        <v>1233</v>
      </c>
    </row>
    <row r="549" spans="1:7">
      <c r="A549" s="77">
        <f t="shared" ca="1" si="17"/>
        <v>45968</v>
      </c>
      <c r="B549" s="80">
        <f t="shared" ca="1" si="16"/>
        <v>45968.638323842591</v>
      </c>
      <c r="C549" s="76" t="s">
        <v>95</v>
      </c>
      <c r="D549" s="76" t="s">
        <v>902</v>
      </c>
      <c r="E549" s="79" t="s">
        <v>1234</v>
      </c>
      <c r="F549" s="79"/>
    </row>
    <row r="550" spans="1:7">
      <c r="A550" s="77">
        <f t="shared" ca="1" si="17"/>
        <v>45968</v>
      </c>
      <c r="B550" s="80">
        <f t="shared" ca="1" si="16"/>
        <v>45968.63861574074</v>
      </c>
      <c r="C550" s="76" t="s">
        <v>95</v>
      </c>
      <c r="D550" s="76" t="s">
        <v>902</v>
      </c>
      <c r="E550" s="79" t="s">
        <v>1235</v>
      </c>
      <c r="F550" s="79"/>
    </row>
    <row r="551" spans="1:7">
      <c r="A551" s="77">
        <f t="shared" ca="1" si="17"/>
        <v>45968</v>
      </c>
      <c r="B551" s="80">
        <f t="shared" ca="1" si="16"/>
        <v>45968.638799189815</v>
      </c>
      <c r="C551" s="76" t="s">
        <v>95</v>
      </c>
      <c r="D551" s="76" t="s">
        <v>902</v>
      </c>
      <c r="E551" s="79" t="s">
        <v>1236</v>
      </c>
      <c r="F551" s="79"/>
    </row>
    <row r="552" spans="1:7">
      <c r="A552" s="77">
        <f t="shared" ca="1" si="17"/>
        <v>45968</v>
      </c>
      <c r="B552" s="80">
        <f t="shared" ca="1" si="16"/>
        <v>45968.639147337963</v>
      </c>
      <c r="C552" s="76" t="s">
        <v>95</v>
      </c>
      <c r="D552" s="76" t="s">
        <v>902</v>
      </c>
      <c r="E552" s="79" t="s">
        <v>1237</v>
      </c>
      <c r="F552" s="79"/>
    </row>
    <row r="553" spans="1:7">
      <c r="A553" s="77">
        <f t="shared" ca="1" si="17"/>
        <v>45968</v>
      </c>
      <c r="B553" s="80">
        <f t="shared" ca="1" si="16"/>
        <v>45968.6400818287</v>
      </c>
      <c r="C553" s="76" t="s">
        <v>95</v>
      </c>
      <c r="D553" s="76" t="s">
        <v>902</v>
      </c>
      <c r="E553" s="79" t="s">
        <v>1238</v>
      </c>
      <c r="F553" s="79"/>
    </row>
    <row r="554" spans="1:7">
      <c r="A554" s="77">
        <f t="shared" ca="1" si="17"/>
        <v>45968</v>
      </c>
      <c r="B554" s="80">
        <f t="shared" ca="1" si="16"/>
        <v>45968.640752662039</v>
      </c>
      <c r="C554" s="76" t="s">
        <v>95</v>
      </c>
      <c r="D554" s="76" t="s">
        <v>902</v>
      </c>
      <c r="E554" s="79" t="s">
        <v>1208</v>
      </c>
      <c r="F554" s="79"/>
    </row>
    <row r="555" spans="1:7">
      <c r="A555" s="77">
        <f t="shared" ca="1" si="17"/>
        <v>45968</v>
      </c>
      <c r="B555" s="80">
        <f t="shared" ca="1" si="16"/>
        <v>45968.642966087966</v>
      </c>
      <c r="C555" s="76" t="s">
        <v>95</v>
      </c>
      <c r="D555" s="76" t="s">
        <v>902</v>
      </c>
      <c r="E555" s="79" t="s">
        <v>1239</v>
      </c>
      <c r="F555" s="79"/>
    </row>
    <row r="556" spans="1:7">
      <c r="A556" s="77">
        <f t="shared" ca="1" si="17"/>
        <v>45968</v>
      </c>
      <c r="B556" s="80">
        <f t="shared" ca="1" si="16"/>
        <v>45968.646069675924</v>
      </c>
      <c r="C556" s="76" t="s">
        <v>95</v>
      </c>
      <c r="D556" s="76" t="s">
        <v>902</v>
      </c>
      <c r="E556" s="79" t="s">
        <v>1240</v>
      </c>
      <c r="F556" s="79"/>
    </row>
    <row r="557" spans="1:7">
      <c r="A557" s="77">
        <f t="shared" ca="1" si="17"/>
        <v>45968</v>
      </c>
      <c r="B557" s="80">
        <f t="shared" ca="1" si="16"/>
        <v>45968.649175694445</v>
      </c>
      <c r="C557" s="76" t="s">
        <v>95</v>
      </c>
      <c r="D557" s="76" t="s">
        <v>902</v>
      </c>
      <c r="E557" s="79" t="s">
        <v>1241</v>
      </c>
      <c r="F557" s="79"/>
    </row>
    <row r="558" spans="1:7">
      <c r="A558" s="77">
        <f t="shared" ca="1" si="17"/>
        <v>45968</v>
      </c>
      <c r="B558" s="80">
        <f t="shared" ref="B558:B619" ca="1" si="18">IF(C558&lt;&gt;0,IF(B558=0,NOW(),B558),)</f>
        <v>45968.651414467589</v>
      </c>
      <c r="C558" s="76" t="s">
        <v>95</v>
      </c>
      <c r="D558" s="76" t="s">
        <v>902</v>
      </c>
      <c r="E558" s="79" t="s">
        <v>1165</v>
      </c>
      <c r="F558" s="79"/>
    </row>
    <row r="559" spans="1:7">
      <c r="A559" s="77">
        <f t="shared" ca="1" si="17"/>
        <v>45968</v>
      </c>
      <c r="B559" s="80">
        <f t="shared" ca="1" si="18"/>
        <v>45968.6523787037</v>
      </c>
      <c r="C559" s="76" t="s">
        <v>95</v>
      </c>
      <c r="D559" s="76" t="s">
        <v>902</v>
      </c>
      <c r="E559" s="79" t="s">
        <v>1242</v>
      </c>
      <c r="F559" s="79"/>
    </row>
    <row r="560" spans="1:7">
      <c r="A560" s="77">
        <f t="shared" ca="1" si="17"/>
        <v>45968</v>
      </c>
      <c r="B560" s="80">
        <f t="shared" ca="1" si="18"/>
        <v>45968.653653703703</v>
      </c>
      <c r="C560" s="76" t="s">
        <v>95</v>
      </c>
      <c r="D560" s="76" t="s">
        <v>902</v>
      </c>
      <c r="E560" s="79" t="s">
        <v>1165</v>
      </c>
      <c r="F560" s="79"/>
      <c r="G560" s="79" t="s">
        <v>1243</v>
      </c>
    </row>
    <row r="561" spans="1:6">
      <c r="A561" s="77">
        <f t="shared" ca="1" si="17"/>
        <v>45968</v>
      </c>
      <c r="B561" s="80">
        <f t="shared" ca="1" si="18"/>
        <v>45968.657119675925</v>
      </c>
      <c r="C561" s="76" t="s">
        <v>95</v>
      </c>
      <c r="D561" s="150" t="s">
        <v>1007</v>
      </c>
      <c r="E561" s="79" t="s">
        <v>1235</v>
      </c>
      <c r="F561" s="79" t="s">
        <v>1244</v>
      </c>
    </row>
    <row r="562" spans="1:6">
      <c r="A562" s="77">
        <f t="shared" ca="1" si="17"/>
        <v>45968</v>
      </c>
      <c r="B562" s="80">
        <f t="shared" ca="1" si="18"/>
        <v>45968.65978923611</v>
      </c>
      <c r="C562" s="76" t="s">
        <v>95</v>
      </c>
      <c r="D562" s="76" t="s">
        <v>902</v>
      </c>
      <c r="E562" s="79" t="s">
        <v>1239</v>
      </c>
      <c r="F562" s="79"/>
    </row>
    <row r="563" spans="1:6">
      <c r="A563" s="77">
        <f t="shared" ca="1" si="17"/>
        <v>45968</v>
      </c>
      <c r="B563" s="80">
        <f t="shared" ca="1" si="18"/>
        <v>45968.668204513888</v>
      </c>
      <c r="C563" s="76" t="s">
        <v>95</v>
      </c>
      <c r="D563" s="76" t="s">
        <v>902</v>
      </c>
      <c r="E563" s="79" t="s">
        <v>936</v>
      </c>
      <c r="F563" s="79"/>
    </row>
    <row r="564" spans="1:6">
      <c r="A564" s="77">
        <f t="shared" ca="1" si="17"/>
        <v>45968</v>
      </c>
      <c r="B564" s="80">
        <f t="shared" ca="1" si="18"/>
        <v>45968.670006712964</v>
      </c>
      <c r="C564" s="76" t="s">
        <v>95</v>
      </c>
      <c r="D564" s="76" t="s">
        <v>902</v>
      </c>
      <c r="E564" s="79" t="s">
        <v>932</v>
      </c>
      <c r="F564" s="79"/>
    </row>
    <row r="565" spans="1:6">
      <c r="A565" s="77">
        <f t="shared" ca="1" si="17"/>
        <v>45968</v>
      </c>
      <c r="B565" s="80">
        <f t="shared" ca="1" si="18"/>
        <v>45968.671010416663</v>
      </c>
      <c r="C565" s="76" t="s">
        <v>95</v>
      </c>
      <c r="D565" s="76" t="s">
        <v>902</v>
      </c>
      <c r="E565" s="79" t="s">
        <v>1239</v>
      </c>
      <c r="F565" s="79"/>
    </row>
    <row r="566" spans="1:6">
      <c r="A566" s="77">
        <f t="shared" ca="1" si="17"/>
        <v>45968</v>
      </c>
      <c r="B566" s="80">
        <f t="shared" ca="1" si="18"/>
        <v>45968.672762731483</v>
      </c>
      <c r="C566" s="76" t="s">
        <v>95</v>
      </c>
      <c r="D566" s="76" t="s">
        <v>902</v>
      </c>
      <c r="E566" s="79" t="s">
        <v>1239</v>
      </c>
      <c r="F566" s="79"/>
    </row>
    <row r="567" spans="1:6">
      <c r="A567" s="77">
        <f t="shared" ca="1" si="17"/>
        <v>45968</v>
      </c>
      <c r="B567" s="80">
        <f t="shared" ca="1" si="18"/>
        <v>45968.675520949073</v>
      </c>
      <c r="C567" s="76" t="s">
        <v>95</v>
      </c>
      <c r="D567" s="76" t="s">
        <v>902</v>
      </c>
      <c r="E567" s="79" t="s">
        <v>1234</v>
      </c>
      <c r="F567" s="79"/>
    </row>
    <row r="568" spans="1:6">
      <c r="A568" s="77">
        <f t="shared" ca="1" si="17"/>
        <v>45968</v>
      </c>
      <c r="B568" s="80">
        <f t="shared" ca="1" si="18"/>
        <v>45968.675702430555</v>
      </c>
      <c r="C568" s="76" t="s">
        <v>95</v>
      </c>
      <c r="D568" s="76" t="s">
        <v>902</v>
      </c>
      <c r="E568" s="79" t="s">
        <v>1234</v>
      </c>
      <c r="F568" s="79"/>
    </row>
    <row r="569" spans="1:6">
      <c r="A569" s="77">
        <f t="shared" ca="1" si="17"/>
        <v>45968</v>
      </c>
      <c r="B569" s="80">
        <f t="shared" ca="1" si="18"/>
        <v>45968.675865740741</v>
      </c>
      <c r="C569" s="76" t="s">
        <v>95</v>
      </c>
      <c r="D569" s="76" t="s">
        <v>902</v>
      </c>
      <c r="E569" s="79" t="s">
        <v>1239</v>
      </c>
      <c r="F569" s="79"/>
    </row>
    <row r="570" spans="1:6">
      <c r="A570" s="77">
        <f t="shared" ca="1" si="17"/>
        <v>45968</v>
      </c>
      <c r="B570" s="80">
        <f t="shared" ca="1" si="18"/>
        <v>45968.679967476855</v>
      </c>
      <c r="C570" s="76" t="s">
        <v>95</v>
      </c>
      <c r="D570" s="76" t="s">
        <v>902</v>
      </c>
      <c r="E570" s="79" t="s">
        <v>1237</v>
      </c>
      <c r="F570" s="79"/>
    </row>
    <row r="571" spans="1:6">
      <c r="A571" s="77">
        <f t="shared" ca="1" si="17"/>
        <v>45968</v>
      </c>
      <c r="B571" s="80">
        <f t="shared" ca="1" si="18"/>
        <v>45968.681980671296</v>
      </c>
      <c r="C571" s="76" t="s">
        <v>95</v>
      </c>
      <c r="D571" s="210" t="s">
        <v>922</v>
      </c>
      <c r="E571" s="79"/>
      <c r="F571" s="79"/>
    </row>
    <row r="572" spans="1:6">
      <c r="A572" s="77">
        <f t="shared" ca="1" si="17"/>
        <v>45968</v>
      </c>
      <c r="B572" s="80">
        <f t="shared" ca="1" si="18"/>
        <v>45968.751864120371</v>
      </c>
      <c r="C572" s="76" t="s">
        <v>99</v>
      </c>
      <c r="D572" s="210" t="s">
        <v>909</v>
      </c>
      <c r="E572" s="79"/>
      <c r="F572" s="79"/>
    </row>
    <row r="573" spans="1:6">
      <c r="A573" s="77">
        <f t="shared" ca="1" si="17"/>
        <v>45968</v>
      </c>
      <c r="B573" s="80">
        <f t="shared" ca="1" si="18"/>
        <v>45968.780248379633</v>
      </c>
      <c r="C573" s="76" t="s">
        <v>99</v>
      </c>
      <c r="D573" s="76" t="s">
        <v>902</v>
      </c>
      <c r="E573" s="79" t="s">
        <v>1245</v>
      </c>
      <c r="F573" s="79"/>
    </row>
    <row r="574" spans="1:6">
      <c r="A574" s="77">
        <f t="shared" ca="1" si="17"/>
        <v>45968</v>
      </c>
      <c r="B574" s="80">
        <f t="shared" ca="1" si="18"/>
        <v>45968.791857870368</v>
      </c>
      <c r="C574" s="76" t="s">
        <v>99</v>
      </c>
      <c r="D574" s="76" t="s">
        <v>902</v>
      </c>
      <c r="E574" s="79" t="s">
        <v>942</v>
      </c>
      <c r="F574" s="79"/>
    </row>
    <row r="575" spans="1:6">
      <c r="A575" s="77">
        <f t="shared" ca="1" si="17"/>
        <v>45968</v>
      </c>
      <c r="B575" s="80">
        <f t="shared" ca="1" si="18"/>
        <v>45968.7998224537</v>
      </c>
      <c r="C575" s="76" t="s">
        <v>99</v>
      </c>
      <c r="D575" s="76" t="s">
        <v>902</v>
      </c>
      <c r="E575" s="79" t="s">
        <v>1246</v>
      </c>
      <c r="F575" s="79"/>
    </row>
    <row r="576" spans="1:6">
      <c r="A576" s="77">
        <f t="shared" ref="A576:A640" ca="1" si="19">IF(C576&lt;&gt;0,IF(A576=0,TODAY(),A576),)</f>
        <v>45968</v>
      </c>
      <c r="B576" s="80">
        <f t="shared" ca="1" si="18"/>
        <v>45968.815099768515</v>
      </c>
      <c r="C576" s="76" t="s">
        <v>99</v>
      </c>
      <c r="D576" s="150" t="s">
        <v>1084</v>
      </c>
      <c r="E576" s="79" t="s">
        <v>1247</v>
      </c>
      <c r="F576" s="79"/>
    </row>
    <row r="577" spans="1:6">
      <c r="A577" s="77">
        <f t="shared" ca="1" si="19"/>
        <v>45968</v>
      </c>
      <c r="B577" s="80">
        <f t="shared" ca="1" si="18"/>
        <v>45968.891954282408</v>
      </c>
      <c r="C577" s="76" t="s">
        <v>99</v>
      </c>
      <c r="D577" s="150" t="s">
        <v>1084</v>
      </c>
      <c r="E577" s="79" t="s">
        <v>1248</v>
      </c>
      <c r="F577" s="79"/>
    </row>
    <row r="578" spans="1:6">
      <c r="A578" s="77">
        <f t="shared" ca="1" si="19"/>
        <v>45968</v>
      </c>
      <c r="B578" s="80">
        <v>0.89751157407407411</v>
      </c>
      <c r="C578" s="76" t="s">
        <v>99</v>
      </c>
      <c r="D578" s="76" t="s">
        <v>902</v>
      </c>
      <c r="E578" s="79" t="s">
        <v>1249</v>
      </c>
      <c r="F578" s="79"/>
    </row>
    <row r="579" spans="1:6">
      <c r="A579" s="77">
        <f t="shared" ca="1" si="19"/>
        <v>45968</v>
      </c>
      <c r="B579" s="80">
        <f t="shared" ca="1" si="18"/>
        <v>45968.913361921295</v>
      </c>
      <c r="C579" s="76" t="s">
        <v>99</v>
      </c>
      <c r="D579" s="76" t="s">
        <v>902</v>
      </c>
      <c r="E579" s="79" t="s">
        <v>1250</v>
      </c>
      <c r="F579" s="79"/>
    </row>
    <row r="580" spans="1:6">
      <c r="A580" s="77">
        <f t="shared" ca="1" si="19"/>
        <v>45968</v>
      </c>
      <c r="B580" s="80">
        <f t="shared" ca="1" si="18"/>
        <v>45968.92343761574</v>
      </c>
      <c r="C580" s="76" t="s">
        <v>99</v>
      </c>
      <c r="D580" s="76" t="s">
        <v>902</v>
      </c>
      <c r="E580" s="79" t="s">
        <v>1012</v>
      </c>
      <c r="F580" s="79"/>
    </row>
    <row r="581" spans="1:6">
      <c r="A581" s="77">
        <f t="shared" ca="1" si="19"/>
        <v>45968</v>
      </c>
      <c r="B581" s="80">
        <f t="shared" ca="1" si="18"/>
        <v>45968.923657870371</v>
      </c>
      <c r="C581" s="76" t="s">
        <v>99</v>
      </c>
      <c r="D581" s="76" t="s">
        <v>902</v>
      </c>
      <c r="E581" s="79" t="s">
        <v>942</v>
      </c>
      <c r="F581" s="79"/>
    </row>
    <row r="582" spans="1:6">
      <c r="A582" s="77">
        <f t="shared" ca="1" si="19"/>
        <v>45968</v>
      </c>
      <c r="B582" s="80">
        <f t="shared" ca="1" si="18"/>
        <v>45968.92622627315</v>
      </c>
      <c r="C582" s="76" t="s">
        <v>99</v>
      </c>
      <c r="D582" s="76" t="s">
        <v>902</v>
      </c>
      <c r="E582" s="79" t="s">
        <v>1251</v>
      </c>
      <c r="F582" s="79"/>
    </row>
    <row r="583" spans="1:6">
      <c r="A583" s="77">
        <f t="shared" ca="1" si="19"/>
        <v>45968</v>
      </c>
      <c r="B583" s="80">
        <f t="shared" ca="1" si="18"/>
        <v>45968.928012962962</v>
      </c>
      <c r="C583" s="76" t="s">
        <v>99</v>
      </c>
      <c r="D583" s="76" t="s">
        <v>902</v>
      </c>
      <c r="E583" s="79" t="s">
        <v>1252</v>
      </c>
      <c r="F583" s="79"/>
    </row>
    <row r="584" spans="1:6">
      <c r="A584" s="77">
        <f t="shared" ca="1" si="19"/>
        <v>45968</v>
      </c>
      <c r="B584" s="80">
        <f t="shared" ca="1" si="18"/>
        <v>45968.928587037037</v>
      </c>
      <c r="C584" s="76" t="s">
        <v>99</v>
      </c>
      <c r="D584" s="76" t="s">
        <v>902</v>
      </c>
      <c r="E584" s="79" t="s">
        <v>942</v>
      </c>
      <c r="F584" s="79"/>
    </row>
    <row r="585" spans="1:6">
      <c r="A585" s="77">
        <f t="shared" ca="1" si="19"/>
        <v>45968</v>
      </c>
      <c r="B585" s="80">
        <f t="shared" ca="1" si="18"/>
        <v>45968.928949074078</v>
      </c>
      <c r="C585" s="76" t="s">
        <v>99</v>
      </c>
      <c r="D585" s="76" t="s">
        <v>902</v>
      </c>
      <c r="E585" s="79" t="s">
        <v>1253</v>
      </c>
      <c r="F585" s="79"/>
    </row>
    <row r="586" spans="1:6">
      <c r="A586" s="77">
        <f t="shared" ca="1" si="19"/>
        <v>45968</v>
      </c>
      <c r="B586" s="80">
        <f t="shared" ca="1" si="18"/>
        <v>45968.929672453705</v>
      </c>
      <c r="C586" s="76" t="s">
        <v>99</v>
      </c>
      <c r="D586" s="76" t="s">
        <v>902</v>
      </c>
      <c r="E586" s="79" t="s">
        <v>1254</v>
      </c>
      <c r="F586" s="79"/>
    </row>
    <row r="587" spans="1:6">
      <c r="A587" s="77">
        <f t="shared" ca="1" si="19"/>
        <v>45968</v>
      </c>
      <c r="B587" s="80">
        <f t="shared" ca="1" si="18"/>
        <v>45968.931801736115</v>
      </c>
      <c r="C587" s="76" t="s">
        <v>99</v>
      </c>
      <c r="D587" s="76" t="s">
        <v>902</v>
      </c>
      <c r="E587" s="79"/>
      <c r="F587" s="79" t="s">
        <v>1255</v>
      </c>
    </row>
    <row r="588" spans="1:6">
      <c r="A588" s="77">
        <f t="shared" ca="1" si="19"/>
        <v>45968</v>
      </c>
      <c r="B588" s="80">
        <f t="shared" ca="1" si="18"/>
        <v>45968.932087615744</v>
      </c>
      <c r="C588" s="76" t="s">
        <v>99</v>
      </c>
      <c r="D588" s="76" t="s">
        <v>902</v>
      </c>
      <c r="E588" s="79" t="s">
        <v>1253</v>
      </c>
      <c r="F588" s="79"/>
    </row>
    <row r="589" spans="1:6">
      <c r="A589" s="77">
        <f t="shared" ca="1" si="19"/>
        <v>45968</v>
      </c>
      <c r="B589" s="80">
        <f t="shared" ca="1" si="18"/>
        <v>45968.932445370374</v>
      </c>
      <c r="C589" s="76" t="s">
        <v>99</v>
      </c>
      <c r="D589" s="76" t="s">
        <v>902</v>
      </c>
      <c r="E589" s="79" t="s">
        <v>1012</v>
      </c>
      <c r="F589" s="79"/>
    </row>
    <row r="590" spans="1:6">
      <c r="A590" s="77">
        <f t="shared" ca="1" si="19"/>
        <v>45968</v>
      </c>
      <c r="B590" s="80">
        <f t="shared" ca="1" si="18"/>
        <v>45968.933555439813</v>
      </c>
      <c r="C590" s="76" t="s">
        <v>99</v>
      </c>
      <c r="D590" s="76" t="s">
        <v>902</v>
      </c>
      <c r="E590" s="79" t="s">
        <v>1256</v>
      </c>
      <c r="F590" s="79"/>
    </row>
    <row r="591" spans="1:6">
      <c r="A591" s="77">
        <f t="shared" ca="1" si="19"/>
        <v>45968</v>
      </c>
      <c r="B591" s="80">
        <f t="shared" ca="1" si="18"/>
        <v>45968.933814004631</v>
      </c>
      <c r="C591" s="76" t="s">
        <v>99</v>
      </c>
      <c r="D591" s="76" t="s">
        <v>902</v>
      </c>
      <c r="E591" s="79" t="s">
        <v>1251</v>
      </c>
      <c r="F591" s="79"/>
    </row>
    <row r="592" spans="1:6">
      <c r="A592" s="77">
        <f t="shared" ca="1" si="19"/>
        <v>45968</v>
      </c>
      <c r="B592" s="80">
        <f t="shared" ca="1" si="18"/>
        <v>45968.939005324071</v>
      </c>
      <c r="C592" s="76" t="s">
        <v>99</v>
      </c>
      <c r="D592" s="210" t="s">
        <v>922</v>
      </c>
      <c r="E592" s="79"/>
      <c r="F592" s="79"/>
    </row>
    <row r="593" spans="1:6">
      <c r="A593" s="77">
        <f t="shared" ca="1" si="19"/>
        <v>45968</v>
      </c>
      <c r="B593" s="80">
        <f t="shared" ca="1" si="18"/>
        <v>45968.94071574074</v>
      </c>
      <c r="C593" s="76" t="s">
        <v>99</v>
      </c>
      <c r="D593" s="76" t="s">
        <v>902</v>
      </c>
      <c r="E593" s="79" t="s">
        <v>1257</v>
      </c>
      <c r="F593" s="79"/>
    </row>
    <row r="594" spans="1:6">
      <c r="A594" s="77">
        <f t="shared" ca="1" si="19"/>
        <v>45968</v>
      </c>
      <c r="B594" s="80">
        <f t="shared" ca="1" si="18"/>
        <v>45968.962886689813</v>
      </c>
      <c r="C594" s="76" t="s">
        <v>99</v>
      </c>
      <c r="D594" s="76" t="s">
        <v>902</v>
      </c>
      <c r="E594" s="79" t="s">
        <v>1258</v>
      </c>
      <c r="F594" s="79"/>
    </row>
    <row r="595" spans="1:6">
      <c r="A595" s="77">
        <f t="shared" ca="1" si="19"/>
        <v>45968</v>
      </c>
      <c r="B595" s="80">
        <f t="shared" ca="1" si="18"/>
        <v>45968.986617013892</v>
      </c>
      <c r="C595" s="76" t="s">
        <v>99</v>
      </c>
      <c r="D595" s="210" t="s">
        <v>1098</v>
      </c>
      <c r="E595" s="79"/>
      <c r="F595" s="79"/>
    </row>
    <row r="596" spans="1:6">
      <c r="A596" s="77">
        <f t="shared" ca="1" si="19"/>
        <v>45969</v>
      </c>
      <c r="B596" s="80">
        <f t="shared" ca="1" si="18"/>
        <v>45969.022675231485</v>
      </c>
      <c r="C596" s="76" t="s">
        <v>103</v>
      </c>
      <c r="D596" s="210" t="s">
        <v>906</v>
      </c>
      <c r="E596" s="79"/>
      <c r="F596" s="79"/>
    </row>
    <row r="597" spans="1:6">
      <c r="A597" s="77">
        <f t="shared" ca="1" si="19"/>
        <v>45969</v>
      </c>
      <c r="B597" s="80">
        <f t="shared" ca="1" si="18"/>
        <v>45969.045537615741</v>
      </c>
      <c r="C597" s="76" t="s">
        <v>103</v>
      </c>
      <c r="D597" s="210" t="s">
        <v>909</v>
      </c>
      <c r="E597" s="79"/>
      <c r="F597" s="79"/>
    </row>
    <row r="598" spans="1:6">
      <c r="A598" s="77">
        <f t="shared" ca="1" si="19"/>
        <v>45969</v>
      </c>
      <c r="B598" s="80">
        <f t="shared" ca="1" si="18"/>
        <v>45969.04592488426</v>
      </c>
      <c r="C598" s="76" t="s">
        <v>103</v>
      </c>
      <c r="D598" s="76" t="s">
        <v>902</v>
      </c>
      <c r="E598" s="79" t="s">
        <v>1259</v>
      </c>
      <c r="F598" s="79"/>
    </row>
    <row r="599" spans="1:6">
      <c r="A599" s="77">
        <f t="shared" ca="1" si="19"/>
        <v>45969</v>
      </c>
      <c r="B599" s="80">
        <f t="shared" ca="1" si="18"/>
        <v>45969.049529398151</v>
      </c>
      <c r="C599" s="76" t="s">
        <v>103</v>
      </c>
      <c r="D599" s="76" t="s">
        <v>902</v>
      </c>
      <c r="E599" s="79" t="s">
        <v>1260</v>
      </c>
      <c r="F599" s="79"/>
    </row>
    <row r="600" spans="1:6">
      <c r="A600" s="77">
        <f t="shared" ca="1" si="19"/>
        <v>45969</v>
      </c>
      <c r="B600" s="80">
        <f t="shared" ca="1" si="18"/>
        <v>45969.050068634257</v>
      </c>
      <c r="C600" s="76" t="s">
        <v>103</v>
      </c>
      <c r="D600" s="76" t="s">
        <v>902</v>
      </c>
      <c r="E600" s="79" t="s">
        <v>1045</v>
      </c>
      <c r="F600" s="79"/>
    </row>
    <row r="601" spans="1:6">
      <c r="A601" s="77">
        <f t="shared" ca="1" si="19"/>
        <v>45969</v>
      </c>
      <c r="B601" s="80">
        <f t="shared" ca="1" si="18"/>
        <v>45969.050347569442</v>
      </c>
      <c r="C601" s="76" t="s">
        <v>103</v>
      </c>
      <c r="D601" s="76" t="s">
        <v>902</v>
      </c>
      <c r="E601" s="79" t="s">
        <v>1260</v>
      </c>
      <c r="F601" s="79"/>
    </row>
    <row r="602" spans="1:6">
      <c r="A602" s="77">
        <f t="shared" ca="1" si="19"/>
        <v>45969</v>
      </c>
      <c r="B602" s="80">
        <f t="shared" ca="1" si="18"/>
        <v>45969.050445949077</v>
      </c>
      <c r="C602" s="76" t="s">
        <v>103</v>
      </c>
      <c r="D602" s="76" t="s">
        <v>902</v>
      </c>
      <c r="E602" s="79" t="s">
        <v>1115</v>
      </c>
      <c r="F602" s="79"/>
    </row>
    <row r="603" spans="1:6">
      <c r="A603" s="77">
        <f t="shared" ca="1" si="19"/>
        <v>45969</v>
      </c>
      <c r="B603" s="80">
        <f t="shared" ca="1" si="18"/>
        <v>45969.051237268519</v>
      </c>
      <c r="C603" s="76" t="s">
        <v>103</v>
      </c>
      <c r="D603" s="76" t="s">
        <v>902</v>
      </c>
      <c r="E603" s="79" t="s">
        <v>956</v>
      </c>
      <c r="F603" s="79"/>
    </row>
    <row r="604" spans="1:6">
      <c r="A604" s="77">
        <f t="shared" ca="1" si="19"/>
        <v>45969</v>
      </c>
      <c r="B604" s="80">
        <f t="shared" ca="1" si="18"/>
        <v>45969.053473726854</v>
      </c>
      <c r="C604" s="76" t="s">
        <v>103</v>
      </c>
      <c r="D604" s="76" t="s">
        <v>902</v>
      </c>
      <c r="E604" s="79" t="s">
        <v>1261</v>
      </c>
      <c r="F604" s="79"/>
    </row>
    <row r="605" spans="1:6">
      <c r="A605" s="77">
        <f t="shared" ca="1" si="19"/>
        <v>45969</v>
      </c>
      <c r="B605" s="80">
        <f t="shared" ca="1" si="18"/>
        <v>45969.059853819446</v>
      </c>
      <c r="C605" s="76" t="s">
        <v>103</v>
      </c>
      <c r="D605" s="76" t="s">
        <v>902</v>
      </c>
      <c r="E605" s="79" t="s">
        <v>1262</v>
      </c>
      <c r="F605" s="79"/>
    </row>
    <row r="606" spans="1:6">
      <c r="A606" s="77">
        <f t="shared" ca="1" si="19"/>
        <v>45969</v>
      </c>
      <c r="B606" s="80">
        <f t="shared" ca="1" si="18"/>
        <v>45969.061543750002</v>
      </c>
      <c r="C606" s="76" t="s">
        <v>103</v>
      </c>
      <c r="D606" s="76" t="s">
        <v>902</v>
      </c>
      <c r="E606" s="79" t="s">
        <v>1115</v>
      </c>
      <c r="F606" s="79"/>
    </row>
    <row r="607" spans="1:6">
      <c r="A607" s="77">
        <f t="shared" ca="1" si="19"/>
        <v>45969</v>
      </c>
      <c r="B607" s="80">
        <f t="shared" ca="1" si="18"/>
        <v>45969.064994907407</v>
      </c>
      <c r="C607" s="76" t="s">
        <v>103</v>
      </c>
      <c r="D607" s="76" t="s">
        <v>902</v>
      </c>
      <c r="E607" s="79" t="s">
        <v>1263</v>
      </c>
      <c r="F607" s="79"/>
    </row>
    <row r="608" spans="1:6">
      <c r="A608" s="77">
        <f t="shared" ca="1" si="19"/>
        <v>45969</v>
      </c>
      <c r="B608" s="80">
        <f t="shared" ca="1" si="18"/>
        <v>45969.071191898147</v>
      </c>
      <c r="C608" s="76" t="s">
        <v>103</v>
      </c>
      <c r="D608" s="76" t="s">
        <v>902</v>
      </c>
      <c r="E608" s="79" t="s">
        <v>1260</v>
      </c>
      <c r="F608" s="79"/>
    </row>
    <row r="609" spans="1:7">
      <c r="A609" s="77">
        <f t="shared" ca="1" si="19"/>
        <v>45969</v>
      </c>
      <c r="B609" s="80">
        <f t="shared" ca="1" si="18"/>
        <v>45969.075443518515</v>
      </c>
      <c r="C609" s="76" t="s">
        <v>103</v>
      </c>
      <c r="D609" s="76" t="s">
        <v>902</v>
      </c>
      <c r="E609" s="79" t="s">
        <v>1264</v>
      </c>
      <c r="F609" s="79"/>
    </row>
    <row r="610" spans="1:7">
      <c r="A610" s="77">
        <f t="shared" ca="1" si="19"/>
        <v>45969</v>
      </c>
      <c r="B610" s="80">
        <f t="shared" ca="1" si="18"/>
        <v>45969.079301157406</v>
      </c>
      <c r="C610" s="76" t="s">
        <v>103</v>
      </c>
      <c r="D610" s="76" t="s">
        <v>902</v>
      </c>
      <c r="E610" s="79" t="s">
        <v>1264</v>
      </c>
      <c r="F610" s="79"/>
    </row>
    <row r="611" spans="1:7">
      <c r="A611" s="77">
        <f t="shared" ca="1" si="19"/>
        <v>45969</v>
      </c>
      <c r="B611" s="80">
        <f t="shared" ca="1" si="18"/>
        <v>45969.081091782406</v>
      </c>
      <c r="C611" s="76" t="s">
        <v>103</v>
      </c>
      <c r="D611" s="76" t="s">
        <v>902</v>
      </c>
      <c r="E611" s="79" t="s">
        <v>1265</v>
      </c>
      <c r="F611" s="79"/>
    </row>
    <row r="612" spans="1:7">
      <c r="A612" s="77">
        <f t="shared" ca="1" si="19"/>
        <v>45969</v>
      </c>
      <c r="B612" s="80">
        <f t="shared" ca="1" si="18"/>
        <v>45969.085027777779</v>
      </c>
      <c r="C612" s="76" t="s">
        <v>103</v>
      </c>
      <c r="D612" s="76" t="s">
        <v>902</v>
      </c>
      <c r="E612" s="79" t="s">
        <v>1264</v>
      </c>
      <c r="F612" s="79"/>
    </row>
    <row r="613" spans="1:7">
      <c r="A613" s="77">
        <f t="shared" ca="1" si="19"/>
        <v>45969</v>
      </c>
      <c r="B613" s="80">
        <f t="shared" ca="1" si="18"/>
        <v>45969.086794097224</v>
      </c>
      <c r="C613" s="76" t="s">
        <v>103</v>
      </c>
      <c r="D613" s="210" t="s">
        <v>922</v>
      </c>
      <c r="E613" s="79"/>
      <c r="F613" s="79"/>
    </row>
    <row r="614" spans="1:7">
      <c r="A614" s="77">
        <f t="shared" ca="1" si="19"/>
        <v>45969</v>
      </c>
      <c r="B614" s="80">
        <f t="shared" ca="1" si="18"/>
        <v>45969.086972453704</v>
      </c>
      <c r="C614" s="76" t="s">
        <v>103</v>
      </c>
      <c r="D614" s="76" t="s">
        <v>902</v>
      </c>
      <c r="E614" s="79" t="s">
        <v>1266</v>
      </c>
      <c r="F614" s="79"/>
    </row>
    <row r="615" spans="1:7">
      <c r="A615" s="77">
        <f t="shared" ca="1" si="19"/>
        <v>45969</v>
      </c>
      <c r="B615" s="80">
        <v>0.10155092592592592</v>
      </c>
      <c r="C615" s="76" t="s">
        <v>103</v>
      </c>
      <c r="D615" s="150" t="s">
        <v>1059</v>
      </c>
      <c r="E615" s="79"/>
      <c r="F615" s="79"/>
    </row>
    <row r="616" spans="1:7">
      <c r="A616" s="77">
        <f t="shared" ca="1" si="19"/>
        <v>45969</v>
      </c>
      <c r="B616" s="80">
        <f t="shared" ca="1" si="18"/>
        <v>45969.16918715278</v>
      </c>
      <c r="C616" s="76" t="s">
        <v>107</v>
      </c>
      <c r="D616" s="210" t="s">
        <v>909</v>
      </c>
      <c r="E616" s="79"/>
      <c r="F616" s="79"/>
      <c r="G616" s="80"/>
    </row>
    <row r="617" spans="1:7">
      <c r="A617" s="77">
        <f t="shared" ca="1" si="19"/>
        <v>45969</v>
      </c>
      <c r="B617" s="80">
        <f t="shared" ca="1" si="18"/>
        <v>45969.178734837966</v>
      </c>
      <c r="C617" s="76" t="s">
        <v>107</v>
      </c>
      <c r="D617" s="76" t="s">
        <v>902</v>
      </c>
      <c r="E617" s="79" t="s">
        <v>1256</v>
      </c>
      <c r="F617" s="79"/>
      <c r="G617" s="80"/>
    </row>
    <row r="618" spans="1:7">
      <c r="A618" s="77">
        <f t="shared" ca="1" si="19"/>
        <v>45969</v>
      </c>
      <c r="B618" s="80">
        <f t="shared" ca="1" si="18"/>
        <v>45969.179212499999</v>
      </c>
      <c r="C618" s="76" t="s">
        <v>107</v>
      </c>
      <c r="D618" s="76" t="s">
        <v>902</v>
      </c>
      <c r="E618" s="79" t="s">
        <v>1256</v>
      </c>
      <c r="F618" s="79"/>
      <c r="G618" s="80"/>
    </row>
    <row r="619" spans="1:7">
      <c r="A619" s="77">
        <f t="shared" ca="1" si="19"/>
        <v>45969</v>
      </c>
      <c r="B619" s="80">
        <f t="shared" ca="1" si="18"/>
        <v>45969.180258449072</v>
      </c>
      <c r="C619" s="76" t="s">
        <v>107</v>
      </c>
      <c r="D619" s="76" t="s">
        <v>902</v>
      </c>
      <c r="E619" s="79" t="s">
        <v>1118</v>
      </c>
      <c r="F619" s="79"/>
      <c r="G619" s="80"/>
    </row>
    <row r="620" spans="1:7">
      <c r="A620" s="77">
        <f t="shared" ca="1" si="19"/>
        <v>45969</v>
      </c>
      <c r="B620" s="80">
        <f t="shared" ref="B620:B640" ca="1" si="20">IF(C620&lt;&gt;0,IF(B620=0,NOW(),B620),)</f>
        <v>45969.190629513891</v>
      </c>
      <c r="C620" s="76" t="s">
        <v>107</v>
      </c>
      <c r="D620" s="76" t="s">
        <v>902</v>
      </c>
      <c r="E620" s="79" t="s">
        <v>1256</v>
      </c>
      <c r="F620" s="79"/>
      <c r="G620" s="80"/>
    </row>
    <row r="621" spans="1:7">
      <c r="A621" s="77">
        <f t="shared" ca="1" si="19"/>
        <v>45969</v>
      </c>
      <c r="B621" s="80">
        <f t="shared" ca="1" si="20"/>
        <v>45969.211648032404</v>
      </c>
      <c r="C621" s="76" t="s">
        <v>107</v>
      </c>
      <c r="D621" s="150" t="s">
        <v>1007</v>
      </c>
      <c r="E621" s="79" t="s">
        <v>1267</v>
      </c>
      <c r="F621" s="79"/>
      <c r="G621" s="80"/>
    </row>
    <row r="622" spans="1:7">
      <c r="A622" s="77">
        <f t="shared" ca="1" si="19"/>
        <v>45969</v>
      </c>
      <c r="B622" s="80">
        <f t="shared" ca="1" si="20"/>
        <v>45969.213548263891</v>
      </c>
      <c r="C622" s="76" t="s">
        <v>107</v>
      </c>
      <c r="D622" s="76" t="s">
        <v>902</v>
      </c>
      <c r="E622" s="79" t="s">
        <v>1268</v>
      </c>
      <c r="F622" s="79"/>
      <c r="G622" s="80"/>
    </row>
    <row r="623" spans="1:7">
      <c r="A623" s="77">
        <f t="shared" ca="1" si="19"/>
        <v>45969</v>
      </c>
      <c r="B623" s="80">
        <f t="shared" ca="1" si="20"/>
        <v>45969.216193518521</v>
      </c>
      <c r="C623" s="76" t="s">
        <v>107</v>
      </c>
      <c r="D623" s="76" t="s">
        <v>902</v>
      </c>
      <c r="E623" s="79" t="s">
        <v>955</v>
      </c>
      <c r="F623" s="79"/>
      <c r="G623" s="80"/>
    </row>
    <row r="624" spans="1:7">
      <c r="A624" s="77">
        <f t="shared" ca="1" si="19"/>
        <v>45969</v>
      </c>
      <c r="B624" s="80">
        <f t="shared" ca="1" si="20"/>
        <v>45969.220507523147</v>
      </c>
      <c r="C624" s="76" t="s">
        <v>107</v>
      </c>
      <c r="D624" s="76" t="s">
        <v>902</v>
      </c>
      <c r="E624" s="79" t="s">
        <v>1268</v>
      </c>
      <c r="F624" s="79"/>
    </row>
    <row r="625" spans="1:6">
      <c r="A625" s="77">
        <f t="shared" ca="1" si="19"/>
        <v>45969</v>
      </c>
      <c r="B625" s="80">
        <f t="shared" ca="1" si="20"/>
        <v>45969.226651273151</v>
      </c>
      <c r="C625" s="76" t="s">
        <v>107</v>
      </c>
      <c r="D625" s="76" t="s">
        <v>902</v>
      </c>
      <c r="E625" s="79" t="s">
        <v>1256</v>
      </c>
      <c r="F625" s="79"/>
    </row>
    <row r="626" spans="1:6">
      <c r="A626" s="77">
        <f t="shared" ca="1" si="19"/>
        <v>45969</v>
      </c>
      <c r="B626" s="80">
        <f t="shared" ca="1" si="20"/>
        <v>45969.22854398148</v>
      </c>
      <c r="C626" s="76" t="s">
        <v>107</v>
      </c>
      <c r="D626" s="76" t="s">
        <v>902</v>
      </c>
      <c r="E626" s="79" t="s">
        <v>1256</v>
      </c>
      <c r="F626" s="79"/>
    </row>
    <row r="627" spans="1:6">
      <c r="A627" s="77">
        <f t="shared" ca="1" si="19"/>
        <v>45969</v>
      </c>
      <c r="B627" s="80">
        <f t="shared" ca="1" si="20"/>
        <v>45969.228625231481</v>
      </c>
      <c r="C627" s="76" t="s">
        <v>107</v>
      </c>
      <c r="D627" s="150" t="s">
        <v>1007</v>
      </c>
      <c r="E627" s="79" t="s">
        <v>1269</v>
      </c>
      <c r="F627" s="79"/>
    </row>
    <row r="628" spans="1:6">
      <c r="A628" s="77">
        <f t="shared" ca="1" si="19"/>
        <v>45969</v>
      </c>
      <c r="B628" s="80">
        <f t="shared" ca="1" si="20"/>
        <v>45969.234542592596</v>
      </c>
      <c r="C628" s="76" t="s">
        <v>107</v>
      </c>
      <c r="D628" s="210" t="s">
        <v>922</v>
      </c>
      <c r="E628" s="79"/>
      <c r="F628" s="79"/>
    </row>
    <row r="629" spans="1:6">
      <c r="A629" s="77">
        <f t="shared" ca="1" si="19"/>
        <v>45969</v>
      </c>
      <c r="B629" s="80">
        <f t="shared" ca="1" si="20"/>
        <v>45969.257384490738</v>
      </c>
      <c r="C629" s="76" t="s">
        <v>107</v>
      </c>
      <c r="D629" s="210" t="s">
        <v>1098</v>
      </c>
      <c r="E629" s="79"/>
      <c r="F629" s="79"/>
    </row>
    <row r="630" spans="1:6">
      <c r="A630" s="77">
        <f t="shared" ca="1" si="19"/>
        <v>45969</v>
      </c>
      <c r="B630" s="80">
        <f t="shared" ca="1" si="20"/>
        <v>45969.319688541669</v>
      </c>
      <c r="C630" s="76" t="s">
        <v>110</v>
      </c>
      <c r="D630" s="210" t="s">
        <v>906</v>
      </c>
      <c r="E630" s="79"/>
      <c r="F630" s="79"/>
    </row>
    <row r="631" spans="1:6">
      <c r="A631" s="77">
        <f t="shared" ca="1" si="19"/>
        <v>45969</v>
      </c>
      <c r="B631" s="80">
        <f t="shared" ca="1" si="20"/>
        <v>45969.340534722221</v>
      </c>
      <c r="C631" s="76" t="s">
        <v>110</v>
      </c>
      <c r="D631" s="210" t="s">
        <v>909</v>
      </c>
      <c r="E631" s="79"/>
      <c r="F631" s="79"/>
    </row>
    <row r="632" spans="1:6">
      <c r="A632" s="77">
        <f t="shared" ca="1" si="19"/>
        <v>45969</v>
      </c>
      <c r="B632" s="80">
        <f t="shared" ca="1" si="20"/>
        <v>45969.341417592594</v>
      </c>
      <c r="C632" s="76" t="s">
        <v>110</v>
      </c>
      <c r="D632" s="76" t="s">
        <v>902</v>
      </c>
      <c r="E632" s="79" t="s">
        <v>1270</v>
      </c>
      <c r="F632" s="79"/>
    </row>
    <row r="633" spans="1:6">
      <c r="A633" s="77">
        <f t="shared" ca="1" si="19"/>
        <v>45969</v>
      </c>
      <c r="B633" s="80">
        <f t="shared" ca="1" si="20"/>
        <v>45969.347810648149</v>
      </c>
      <c r="C633" s="76" t="s">
        <v>110</v>
      </c>
      <c r="D633" s="76" t="s">
        <v>902</v>
      </c>
      <c r="E633" s="79" t="s">
        <v>1271</v>
      </c>
      <c r="F633" s="79" t="s">
        <v>1272</v>
      </c>
    </row>
    <row r="634" spans="1:6">
      <c r="A634" s="77">
        <f t="shared" ca="1" si="19"/>
        <v>45969</v>
      </c>
      <c r="B634" s="80">
        <f t="shared" ca="1" si="20"/>
        <v>45969.350494444443</v>
      </c>
      <c r="C634" s="76" t="s">
        <v>110</v>
      </c>
      <c r="D634" s="76" t="s">
        <v>902</v>
      </c>
      <c r="E634" s="79" t="s">
        <v>1197</v>
      </c>
      <c r="F634" s="79"/>
    </row>
    <row r="635" spans="1:6">
      <c r="A635" s="77">
        <f t="shared" ca="1" si="19"/>
        <v>45969</v>
      </c>
      <c r="B635" s="80">
        <f t="shared" ca="1" si="20"/>
        <v>45969.351182060185</v>
      </c>
      <c r="C635" s="76" t="s">
        <v>110</v>
      </c>
      <c r="D635" s="76" t="s">
        <v>902</v>
      </c>
      <c r="E635" s="79" t="s">
        <v>1273</v>
      </c>
      <c r="F635" s="79"/>
    </row>
    <row r="636" spans="1:6">
      <c r="A636" s="77">
        <f t="shared" ca="1" si="19"/>
        <v>45969</v>
      </c>
      <c r="B636" s="80">
        <f t="shared" ca="1" si="20"/>
        <v>45969.358776041663</v>
      </c>
      <c r="C636" s="76" t="s">
        <v>110</v>
      </c>
      <c r="D636" s="76" t="s">
        <v>902</v>
      </c>
      <c r="E636" s="79" t="s">
        <v>1274</v>
      </c>
      <c r="F636" s="79"/>
    </row>
    <row r="637" spans="1:6">
      <c r="A637" s="77">
        <f t="shared" ca="1" si="19"/>
        <v>45969</v>
      </c>
      <c r="B637" s="80">
        <f t="shared" ca="1" si="20"/>
        <v>45969.363984837961</v>
      </c>
      <c r="C637" s="76" t="s">
        <v>110</v>
      </c>
      <c r="D637" s="76" t="s">
        <v>902</v>
      </c>
      <c r="E637" s="79"/>
      <c r="F637" s="79" t="s">
        <v>1275</v>
      </c>
    </row>
    <row r="638" spans="1:6">
      <c r="A638" s="77">
        <f t="shared" ca="1" si="19"/>
        <v>45969</v>
      </c>
      <c r="B638" s="80">
        <f t="shared" ca="1" si="20"/>
        <v>45969.373913078707</v>
      </c>
      <c r="C638" s="76" t="s">
        <v>110</v>
      </c>
      <c r="D638" s="76" t="s">
        <v>902</v>
      </c>
      <c r="E638" s="79" t="s">
        <v>1165</v>
      </c>
      <c r="F638" s="79"/>
    </row>
    <row r="639" spans="1:6">
      <c r="A639" s="77">
        <f t="shared" ca="1" si="19"/>
        <v>45969</v>
      </c>
      <c r="B639" s="80">
        <f t="shared" ca="1" si="20"/>
        <v>45969.381708912035</v>
      </c>
      <c r="C639" s="76" t="s">
        <v>110</v>
      </c>
      <c r="D639" s="76" t="s">
        <v>902</v>
      </c>
      <c r="E639" s="79" t="s">
        <v>1195</v>
      </c>
      <c r="F639" s="79"/>
    </row>
    <row r="640" spans="1:6">
      <c r="A640" s="77">
        <f t="shared" ca="1" si="19"/>
        <v>45969</v>
      </c>
      <c r="B640" s="80">
        <f t="shared" ca="1" si="20"/>
        <v>45969.385082175926</v>
      </c>
      <c r="C640" s="76" t="s">
        <v>110</v>
      </c>
      <c r="D640" s="76" t="s">
        <v>902</v>
      </c>
      <c r="E640" s="79" t="s">
        <v>1276</v>
      </c>
      <c r="F640" s="79"/>
    </row>
    <row r="641" spans="1:6">
      <c r="A641" s="77">
        <f t="shared" ref="A641:A658" ca="1" si="21">IF(C641&lt;&gt;0,IF(A641=0,TODAY(),A641),)</f>
        <v>45969</v>
      </c>
      <c r="B641" s="80">
        <f t="shared" ref="B641:B658" ca="1" si="22">IF(C641&lt;&gt;0,IF(B641=0,NOW(),B641),)</f>
        <v>45969.393379629626</v>
      </c>
      <c r="C641" s="76" t="s">
        <v>110</v>
      </c>
      <c r="D641" s="76" t="s">
        <v>902</v>
      </c>
      <c r="E641" s="79" t="s">
        <v>1277</v>
      </c>
      <c r="F641" s="79" t="s">
        <v>1003</v>
      </c>
    </row>
    <row r="642" spans="1:6">
      <c r="A642" s="77">
        <f t="shared" ca="1" si="21"/>
        <v>45969</v>
      </c>
      <c r="B642" s="80">
        <f t="shared" ca="1" si="22"/>
        <v>45969.393711805555</v>
      </c>
      <c r="C642" s="76" t="s">
        <v>110</v>
      </c>
      <c r="D642" s="76" t="s">
        <v>902</v>
      </c>
      <c r="E642" s="79" t="s">
        <v>1012</v>
      </c>
      <c r="F642" s="79"/>
    </row>
    <row r="643" spans="1:6">
      <c r="A643" s="77">
        <f t="shared" ca="1" si="21"/>
        <v>45969</v>
      </c>
      <c r="B643" s="80">
        <f t="shared" ca="1" si="22"/>
        <v>45969.395307523147</v>
      </c>
      <c r="C643" s="76" t="s">
        <v>110</v>
      </c>
      <c r="D643" s="76" t="s">
        <v>902</v>
      </c>
      <c r="E643" s="79" t="s">
        <v>1278</v>
      </c>
      <c r="F643" s="79"/>
    </row>
    <row r="644" spans="1:6">
      <c r="A644" s="77">
        <f t="shared" ca="1" si="21"/>
        <v>45969</v>
      </c>
      <c r="B644" s="80">
        <f t="shared" ca="1" si="22"/>
        <v>45969.395632291664</v>
      </c>
      <c r="C644" s="76" t="s">
        <v>110</v>
      </c>
      <c r="D644" s="76" t="s">
        <v>902</v>
      </c>
      <c r="E644" s="79" t="s">
        <v>1278</v>
      </c>
      <c r="F644" s="79"/>
    </row>
    <row r="645" spans="1:6">
      <c r="A645" s="77">
        <f t="shared" ca="1" si="21"/>
        <v>45969</v>
      </c>
      <c r="B645" s="80">
        <f t="shared" ca="1" si="22"/>
        <v>45969.396187962964</v>
      </c>
      <c r="C645" s="76" t="s">
        <v>110</v>
      </c>
      <c r="D645" s="76" t="s">
        <v>902</v>
      </c>
      <c r="E645" s="79" t="s">
        <v>1279</v>
      </c>
      <c r="F645" s="79" t="s">
        <v>1280</v>
      </c>
    </row>
    <row r="646" spans="1:6">
      <c r="A646" s="77">
        <f t="shared" ca="1" si="21"/>
        <v>45969</v>
      </c>
      <c r="B646" s="80">
        <f t="shared" ca="1" si="22"/>
        <v>45969.396433680558</v>
      </c>
      <c r="C646" s="76" t="s">
        <v>110</v>
      </c>
      <c r="D646" s="76" t="s">
        <v>902</v>
      </c>
      <c r="E646" s="79" t="s">
        <v>1229</v>
      </c>
      <c r="F646" s="79"/>
    </row>
    <row r="647" spans="1:6">
      <c r="A647" s="77">
        <f t="shared" ca="1" si="21"/>
        <v>45969</v>
      </c>
      <c r="B647" s="80">
        <f t="shared" ca="1" si="22"/>
        <v>45969.398763888887</v>
      </c>
      <c r="C647" s="76" t="s">
        <v>110</v>
      </c>
      <c r="D647" s="76" t="s">
        <v>902</v>
      </c>
      <c r="E647" s="79" t="s">
        <v>1281</v>
      </c>
      <c r="F647" s="79"/>
    </row>
    <row r="648" spans="1:6">
      <c r="A648" s="77">
        <f t="shared" ca="1" si="21"/>
        <v>45969</v>
      </c>
      <c r="B648" s="80">
        <f t="shared" ca="1" si="22"/>
        <v>45969.399853009258</v>
      </c>
      <c r="C648" s="76" t="s">
        <v>110</v>
      </c>
      <c r="D648" s="76" t="s">
        <v>902</v>
      </c>
      <c r="E648" s="79" t="s">
        <v>1128</v>
      </c>
      <c r="F648" s="79"/>
    </row>
    <row r="649" spans="1:6">
      <c r="A649" s="77">
        <f t="shared" ca="1" si="21"/>
        <v>45969</v>
      </c>
      <c r="B649" s="80">
        <f t="shared" ca="1" si="22"/>
        <v>45969.400984837965</v>
      </c>
      <c r="C649" s="76" t="s">
        <v>110</v>
      </c>
      <c r="D649" s="76" t="s">
        <v>902</v>
      </c>
      <c r="E649" s="79" t="s">
        <v>1279</v>
      </c>
      <c r="F649" s="79" t="s">
        <v>1280</v>
      </c>
    </row>
    <row r="650" spans="1:6">
      <c r="A650" s="77">
        <f t="shared" ca="1" si="21"/>
        <v>45969</v>
      </c>
      <c r="B650" s="80">
        <f t="shared" ca="1" si="22"/>
        <v>45969.402233680557</v>
      </c>
      <c r="C650" s="76" t="s">
        <v>110</v>
      </c>
      <c r="D650" s="76" t="s">
        <v>902</v>
      </c>
      <c r="E650" s="79" t="s">
        <v>1282</v>
      </c>
      <c r="F650" s="79"/>
    </row>
    <row r="651" spans="1:6">
      <c r="A651" s="77">
        <f t="shared" ca="1" si="21"/>
        <v>45969</v>
      </c>
      <c r="B651" s="80">
        <f t="shared" ca="1" si="22"/>
        <v>45969.408218171295</v>
      </c>
      <c r="C651" s="76" t="s">
        <v>110</v>
      </c>
      <c r="D651" s="76" t="s">
        <v>902</v>
      </c>
      <c r="E651" s="79" t="s">
        <v>1283</v>
      </c>
      <c r="F651" s="79"/>
    </row>
    <row r="652" spans="1:6">
      <c r="A652" s="77">
        <f t="shared" ca="1" si="21"/>
        <v>45969</v>
      </c>
      <c r="B652" s="80">
        <f t="shared" ca="1" si="22"/>
        <v>45969.410959953704</v>
      </c>
      <c r="C652" s="76" t="s">
        <v>110</v>
      </c>
      <c r="D652" s="76" t="s">
        <v>902</v>
      </c>
      <c r="E652" s="79" t="s">
        <v>1284</v>
      </c>
      <c r="F652" s="79"/>
    </row>
    <row r="653" spans="1:6">
      <c r="A653" s="77">
        <f t="shared" ca="1" si="21"/>
        <v>45969</v>
      </c>
      <c r="B653" s="80">
        <f t="shared" ca="1" si="22"/>
        <v>45969.411930092596</v>
      </c>
      <c r="C653" s="76" t="s">
        <v>110</v>
      </c>
      <c r="D653" s="76" t="s">
        <v>902</v>
      </c>
      <c r="E653" s="79" t="s">
        <v>932</v>
      </c>
      <c r="F653" s="79"/>
    </row>
    <row r="654" spans="1:6">
      <c r="A654" s="77">
        <f t="shared" ca="1" si="21"/>
        <v>45969</v>
      </c>
      <c r="B654" s="80">
        <f t="shared" ca="1" si="22"/>
        <v>45969.412651157407</v>
      </c>
      <c r="C654" s="76" t="s">
        <v>110</v>
      </c>
      <c r="D654" s="76" t="s">
        <v>902</v>
      </c>
      <c r="E654" s="79" t="s">
        <v>1285</v>
      </c>
      <c r="F654" s="79" t="s">
        <v>1272</v>
      </c>
    </row>
    <row r="655" spans="1:6">
      <c r="A655" s="77">
        <f t="shared" ca="1" si="21"/>
        <v>45969</v>
      </c>
      <c r="B655" s="80">
        <f t="shared" ca="1" si="22"/>
        <v>45969.413160069445</v>
      </c>
      <c r="C655" s="76" t="s">
        <v>110</v>
      </c>
      <c r="D655" s="76" t="s">
        <v>902</v>
      </c>
      <c r="E655" s="79" t="s">
        <v>1193</v>
      </c>
      <c r="F655" s="79" t="s">
        <v>1003</v>
      </c>
    </row>
    <row r="656" spans="1:6">
      <c r="A656" s="77">
        <f t="shared" ca="1" si="21"/>
        <v>45969</v>
      </c>
      <c r="B656" s="80">
        <f t="shared" ca="1" si="22"/>
        <v>45969.41436909722</v>
      </c>
      <c r="C656" s="76" t="s">
        <v>110</v>
      </c>
      <c r="D656" s="76" t="s">
        <v>902</v>
      </c>
      <c r="E656" s="79" t="s">
        <v>1286</v>
      </c>
      <c r="F656" s="79" t="s">
        <v>1010</v>
      </c>
    </row>
    <row r="657" spans="1:6">
      <c r="A657" s="77">
        <f t="shared" ca="1" si="21"/>
        <v>45969</v>
      </c>
      <c r="B657" s="80">
        <f t="shared" ca="1" si="22"/>
        <v>45969.415178703704</v>
      </c>
      <c r="C657" s="76" t="s">
        <v>110</v>
      </c>
      <c r="D657" s="210" t="s">
        <v>922</v>
      </c>
      <c r="E657" s="79"/>
      <c r="F657" s="79"/>
    </row>
    <row r="658" spans="1:6">
      <c r="A658" s="77">
        <f t="shared" ca="1" si="21"/>
        <v>45969</v>
      </c>
      <c r="B658" s="80">
        <f t="shared" ca="1" si="22"/>
        <v>45969.428102314814</v>
      </c>
      <c r="C658" s="76" t="s">
        <v>110</v>
      </c>
      <c r="D658" s="210" t="s">
        <v>1098</v>
      </c>
      <c r="E658" s="79"/>
      <c r="F658" s="79"/>
    </row>
    <row r="659" spans="1:6">
      <c r="A659" s="77">
        <f t="shared" ref="A659" ca="1" si="23">IF(C659&lt;&gt;0,IF(A659=0,TODAY(),A659),)</f>
        <v>45969</v>
      </c>
      <c r="B659" s="80">
        <f t="shared" ref="B659" ca="1" si="24">IF(C659&lt;&gt;0,IF(B659=0,NOW(),B659),)</f>
        <v>45969.455821180556</v>
      </c>
      <c r="C659" s="76" t="s">
        <v>114</v>
      </c>
      <c r="D659" s="210" t="s">
        <v>906</v>
      </c>
      <c r="E659" s="79"/>
      <c r="F659" s="79"/>
    </row>
    <row r="660" spans="1:6">
      <c r="A660" s="77">
        <f t="shared" ref="A660:A662" ca="1" si="25">IF(C660&lt;&gt;0,IF(A660=0,TODAY(),A660),)</f>
        <v>45969</v>
      </c>
      <c r="B660" s="80">
        <f t="shared" ref="B660:B662" ca="1" si="26">IF(C660&lt;&gt;0,IF(B660=0,NOW(),B660),)</f>
        <v>45969.470282175927</v>
      </c>
      <c r="C660" s="76" t="s">
        <v>114</v>
      </c>
      <c r="D660" s="210" t="s">
        <v>909</v>
      </c>
      <c r="E660" s="79"/>
      <c r="F660" s="79"/>
    </row>
    <row r="661" spans="1:6">
      <c r="A661" s="77">
        <f t="shared" ca="1" si="25"/>
        <v>45969</v>
      </c>
      <c r="B661" s="80">
        <f t="shared" ca="1" si="26"/>
        <v>45969.471858217592</v>
      </c>
      <c r="C661" s="76" t="s">
        <v>114</v>
      </c>
      <c r="D661" s="76" t="s">
        <v>902</v>
      </c>
      <c r="E661" s="79" t="s">
        <v>1287</v>
      </c>
      <c r="F661" s="79"/>
    </row>
    <row r="662" spans="1:6">
      <c r="A662" s="77">
        <f t="shared" ca="1" si="25"/>
        <v>45969</v>
      </c>
      <c r="B662" s="80">
        <f t="shared" ca="1" si="26"/>
        <v>45969.472162268517</v>
      </c>
      <c r="C662" s="76" t="s">
        <v>114</v>
      </c>
      <c r="D662" s="76" t="s">
        <v>902</v>
      </c>
      <c r="E662" s="79" t="s">
        <v>1225</v>
      </c>
      <c r="F662" s="79"/>
    </row>
    <row r="663" spans="1:6">
      <c r="A663" s="77">
        <f t="shared" ref="A663:A690" ca="1" si="27">IF(C663&lt;&gt;0,IF(A663=0,TODAY(),A663),)</f>
        <v>45969</v>
      </c>
      <c r="B663" s="80">
        <f t="shared" ref="B663:B690" ca="1" si="28">IF(C663&lt;&gt;0,IF(B663=0,NOW(),B663),)</f>
        <v>45969.475749537036</v>
      </c>
      <c r="C663" s="76" t="s">
        <v>114</v>
      </c>
      <c r="D663" s="76" t="s">
        <v>902</v>
      </c>
      <c r="E663" s="79" t="s">
        <v>1225</v>
      </c>
      <c r="F663" s="79"/>
    </row>
    <row r="664" spans="1:6">
      <c r="A664" s="77">
        <f t="shared" ca="1" si="27"/>
        <v>45969</v>
      </c>
      <c r="B664" s="80">
        <f t="shared" ca="1" si="28"/>
        <v>45969.478121527776</v>
      </c>
      <c r="C664" s="76" t="s">
        <v>114</v>
      </c>
      <c r="D664" s="76" t="s">
        <v>902</v>
      </c>
      <c r="E664" s="79" t="s">
        <v>1288</v>
      </c>
      <c r="F664" s="79"/>
    </row>
    <row r="665" spans="1:6">
      <c r="A665" s="77">
        <f t="shared" ca="1" si="27"/>
        <v>45969</v>
      </c>
      <c r="B665" s="80">
        <f t="shared" ca="1" si="28"/>
        <v>45969.485323842593</v>
      </c>
      <c r="C665" s="76" t="s">
        <v>114</v>
      </c>
      <c r="D665" s="76" t="s">
        <v>902</v>
      </c>
      <c r="E665" s="79" t="s">
        <v>1225</v>
      </c>
      <c r="F665" s="79"/>
    </row>
    <row r="666" spans="1:6">
      <c r="A666" s="77">
        <f t="shared" ca="1" si="27"/>
        <v>45969</v>
      </c>
      <c r="B666" s="80">
        <f t="shared" ca="1" si="28"/>
        <v>45969.494969907406</v>
      </c>
      <c r="C666" s="76" t="s">
        <v>114</v>
      </c>
      <c r="D666" s="76" t="s">
        <v>902</v>
      </c>
      <c r="E666" s="79" t="s">
        <v>1001</v>
      </c>
      <c r="F666" s="79"/>
    </row>
    <row r="667" spans="1:6">
      <c r="A667" s="77">
        <f t="shared" ca="1" si="27"/>
        <v>45969</v>
      </c>
      <c r="B667" s="80">
        <f t="shared" ca="1" si="28"/>
        <v>45969.499320023147</v>
      </c>
      <c r="C667" s="76" t="s">
        <v>114</v>
      </c>
      <c r="D667" s="76" t="s">
        <v>902</v>
      </c>
      <c r="E667" s="79" t="s">
        <v>1289</v>
      </c>
      <c r="F667" s="79"/>
    </row>
    <row r="668" spans="1:6">
      <c r="A668" s="77">
        <f t="shared" ca="1" si="27"/>
        <v>45969</v>
      </c>
      <c r="B668" s="80">
        <f t="shared" ca="1" si="28"/>
        <v>45969.499598842594</v>
      </c>
      <c r="C668" s="76" t="s">
        <v>114</v>
      </c>
      <c r="D668" s="76" t="s">
        <v>902</v>
      </c>
      <c r="E668" s="79" t="s">
        <v>1290</v>
      </c>
      <c r="F668" s="79"/>
    </row>
    <row r="669" spans="1:6">
      <c r="A669" s="77">
        <f t="shared" ca="1" si="27"/>
        <v>45969</v>
      </c>
      <c r="B669" s="80">
        <f t="shared" ca="1" si="28"/>
        <v>45969.50239050926</v>
      </c>
      <c r="C669" s="76" t="s">
        <v>114</v>
      </c>
      <c r="D669" s="76" t="s">
        <v>902</v>
      </c>
      <c r="E669" s="79" t="s">
        <v>1012</v>
      </c>
      <c r="F669" s="79"/>
    </row>
    <row r="670" spans="1:6">
      <c r="A670" s="77">
        <f t="shared" ca="1" si="27"/>
        <v>45969</v>
      </c>
      <c r="B670" s="80">
        <f t="shared" ca="1" si="28"/>
        <v>45969.505161574074</v>
      </c>
      <c r="C670" s="76" t="s">
        <v>114</v>
      </c>
      <c r="D670" s="76" t="s">
        <v>902</v>
      </c>
      <c r="E670" s="79" t="s">
        <v>1291</v>
      </c>
      <c r="F670" s="79"/>
    </row>
    <row r="671" spans="1:6">
      <c r="A671" s="77">
        <f t="shared" ca="1" si="27"/>
        <v>45969</v>
      </c>
      <c r="B671" s="80">
        <f t="shared" ca="1" si="28"/>
        <v>45969.506582407404</v>
      </c>
      <c r="C671" s="76" t="s">
        <v>114</v>
      </c>
      <c r="D671" s="76" t="s">
        <v>902</v>
      </c>
      <c r="E671" s="79" t="s">
        <v>1292</v>
      </c>
      <c r="F671" s="79" t="s">
        <v>1293</v>
      </c>
    </row>
    <row r="672" spans="1:6">
      <c r="A672" s="77">
        <f t="shared" ca="1" si="27"/>
        <v>45969</v>
      </c>
      <c r="B672" s="80">
        <f t="shared" ca="1" si="28"/>
        <v>45969.507478009262</v>
      </c>
      <c r="C672" s="76" t="s">
        <v>114</v>
      </c>
      <c r="D672" s="76" t="s">
        <v>902</v>
      </c>
      <c r="E672" s="79" t="s">
        <v>1294</v>
      </c>
      <c r="F672" s="79"/>
    </row>
    <row r="673" spans="1:6">
      <c r="A673" s="77">
        <f t="shared" ca="1" si="27"/>
        <v>45969</v>
      </c>
      <c r="B673" s="80">
        <f t="shared" ca="1" si="28"/>
        <v>45969.509489699078</v>
      </c>
      <c r="C673" s="76" t="s">
        <v>114</v>
      </c>
      <c r="D673" s="76" t="s">
        <v>902</v>
      </c>
      <c r="E673" s="79" t="s">
        <v>1295</v>
      </c>
      <c r="F673" s="79" t="s">
        <v>1213</v>
      </c>
    </row>
    <row r="674" spans="1:6">
      <c r="A674" s="77">
        <f t="shared" ca="1" si="27"/>
        <v>45969</v>
      </c>
      <c r="B674" s="80">
        <f t="shared" ca="1" si="28"/>
        <v>45969.510598263892</v>
      </c>
      <c r="C674" s="76" t="s">
        <v>114</v>
      </c>
      <c r="D674" s="76" t="s">
        <v>902</v>
      </c>
      <c r="E674" s="79" t="s">
        <v>1225</v>
      </c>
      <c r="F674" s="79"/>
    </row>
    <row r="675" spans="1:6">
      <c r="A675" s="77">
        <f t="shared" ca="1" si="27"/>
        <v>45969</v>
      </c>
      <c r="B675" s="80">
        <f t="shared" ca="1" si="28"/>
        <v>45969.511294675925</v>
      </c>
      <c r="C675" s="76" t="s">
        <v>114</v>
      </c>
      <c r="D675" s="76" t="s">
        <v>902</v>
      </c>
      <c r="E675" s="79" t="s">
        <v>1225</v>
      </c>
      <c r="F675" s="79"/>
    </row>
    <row r="676" spans="1:6">
      <c r="A676" s="77">
        <f t="shared" ca="1" si="27"/>
        <v>45969</v>
      </c>
      <c r="B676" s="80">
        <f t="shared" ca="1" si="28"/>
        <v>45969.512264236109</v>
      </c>
      <c r="C676" s="76" t="s">
        <v>114</v>
      </c>
      <c r="D676" s="76" t="s">
        <v>902</v>
      </c>
      <c r="E676" s="79"/>
      <c r="F676" s="79" t="s">
        <v>1296</v>
      </c>
    </row>
    <row r="677" spans="1:6">
      <c r="A677" s="77">
        <f t="shared" ca="1" si="27"/>
        <v>45969</v>
      </c>
      <c r="B677" s="80">
        <f t="shared" ca="1" si="28"/>
        <v>45969.515285648151</v>
      </c>
      <c r="C677" s="76" t="s">
        <v>114</v>
      </c>
      <c r="D677" s="210" t="s">
        <v>922</v>
      </c>
      <c r="E677" s="79"/>
      <c r="F677" s="79"/>
    </row>
    <row r="678" spans="1:6">
      <c r="A678" s="77">
        <f t="shared" ca="1" si="27"/>
        <v>45969</v>
      </c>
      <c r="B678" s="80">
        <f t="shared" ca="1" si="28"/>
        <v>45969.525134606483</v>
      </c>
      <c r="C678" s="76" t="s">
        <v>114</v>
      </c>
      <c r="D678" s="210" t="s">
        <v>1098</v>
      </c>
      <c r="E678" s="79"/>
      <c r="F678" s="79"/>
    </row>
    <row r="679" spans="1:6">
      <c r="A679" s="77">
        <f t="shared" ca="1" si="27"/>
        <v>45969</v>
      </c>
      <c r="B679" s="80">
        <f t="shared" ca="1" si="28"/>
        <v>45969.550639351852</v>
      </c>
      <c r="C679" s="76" t="s">
        <v>118</v>
      </c>
      <c r="D679" s="210" t="s">
        <v>906</v>
      </c>
      <c r="E679" s="79"/>
      <c r="F679" s="79"/>
    </row>
    <row r="680" spans="1:6">
      <c r="A680" s="77">
        <f t="shared" ca="1" si="27"/>
        <v>45969</v>
      </c>
      <c r="B680" s="80">
        <f t="shared" ca="1" si="28"/>
        <v>45969.563702083331</v>
      </c>
      <c r="C680" s="76" t="s">
        <v>118</v>
      </c>
      <c r="D680" s="210" t="s">
        <v>909</v>
      </c>
      <c r="E680" s="79"/>
      <c r="F680" s="79"/>
    </row>
    <row r="681" spans="1:6">
      <c r="A681" s="77">
        <f t="shared" ca="1" si="27"/>
        <v>45969</v>
      </c>
      <c r="B681" s="80">
        <f t="shared" ca="1" si="28"/>
        <v>45969.564116898146</v>
      </c>
      <c r="C681" s="76" t="s">
        <v>118</v>
      </c>
      <c r="D681" s="76" t="s">
        <v>902</v>
      </c>
      <c r="E681" s="79" t="s">
        <v>1297</v>
      </c>
      <c r="F681" s="79"/>
    </row>
    <row r="682" spans="1:6">
      <c r="A682" s="77">
        <f t="shared" ca="1" si="27"/>
        <v>45969</v>
      </c>
      <c r="B682" s="80">
        <f t="shared" ca="1" si="28"/>
        <v>45969.568411689812</v>
      </c>
      <c r="C682" s="76" t="s">
        <v>118</v>
      </c>
      <c r="D682" s="76" t="s">
        <v>902</v>
      </c>
      <c r="E682" s="79" t="s">
        <v>1165</v>
      </c>
      <c r="F682" s="79"/>
    </row>
    <row r="683" spans="1:6">
      <c r="A683" s="77">
        <f t="shared" ca="1" si="27"/>
        <v>45969</v>
      </c>
      <c r="B683" s="80">
        <f t="shared" ca="1" si="28"/>
        <v>45969.56855196759</v>
      </c>
      <c r="C683" s="76" t="s">
        <v>118</v>
      </c>
      <c r="D683" s="76" t="s">
        <v>902</v>
      </c>
      <c r="E683" s="79" t="s">
        <v>1298</v>
      </c>
      <c r="F683" s="79"/>
    </row>
    <row r="684" spans="1:6">
      <c r="A684" s="77">
        <f t="shared" ca="1" si="27"/>
        <v>45969</v>
      </c>
      <c r="B684" s="80">
        <f t="shared" ca="1" si="28"/>
        <v>45969.568692476852</v>
      </c>
      <c r="C684" s="76" t="s">
        <v>118</v>
      </c>
      <c r="D684" s="76" t="s">
        <v>902</v>
      </c>
      <c r="E684" s="79" t="s">
        <v>1026</v>
      </c>
      <c r="F684" s="79"/>
    </row>
    <row r="685" spans="1:6">
      <c r="A685" s="77">
        <f t="shared" ca="1" si="27"/>
        <v>45969</v>
      </c>
      <c r="B685" s="80">
        <f t="shared" ca="1" si="28"/>
        <v>45969.569042708332</v>
      </c>
      <c r="C685" s="76" t="s">
        <v>118</v>
      </c>
      <c r="D685" s="76" t="s">
        <v>902</v>
      </c>
      <c r="E685" s="79" t="s">
        <v>1026</v>
      </c>
      <c r="F685" s="79" t="s">
        <v>1299</v>
      </c>
    </row>
    <row r="686" spans="1:6">
      <c r="A686" s="77">
        <f t="shared" ca="1" si="27"/>
        <v>45969</v>
      </c>
      <c r="B686" s="80">
        <f t="shared" ca="1" si="28"/>
        <v>45969.570816782405</v>
      </c>
      <c r="C686" s="76" t="s">
        <v>118</v>
      </c>
      <c r="D686" s="76" t="s">
        <v>902</v>
      </c>
      <c r="E686" s="79" t="s">
        <v>1208</v>
      </c>
      <c r="F686" s="79"/>
    </row>
    <row r="687" spans="1:6">
      <c r="A687" s="77">
        <f t="shared" ca="1" si="27"/>
        <v>45969</v>
      </c>
      <c r="B687" s="80">
        <f t="shared" ca="1" si="28"/>
        <v>45969.575039004631</v>
      </c>
      <c r="C687" s="76" t="s">
        <v>118</v>
      </c>
      <c r="D687" s="76" t="s">
        <v>902</v>
      </c>
      <c r="E687" s="79" t="s">
        <v>1026</v>
      </c>
      <c r="F687" s="79"/>
    </row>
    <row r="688" spans="1:6">
      <c r="A688" s="77">
        <f t="shared" ca="1" si="27"/>
        <v>45969</v>
      </c>
      <c r="B688" s="80">
        <f t="shared" ca="1" si="28"/>
        <v>45969.578433333336</v>
      </c>
      <c r="C688" s="76" t="s">
        <v>118</v>
      </c>
      <c r="D688" s="76" t="s">
        <v>902</v>
      </c>
      <c r="E688" s="79" t="s">
        <v>1300</v>
      </c>
      <c r="F688" s="79"/>
    </row>
    <row r="689" spans="1:6">
      <c r="A689" s="77">
        <f t="shared" ca="1" si="27"/>
        <v>45969</v>
      </c>
      <c r="B689" s="80">
        <f t="shared" ca="1" si="28"/>
        <v>45969.581860532409</v>
      </c>
      <c r="C689" s="76" t="s">
        <v>118</v>
      </c>
      <c r="D689" s="76" t="s">
        <v>902</v>
      </c>
      <c r="E689" s="79" t="s">
        <v>1026</v>
      </c>
      <c r="F689" s="79"/>
    </row>
    <row r="690" spans="1:6">
      <c r="A690" s="77">
        <f t="shared" ca="1" si="27"/>
        <v>45969</v>
      </c>
      <c r="B690" s="80">
        <f t="shared" ca="1" si="28"/>
        <v>45969.581930787041</v>
      </c>
      <c r="C690" s="76" t="s">
        <v>118</v>
      </c>
      <c r="D690" s="76" t="s">
        <v>902</v>
      </c>
      <c r="E690" s="79" t="s">
        <v>1165</v>
      </c>
      <c r="F690" s="79"/>
    </row>
    <row r="691" spans="1:6">
      <c r="A691" s="77">
        <f t="shared" ref="A691:A700" ca="1" si="29">IF(C691&lt;&gt;0,IF(A691=0,TODAY(),A691),)</f>
        <v>45969</v>
      </c>
      <c r="B691" s="80">
        <f t="shared" ref="B691:B700" ca="1" si="30">IF(C691&lt;&gt;0,IF(B691=0,NOW(),B691),)</f>
        <v>45969.58361400463</v>
      </c>
      <c r="C691" s="76" t="s">
        <v>118</v>
      </c>
      <c r="D691" s="76" t="s">
        <v>902</v>
      </c>
      <c r="E691" s="79" t="s">
        <v>1234</v>
      </c>
      <c r="F691" s="79"/>
    </row>
    <row r="692" spans="1:6">
      <c r="A692" s="77">
        <f t="shared" ca="1" si="29"/>
        <v>45969</v>
      </c>
      <c r="B692" s="80">
        <f t="shared" ca="1" si="30"/>
        <v>45969.584144907407</v>
      </c>
      <c r="C692" s="76" t="s">
        <v>118</v>
      </c>
      <c r="D692" s="76" t="s">
        <v>902</v>
      </c>
      <c r="E692" s="79" t="s">
        <v>1165</v>
      </c>
      <c r="F692" s="79"/>
    </row>
    <row r="693" spans="1:6">
      <c r="A693" s="77">
        <f t="shared" ca="1" si="29"/>
        <v>45969</v>
      </c>
      <c r="B693" s="80">
        <f t="shared" ca="1" si="30"/>
        <v>45969.586153819444</v>
      </c>
      <c r="C693" s="76" t="s">
        <v>118</v>
      </c>
      <c r="D693" s="76" t="s">
        <v>902</v>
      </c>
      <c r="E693" s="79" t="s">
        <v>1301</v>
      </c>
      <c r="F693" s="79"/>
    </row>
    <row r="694" spans="1:6">
      <c r="A694" s="77">
        <f t="shared" ca="1" si="29"/>
        <v>45969</v>
      </c>
      <c r="B694" s="80">
        <f t="shared" ca="1" si="30"/>
        <v>45969.586469212962</v>
      </c>
      <c r="C694" s="76" t="s">
        <v>118</v>
      </c>
      <c r="D694" s="76" t="s">
        <v>902</v>
      </c>
      <c r="E694" s="79" t="s">
        <v>1302</v>
      </c>
      <c r="F694" s="79"/>
    </row>
    <row r="695" spans="1:6">
      <c r="A695" s="77">
        <f t="shared" ca="1" si="29"/>
        <v>45969</v>
      </c>
      <c r="B695" s="80">
        <f t="shared" ca="1" si="30"/>
        <v>45969.588698495369</v>
      </c>
      <c r="C695" s="76" t="s">
        <v>118</v>
      </c>
      <c r="D695" s="76" t="s">
        <v>902</v>
      </c>
      <c r="E695" s="79" t="s">
        <v>1303</v>
      </c>
      <c r="F695" s="79"/>
    </row>
    <row r="696" spans="1:6">
      <c r="A696" s="77">
        <f t="shared" ca="1" si="29"/>
        <v>45969</v>
      </c>
      <c r="B696" s="80">
        <f t="shared" ca="1" si="30"/>
        <v>45969.588961805559</v>
      </c>
      <c r="C696" s="76" t="s">
        <v>118</v>
      </c>
      <c r="D696" s="76" t="s">
        <v>902</v>
      </c>
      <c r="E696" s="79" t="s">
        <v>1026</v>
      </c>
      <c r="F696" s="79"/>
    </row>
    <row r="697" spans="1:6">
      <c r="A697" s="77">
        <f t="shared" ca="1" si="29"/>
        <v>45969</v>
      </c>
      <c r="B697" s="80">
        <f t="shared" ca="1" si="30"/>
        <v>45969.591851504629</v>
      </c>
      <c r="C697" s="76" t="s">
        <v>118</v>
      </c>
      <c r="D697" s="76" t="s">
        <v>902</v>
      </c>
      <c r="E697" s="79" t="s">
        <v>1181</v>
      </c>
      <c r="F697" s="79"/>
    </row>
    <row r="698" spans="1:6">
      <c r="A698" s="77">
        <f t="shared" ca="1" si="29"/>
        <v>45969</v>
      </c>
      <c r="B698" s="80">
        <f t="shared" ca="1" si="30"/>
        <v>45969.592673726853</v>
      </c>
      <c r="C698" s="76" t="s">
        <v>118</v>
      </c>
      <c r="D698" s="76" t="s">
        <v>902</v>
      </c>
      <c r="E698" s="79" t="s">
        <v>1304</v>
      </c>
      <c r="F698" s="79"/>
    </row>
    <row r="699" spans="1:6">
      <c r="A699" s="77">
        <f t="shared" ca="1" si="29"/>
        <v>45969</v>
      </c>
      <c r="B699" s="80">
        <f t="shared" ca="1" si="30"/>
        <v>45969.59271921296</v>
      </c>
      <c r="C699" s="76" t="s">
        <v>118</v>
      </c>
      <c r="D699" s="76" t="s">
        <v>902</v>
      </c>
      <c r="E699" s="79" t="s">
        <v>1300</v>
      </c>
      <c r="F699" s="79"/>
    </row>
    <row r="700" spans="1:6">
      <c r="A700" s="77">
        <f t="shared" ca="1" si="29"/>
        <v>45969</v>
      </c>
      <c r="B700" s="80">
        <f t="shared" ca="1" si="30"/>
        <v>45969.593371643517</v>
      </c>
      <c r="C700" s="76" t="s">
        <v>118</v>
      </c>
      <c r="D700" s="76" t="s">
        <v>902</v>
      </c>
      <c r="E700" s="79" t="s">
        <v>1305</v>
      </c>
      <c r="F700" s="79"/>
    </row>
    <row r="701" spans="1:6">
      <c r="A701" s="77">
        <f t="shared" ref="A701:A706" ca="1" si="31">IF(C701&lt;&gt;0,IF(A701=0,TODAY(),A701),)</f>
        <v>45969</v>
      </c>
      <c r="B701" s="80">
        <f t="shared" ref="B701:B706" ca="1" si="32">IF(C701&lt;&gt;0,IF(B701=0,NOW(),B701),)</f>
        <v>45969.59677974537</v>
      </c>
      <c r="C701" s="76" t="s">
        <v>118</v>
      </c>
      <c r="D701" s="76" t="s">
        <v>902</v>
      </c>
      <c r="E701" s="79" t="s">
        <v>1298</v>
      </c>
      <c r="F701" s="79"/>
    </row>
    <row r="702" spans="1:6">
      <c r="A702" s="77">
        <f t="shared" ca="1" si="31"/>
        <v>45969</v>
      </c>
      <c r="B702" s="80">
        <f t="shared" ca="1" si="32"/>
        <v>45969.598103472221</v>
      </c>
      <c r="C702" s="76" t="s">
        <v>118</v>
      </c>
      <c r="D702" s="76" t="s">
        <v>902</v>
      </c>
      <c r="E702" s="79" t="s">
        <v>1234</v>
      </c>
      <c r="F702" s="79"/>
    </row>
    <row r="703" spans="1:6">
      <c r="A703" s="77">
        <f t="shared" ca="1" si="31"/>
        <v>45969</v>
      </c>
      <c r="B703" s="80">
        <f t="shared" ca="1" si="32"/>
        <v>45969.60015648148</v>
      </c>
      <c r="C703" s="76" t="s">
        <v>118</v>
      </c>
      <c r="D703" s="76" t="s">
        <v>902</v>
      </c>
      <c r="E703" s="79" t="s">
        <v>1234</v>
      </c>
      <c r="F703" s="79"/>
    </row>
    <row r="704" spans="1:6">
      <c r="A704" s="77">
        <f t="shared" ca="1" si="31"/>
        <v>45969</v>
      </c>
      <c r="B704" s="80">
        <f t="shared" ca="1" si="32"/>
        <v>45969.600397569448</v>
      </c>
      <c r="C704" s="76" t="s">
        <v>118</v>
      </c>
      <c r="D704" s="76" t="s">
        <v>902</v>
      </c>
      <c r="E704" s="79" t="s">
        <v>1165</v>
      </c>
      <c r="F704" s="79"/>
    </row>
    <row r="705" spans="1:7">
      <c r="A705" s="77">
        <f t="shared" ca="1" si="31"/>
        <v>45969</v>
      </c>
      <c r="B705" s="80">
        <f t="shared" ca="1" si="32"/>
        <v>45969.602810532408</v>
      </c>
      <c r="C705" s="76" t="s">
        <v>118</v>
      </c>
      <c r="D705" s="76" t="s">
        <v>902</v>
      </c>
      <c r="E705" s="79" t="s">
        <v>1239</v>
      </c>
      <c r="F705" s="79"/>
    </row>
    <row r="706" spans="1:7">
      <c r="A706" s="77">
        <f t="shared" ca="1" si="31"/>
        <v>45969</v>
      </c>
      <c r="B706" s="80">
        <f t="shared" ca="1" si="32"/>
        <v>45969.603016666668</v>
      </c>
      <c r="C706" s="76" t="s">
        <v>118</v>
      </c>
      <c r="D706" s="76" t="s">
        <v>902</v>
      </c>
      <c r="E706" s="79" t="s">
        <v>1306</v>
      </c>
      <c r="F706" s="79"/>
    </row>
    <row r="707" spans="1:7">
      <c r="A707" s="77">
        <f t="shared" ref="A707:A708" ca="1" si="33">IF(C707&lt;&gt;0,IF(A707=0,TODAY(),A707),)</f>
        <v>45969</v>
      </c>
      <c r="B707" s="80">
        <f t="shared" ref="B707:B708" ca="1" si="34">IF(C707&lt;&gt;0,IF(B707=0,NOW(),B707),)</f>
        <v>45969.604166087964</v>
      </c>
      <c r="C707" s="76" t="s">
        <v>118</v>
      </c>
      <c r="D707" s="76" t="s">
        <v>902</v>
      </c>
      <c r="E707" s="79" t="s">
        <v>1307</v>
      </c>
      <c r="F707" s="79" t="s">
        <v>1272</v>
      </c>
    </row>
    <row r="708" spans="1:7">
      <c r="A708" s="77">
        <f t="shared" ca="1" si="33"/>
        <v>45969</v>
      </c>
      <c r="B708" s="80">
        <f t="shared" ca="1" si="34"/>
        <v>45969.606194907406</v>
      </c>
      <c r="C708" s="76" t="s">
        <v>118</v>
      </c>
      <c r="D708" s="210" t="s">
        <v>922</v>
      </c>
      <c r="E708" s="79"/>
      <c r="F708" s="79"/>
    </row>
    <row r="709" spans="1:7">
      <c r="A709" s="77">
        <f t="shared" ref="A709:A710" ca="1" si="35">IF(C709&lt;&gt;0,IF(A709=0,TODAY(),A709),)</f>
        <v>45969</v>
      </c>
      <c r="B709" s="80">
        <f t="shared" ref="B709:B710" ca="1" si="36">IF(C709&lt;&gt;0,IF(B709=0,NOW(),B709),)</f>
        <v>45969.614638888888</v>
      </c>
      <c r="C709" s="76" t="s">
        <v>118</v>
      </c>
      <c r="D709" s="210" t="s">
        <v>1098</v>
      </c>
      <c r="E709" s="79"/>
      <c r="F709" s="79"/>
    </row>
    <row r="710" spans="1:7">
      <c r="A710" s="77">
        <f t="shared" ca="1" si="35"/>
        <v>45969</v>
      </c>
      <c r="B710" s="80">
        <f t="shared" ca="1" si="36"/>
        <v>45969.640686458333</v>
      </c>
      <c r="C710" s="76" t="s">
        <v>84</v>
      </c>
      <c r="D710" s="210" t="s">
        <v>906</v>
      </c>
      <c r="E710" s="79"/>
      <c r="F710" s="79"/>
      <c r="G710" s="79" t="s">
        <v>1308</v>
      </c>
    </row>
    <row r="711" spans="1:7">
      <c r="A711" s="77">
        <f t="shared" ref="A711:A721" ca="1" si="37">IF(C711&lt;&gt;0,IF(A711=0,TODAY(),A711),)</f>
        <v>45970</v>
      </c>
      <c r="B711" s="80">
        <f t="shared" ref="B711:B721" ca="1" si="38">IF(C711&lt;&gt;0,IF(B711=0,NOW(),B711),)</f>
        <v>45970.012433912038</v>
      </c>
      <c r="C711" s="76" t="s">
        <v>125</v>
      </c>
      <c r="D711" s="210" t="s">
        <v>906</v>
      </c>
      <c r="E711" s="79"/>
      <c r="F711" s="79"/>
    </row>
    <row r="712" spans="1:7">
      <c r="A712" s="77">
        <f t="shared" ca="1" si="37"/>
        <v>45970</v>
      </c>
      <c r="B712" s="80">
        <f t="shared" ca="1" si="38"/>
        <v>45970.044473263886</v>
      </c>
      <c r="C712" s="76" t="s">
        <v>125</v>
      </c>
      <c r="D712" s="210" t="s">
        <v>909</v>
      </c>
      <c r="E712" s="79"/>
      <c r="F712" s="79"/>
    </row>
    <row r="713" spans="1:7">
      <c r="A713" s="77">
        <f t="shared" ca="1" si="37"/>
        <v>45970</v>
      </c>
      <c r="B713" s="80">
        <f t="shared" ca="1" si="38"/>
        <v>45970.046109374998</v>
      </c>
      <c r="C713" s="76" t="s">
        <v>125</v>
      </c>
      <c r="D713" s="76" t="s">
        <v>902</v>
      </c>
      <c r="E713" s="79" t="s">
        <v>1309</v>
      </c>
      <c r="F713" s="79"/>
    </row>
    <row r="714" spans="1:7">
      <c r="A714" s="77">
        <f t="shared" ca="1" si="37"/>
        <v>45970</v>
      </c>
      <c r="B714" s="80">
        <f t="shared" ca="1" si="38"/>
        <v>45970.063246412035</v>
      </c>
      <c r="C714" s="76" t="s">
        <v>125</v>
      </c>
      <c r="D714" s="150" t="s">
        <v>1070</v>
      </c>
      <c r="E714" s="79" t="s">
        <v>1310</v>
      </c>
      <c r="F714" s="79"/>
    </row>
    <row r="715" spans="1:7">
      <c r="A715" s="77">
        <f t="shared" ca="1" si="37"/>
        <v>45970</v>
      </c>
      <c r="B715" s="80">
        <f t="shared" ca="1" si="38"/>
        <v>45970.071941782408</v>
      </c>
      <c r="C715" s="76" t="s">
        <v>125</v>
      </c>
      <c r="D715" s="76" t="s">
        <v>902</v>
      </c>
      <c r="E715" s="79" t="s">
        <v>1311</v>
      </c>
      <c r="F715" s="79"/>
    </row>
    <row r="716" spans="1:7">
      <c r="A716" s="77">
        <f t="shared" ca="1" si="37"/>
        <v>45970</v>
      </c>
      <c r="B716" s="80">
        <f t="shared" ca="1" si="38"/>
        <v>45970.075918750001</v>
      </c>
      <c r="C716" s="76" t="s">
        <v>125</v>
      </c>
      <c r="D716" s="76" t="s">
        <v>902</v>
      </c>
      <c r="E716" s="79" t="s">
        <v>1311</v>
      </c>
      <c r="F716" s="79"/>
    </row>
    <row r="717" spans="1:7">
      <c r="A717" s="77">
        <f t="shared" ca="1" si="37"/>
        <v>45970</v>
      </c>
      <c r="B717" s="80">
        <f t="shared" ca="1" si="38"/>
        <v>45970.078965046298</v>
      </c>
      <c r="C717" s="76" t="s">
        <v>125</v>
      </c>
      <c r="D717" s="76" t="s">
        <v>902</v>
      </c>
      <c r="E717" s="79" t="s">
        <v>1311</v>
      </c>
      <c r="F717" s="79"/>
    </row>
    <row r="718" spans="1:7">
      <c r="A718" s="77">
        <f t="shared" ca="1" si="37"/>
        <v>45970</v>
      </c>
      <c r="B718" s="80">
        <f t="shared" ca="1" si="38"/>
        <v>45970.082105324072</v>
      </c>
      <c r="C718" s="76" t="s">
        <v>125</v>
      </c>
      <c r="D718" s="76" t="s">
        <v>902</v>
      </c>
      <c r="E718" s="79" t="s">
        <v>1311</v>
      </c>
      <c r="F718" s="79"/>
    </row>
    <row r="719" spans="1:7">
      <c r="A719" s="77">
        <f t="shared" ca="1" si="37"/>
        <v>45970</v>
      </c>
      <c r="B719" s="80">
        <f t="shared" ca="1" si="38"/>
        <v>45970.085108796295</v>
      </c>
      <c r="C719" s="76" t="s">
        <v>125</v>
      </c>
      <c r="D719" s="76" t="s">
        <v>902</v>
      </c>
      <c r="E719" s="79" t="s">
        <v>1311</v>
      </c>
      <c r="F719" s="79"/>
    </row>
    <row r="720" spans="1:7">
      <c r="A720" s="77">
        <f t="shared" ca="1" si="37"/>
        <v>45970</v>
      </c>
      <c r="B720" s="80">
        <f t="shared" ca="1" si="38"/>
        <v>45970.095416898148</v>
      </c>
      <c r="C720" s="76" t="s">
        <v>125</v>
      </c>
      <c r="D720" s="76" t="s">
        <v>902</v>
      </c>
      <c r="E720" s="79" t="s">
        <v>1311</v>
      </c>
      <c r="F720" s="79"/>
    </row>
    <row r="721" spans="1:6">
      <c r="A721" s="77">
        <f t="shared" ca="1" si="37"/>
        <v>45970</v>
      </c>
      <c r="B721" s="80">
        <f t="shared" ca="1" si="38"/>
        <v>45970.097260879629</v>
      </c>
      <c r="C721" s="76" t="s">
        <v>125</v>
      </c>
      <c r="D721" s="76" t="s">
        <v>902</v>
      </c>
      <c r="E721" s="79" t="s">
        <v>1311</v>
      </c>
      <c r="F721" s="79"/>
    </row>
    <row r="722" spans="1:6">
      <c r="A722" s="77">
        <f t="shared" ref="A722:A729" ca="1" si="39">IF(C722&lt;&gt;0,IF(A722=0,TODAY(),A722),)</f>
        <v>45970</v>
      </c>
      <c r="B722" s="80">
        <f t="shared" ref="B722:B729" ca="1" si="40">IF(C722&lt;&gt;0,IF(B722=0,NOW(),B722),)</f>
        <v>45970.107862847224</v>
      </c>
      <c r="C722" s="76" t="s">
        <v>125</v>
      </c>
      <c r="D722" s="76" t="s">
        <v>902</v>
      </c>
      <c r="E722" s="79" t="s">
        <v>1311</v>
      </c>
      <c r="F722" s="79"/>
    </row>
    <row r="723" spans="1:6">
      <c r="A723" s="77">
        <f t="shared" ca="1" si="39"/>
        <v>45970</v>
      </c>
      <c r="B723" s="80">
        <f t="shared" ca="1" si="40"/>
        <v>45970.109519907404</v>
      </c>
      <c r="C723" s="76" t="s">
        <v>125</v>
      </c>
      <c r="D723" s="210" t="s">
        <v>922</v>
      </c>
      <c r="E723" s="79"/>
      <c r="F723" s="79"/>
    </row>
    <row r="724" spans="1:6">
      <c r="A724" s="77">
        <f t="shared" ca="1" si="39"/>
        <v>45970</v>
      </c>
      <c r="B724" s="80">
        <f t="shared" ca="1" si="40"/>
        <v>45970.164809490743</v>
      </c>
      <c r="C724" s="76" t="s">
        <v>125</v>
      </c>
      <c r="E724" s="79"/>
      <c r="F724" s="79"/>
    </row>
    <row r="725" spans="1:6">
      <c r="A725" s="77">
        <f t="shared" ca="1" si="39"/>
        <v>45970</v>
      </c>
      <c r="B725" s="80">
        <f t="shared" ca="1" si="40"/>
        <v>45970.16489270833</v>
      </c>
      <c r="C725" s="76" t="s">
        <v>129</v>
      </c>
      <c r="D725" s="210" t="s">
        <v>909</v>
      </c>
      <c r="E725" s="79"/>
      <c r="F725" s="79"/>
    </row>
    <row r="726" spans="1:6">
      <c r="A726" s="77">
        <f t="shared" ca="1" si="39"/>
        <v>45970</v>
      </c>
      <c r="B726" s="80">
        <f t="shared" ca="1" si="40"/>
        <v>45970.169114583332</v>
      </c>
      <c r="C726" s="76" t="s">
        <v>129</v>
      </c>
      <c r="D726" s="76" t="s">
        <v>902</v>
      </c>
      <c r="E726" s="79" t="s">
        <v>1312</v>
      </c>
      <c r="F726" s="79"/>
    </row>
    <row r="727" spans="1:6">
      <c r="A727" s="77">
        <f t="shared" ca="1" si="39"/>
        <v>45970</v>
      </c>
      <c r="B727" s="80">
        <f t="shared" ca="1" si="40"/>
        <v>45970.170840393519</v>
      </c>
      <c r="C727" s="76" t="s">
        <v>129</v>
      </c>
      <c r="D727" s="76" t="s">
        <v>902</v>
      </c>
      <c r="E727" s="79" t="s">
        <v>1313</v>
      </c>
      <c r="F727" s="79"/>
    </row>
    <row r="728" spans="1:6">
      <c r="A728" s="77">
        <f t="shared" ca="1" si="39"/>
        <v>45970</v>
      </c>
      <c r="B728" s="80">
        <f t="shared" ca="1" si="40"/>
        <v>45970.172920717596</v>
      </c>
      <c r="C728" s="76" t="s">
        <v>129</v>
      </c>
      <c r="D728" s="76" t="s">
        <v>902</v>
      </c>
      <c r="E728" s="79" t="s">
        <v>1313</v>
      </c>
      <c r="F728" s="79"/>
    </row>
    <row r="729" spans="1:6">
      <c r="A729" s="77">
        <f t="shared" ca="1" si="39"/>
        <v>45970</v>
      </c>
      <c r="B729" s="80">
        <f t="shared" ca="1" si="40"/>
        <v>45970.173423495369</v>
      </c>
      <c r="C729" s="76" t="s">
        <v>129</v>
      </c>
      <c r="D729" s="76" t="s">
        <v>902</v>
      </c>
      <c r="E729" s="79" t="s">
        <v>1313</v>
      </c>
      <c r="F729" s="79"/>
    </row>
    <row r="730" spans="1:6">
      <c r="A730" s="77">
        <f t="shared" ref="A730:A738" ca="1" si="41">IF(C730&lt;&gt;0,IF(A730=0,TODAY(),A730),)</f>
        <v>45970</v>
      </c>
      <c r="B730" s="80">
        <f t="shared" ref="B730:B738" ca="1" si="42">IF(C730&lt;&gt;0,IF(B730=0,NOW(),B730),)</f>
        <v>45970.174146180558</v>
      </c>
      <c r="C730" s="76" t="s">
        <v>129</v>
      </c>
      <c r="D730" s="76" t="s">
        <v>902</v>
      </c>
      <c r="E730" s="79" t="s">
        <v>1313</v>
      </c>
      <c r="F730" s="79"/>
    </row>
    <row r="731" spans="1:6">
      <c r="A731" s="77">
        <f t="shared" ca="1" si="41"/>
        <v>45970</v>
      </c>
      <c r="B731" s="80">
        <f t="shared" ca="1" si="42"/>
        <v>45970.174729050923</v>
      </c>
      <c r="C731" s="76" t="s">
        <v>129</v>
      </c>
      <c r="D731" s="76" t="s">
        <v>902</v>
      </c>
      <c r="E731" s="79" t="s">
        <v>1313</v>
      </c>
      <c r="F731" s="79"/>
    </row>
    <row r="732" spans="1:6">
      <c r="A732" s="77">
        <f t="shared" ca="1" si="41"/>
        <v>45970</v>
      </c>
      <c r="B732" s="80">
        <f t="shared" ca="1" si="42"/>
        <v>45970.176496064814</v>
      </c>
      <c r="C732" s="76" t="s">
        <v>129</v>
      </c>
      <c r="D732" s="76" t="s">
        <v>902</v>
      </c>
      <c r="E732" s="79" t="s">
        <v>1100</v>
      </c>
      <c r="F732" s="79"/>
    </row>
    <row r="733" spans="1:6">
      <c r="A733" s="77">
        <f t="shared" ca="1" si="41"/>
        <v>45970</v>
      </c>
      <c r="B733" s="80">
        <f t="shared" ca="1" si="42"/>
        <v>45970.177390740741</v>
      </c>
      <c r="C733" s="76" t="s">
        <v>129</v>
      </c>
      <c r="D733" s="76" t="s">
        <v>902</v>
      </c>
      <c r="E733" s="79" t="s">
        <v>1313</v>
      </c>
      <c r="F733" s="79"/>
    </row>
    <row r="734" spans="1:6">
      <c r="A734" s="77">
        <f t="shared" ca="1" si="41"/>
        <v>45970</v>
      </c>
      <c r="B734" s="80">
        <f t="shared" ca="1" si="42"/>
        <v>45970.177998726853</v>
      </c>
      <c r="C734" s="76" t="s">
        <v>129</v>
      </c>
      <c r="D734" s="76" t="s">
        <v>902</v>
      </c>
      <c r="E734" s="79" t="s">
        <v>1314</v>
      </c>
      <c r="F734" s="79"/>
    </row>
    <row r="735" spans="1:6">
      <c r="A735" s="77">
        <f t="shared" ca="1" si="41"/>
        <v>45970</v>
      </c>
      <c r="B735" s="80">
        <f t="shared" ca="1" si="42"/>
        <v>45970.178611342591</v>
      </c>
      <c r="C735" s="76" t="s">
        <v>129</v>
      </c>
      <c r="D735" s="76" t="s">
        <v>902</v>
      </c>
      <c r="E735" s="79" t="s">
        <v>1313</v>
      </c>
      <c r="F735" s="79"/>
    </row>
    <row r="736" spans="1:6">
      <c r="A736" s="77">
        <f t="shared" ca="1" si="41"/>
        <v>45970</v>
      </c>
      <c r="B736" s="80">
        <f t="shared" ca="1" si="42"/>
        <v>45970.178738078706</v>
      </c>
      <c r="C736" s="76" t="s">
        <v>129</v>
      </c>
      <c r="D736" s="76" t="s">
        <v>902</v>
      </c>
      <c r="E736" s="79" t="s">
        <v>1100</v>
      </c>
      <c r="F736" s="79"/>
    </row>
    <row r="737" spans="1:7">
      <c r="A737" s="77">
        <f t="shared" ca="1" si="41"/>
        <v>45970</v>
      </c>
      <c r="B737" s="80">
        <f t="shared" ca="1" si="42"/>
        <v>45970.179232291666</v>
      </c>
      <c r="C737" s="76" t="s">
        <v>129</v>
      </c>
      <c r="D737" s="76" t="s">
        <v>902</v>
      </c>
      <c r="E737" s="79" t="s">
        <v>1313</v>
      </c>
      <c r="F737" s="79"/>
    </row>
    <row r="738" spans="1:7">
      <c r="A738" s="77">
        <f t="shared" ca="1" si="41"/>
        <v>45970</v>
      </c>
      <c r="B738" s="80">
        <f t="shared" ca="1" si="42"/>
        <v>45970.180705671293</v>
      </c>
      <c r="C738" s="76" t="s">
        <v>129</v>
      </c>
      <c r="D738" s="76" t="s">
        <v>902</v>
      </c>
      <c r="E738" s="79" t="s">
        <v>1100</v>
      </c>
      <c r="F738" s="79"/>
    </row>
    <row r="739" spans="1:7">
      <c r="A739" s="77">
        <f t="shared" ref="A739:A743" ca="1" si="43">IF(C739&lt;&gt;0,IF(A739=0,TODAY(),A739),)</f>
        <v>45970</v>
      </c>
      <c r="B739" s="80">
        <f t="shared" ref="B739:B743" ca="1" si="44">IF(C739&lt;&gt;0,IF(B739=0,NOW(),B739),)</f>
        <v>45970.181006944447</v>
      </c>
      <c r="C739" s="76" t="s">
        <v>129</v>
      </c>
      <c r="D739" s="76" t="s">
        <v>902</v>
      </c>
      <c r="E739" s="79" t="s">
        <v>1313</v>
      </c>
      <c r="F739" s="79"/>
    </row>
    <row r="740" spans="1:7">
      <c r="A740" s="77">
        <f t="shared" ca="1" si="43"/>
        <v>45970</v>
      </c>
      <c r="B740" s="80">
        <f t="shared" ca="1" si="44"/>
        <v>45970.181392013888</v>
      </c>
      <c r="C740" s="76" t="s">
        <v>129</v>
      </c>
      <c r="D740" s="76" t="s">
        <v>902</v>
      </c>
      <c r="E740" s="79" t="s">
        <v>1313</v>
      </c>
      <c r="F740" s="79"/>
    </row>
    <row r="741" spans="1:7">
      <c r="A741" s="77">
        <f t="shared" ca="1" si="43"/>
        <v>45970</v>
      </c>
      <c r="B741" s="80">
        <f t="shared" ca="1" si="44"/>
        <v>45970.190262615739</v>
      </c>
      <c r="C741" s="76" t="s">
        <v>129</v>
      </c>
      <c r="D741" s="76" t="s">
        <v>902</v>
      </c>
      <c r="E741" s="79" t="s">
        <v>1100</v>
      </c>
      <c r="F741" s="79"/>
    </row>
    <row r="742" spans="1:7">
      <c r="A742" s="77">
        <f t="shared" ca="1" si="43"/>
        <v>45970</v>
      </c>
      <c r="B742" s="80">
        <f t="shared" ca="1" si="44"/>
        <v>45970.200690625003</v>
      </c>
      <c r="C742" s="76" t="s">
        <v>129</v>
      </c>
      <c r="D742" s="76" t="s">
        <v>902</v>
      </c>
      <c r="E742" s="79" t="s">
        <v>1312</v>
      </c>
      <c r="F742" s="79"/>
    </row>
    <row r="743" spans="1:7">
      <c r="A743" s="77">
        <f t="shared" ca="1" si="43"/>
        <v>45970</v>
      </c>
      <c r="B743" s="80">
        <f t="shared" ca="1" si="44"/>
        <v>45970.204918402778</v>
      </c>
      <c r="C743" s="76" t="s">
        <v>129</v>
      </c>
      <c r="D743" s="76" t="s">
        <v>902</v>
      </c>
      <c r="E743" s="79" t="s">
        <v>1100</v>
      </c>
      <c r="F743" s="79"/>
    </row>
    <row r="744" spans="1:7">
      <c r="A744" s="77">
        <f t="shared" ref="A744:A753" ca="1" si="45">IF(C744&lt;&gt;0,IF(A744=0,TODAY(),A744),)</f>
        <v>45970</v>
      </c>
      <c r="B744" s="80">
        <f t="shared" ref="B744:B753" ca="1" si="46">IF(C744&lt;&gt;0,IF(B744=0,NOW(),B744),)</f>
        <v>45970.206623032405</v>
      </c>
      <c r="C744" s="76" t="s">
        <v>129</v>
      </c>
      <c r="D744" s="150" t="s">
        <v>1007</v>
      </c>
      <c r="E744" s="79" t="s">
        <v>1315</v>
      </c>
      <c r="F744" s="79"/>
      <c r="G744" s="79" t="s">
        <v>1316</v>
      </c>
    </row>
    <row r="745" spans="1:7">
      <c r="A745" s="77">
        <f t="shared" ca="1" si="45"/>
        <v>45970</v>
      </c>
      <c r="B745" s="80">
        <f t="shared" ca="1" si="46"/>
        <v>45970.212950810186</v>
      </c>
      <c r="C745" s="76" t="s">
        <v>129</v>
      </c>
      <c r="D745" s="210" t="s">
        <v>922</v>
      </c>
      <c r="E745" s="79"/>
      <c r="F745" s="79"/>
    </row>
    <row r="746" spans="1:7">
      <c r="A746" s="77">
        <f t="shared" ca="1" si="45"/>
        <v>45970</v>
      </c>
      <c r="B746" s="80">
        <f t="shared" ca="1" si="46"/>
        <v>45970.289378472226</v>
      </c>
      <c r="C746" s="76" t="s">
        <v>132</v>
      </c>
      <c r="D746" s="210" t="s">
        <v>906</v>
      </c>
      <c r="E746" s="79" t="s">
        <v>1317</v>
      </c>
      <c r="F746" s="79"/>
    </row>
    <row r="747" spans="1:7">
      <c r="A747" s="77">
        <f t="shared" ca="1" si="45"/>
        <v>45970</v>
      </c>
      <c r="B747" s="80">
        <f t="shared" ca="1" si="46"/>
        <v>45970.313245949073</v>
      </c>
      <c r="C747" s="76" t="s">
        <v>132</v>
      </c>
      <c r="D747" s="76" t="s">
        <v>902</v>
      </c>
      <c r="E747" s="79"/>
      <c r="F747" s="79"/>
      <c r="G747" s="79" t="s">
        <v>1318</v>
      </c>
    </row>
    <row r="748" spans="1:7">
      <c r="A748" s="77">
        <f t="shared" ca="1" si="45"/>
        <v>45970</v>
      </c>
      <c r="B748" s="80">
        <f t="shared" ca="1" si="46"/>
        <v>45970.33086840278</v>
      </c>
      <c r="C748" s="76" t="s">
        <v>132</v>
      </c>
      <c r="D748" s="210" t="s">
        <v>1098</v>
      </c>
      <c r="E748" s="79"/>
      <c r="F748" s="79"/>
      <c r="G748" s="79" t="s">
        <v>1319</v>
      </c>
    </row>
    <row r="749" spans="1:7">
      <c r="A749" s="77">
        <f t="shared" ca="1" si="45"/>
        <v>45970</v>
      </c>
      <c r="B749" s="80">
        <f t="shared" ca="1" si="46"/>
        <v>45970.358459606483</v>
      </c>
      <c r="C749" s="76" t="s">
        <v>132</v>
      </c>
      <c r="D749" s="210" t="s">
        <v>906</v>
      </c>
      <c r="E749" s="79"/>
      <c r="F749" s="79"/>
    </row>
    <row r="750" spans="1:7">
      <c r="A750" s="77">
        <f t="shared" ca="1" si="45"/>
        <v>45970</v>
      </c>
      <c r="B750" s="80">
        <f t="shared" ca="1" si="46"/>
        <v>45970.393344444441</v>
      </c>
      <c r="C750" s="76" t="s">
        <v>132</v>
      </c>
      <c r="D750" s="210" t="s">
        <v>909</v>
      </c>
      <c r="E750" s="79"/>
      <c r="F750" s="79"/>
    </row>
    <row r="751" spans="1:7">
      <c r="A751" s="77">
        <f t="shared" ca="1" si="45"/>
        <v>45970</v>
      </c>
      <c r="B751" s="80">
        <f t="shared" ca="1" si="46"/>
        <v>45970.391501736114</v>
      </c>
      <c r="C751" s="76" t="s">
        <v>132</v>
      </c>
      <c r="D751" s="76" t="s">
        <v>902</v>
      </c>
      <c r="E751" s="88" t="s">
        <v>1320</v>
      </c>
      <c r="F751" s="79"/>
    </row>
    <row r="752" spans="1:7">
      <c r="A752" s="77">
        <f t="shared" ca="1" si="45"/>
        <v>45970</v>
      </c>
      <c r="B752" s="80">
        <f t="shared" ca="1" si="46"/>
        <v>45970.394234953703</v>
      </c>
      <c r="C752" s="76" t="s">
        <v>132</v>
      </c>
      <c r="D752" s="76" t="s">
        <v>902</v>
      </c>
      <c r="E752" s="88" t="s">
        <v>1321</v>
      </c>
      <c r="F752" s="79"/>
    </row>
    <row r="753" spans="1:7">
      <c r="A753" s="77">
        <f t="shared" ca="1" si="45"/>
        <v>45970</v>
      </c>
      <c r="B753" s="80">
        <f t="shared" ca="1" si="46"/>
        <v>45970.394337847225</v>
      </c>
      <c r="C753" s="76" t="s">
        <v>132</v>
      </c>
      <c r="D753" s="76" t="s">
        <v>902</v>
      </c>
      <c r="E753" s="79" t="s">
        <v>1012</v>
      </c>
      <c r="F753" s="79"/>
    </row>
    <row r="754" spans="1:7">
      <c r="A754" s="77">
        <f t="shared" ref="A754:A770" ca="1" si="47">IF(C754&lt;&gt;0,IF(A754=0,TODAY(),A754),)</f>
        <v>45970</v>
      </c>
      <c r="B754" s="80">
        <f t="shared" ref="B754:B770" ca="1" si="48">IF(C754&lt;&gt;0,IF(B754=0,NOW(),B754),)</f>
        <v>45970.394745138889</v>
      </c>
      <c r="C754" s="76" t="s">
        <v>132</v>
      </c>
      <c r="D754" s="76" t="s">
        <v>902</v>
      </c>
      <c r="E754" s="79" t="s">
        <v>1012</v>
      </c>
      <c r="F754" s="79"/>
    </row>
    <row r="755" spans="1:7">
      <c r="A755" s="77">
        <f t="shared" ca="1" si="47"/>
        <v>45970</v>
      </c>
      <c r="B755" s="80">
        <f t="shared" ca="1" si="48"/>
        <v>45970.396405324071</v>
      </c>
      <c r="C755" s="76" t="s">
        <v>132</v>
      </c>
      <c r="D755" s="76" t="s">
        <v>902</v>
      </c>
      <c r="E755" s="79" t="s">
        <v>1322</v>
      </c>
      <c r="F755" s="79"/>
      <c r="G755" s="79" t="s">
        <v>1323</v>
      </c>
    </row>
    <row r="756" spans="1:7">
      <c r="A756" s="77">
        <f t="shared" ca="1" si="47"/>
        <v>45970</v>
      </c>
      <c r="B756" s="80">
        <f t="shared" ca="1" si="48"/>
        <v>45970.402469444445</v>
      </c>
      <c r="C756" s="76" t="s">
        <v>132</v>
      </c>
      <c r="D756" s="76" t="s">
        <v>902</v>
      </c>
      <c r="E756" s="89" t="s">
        <v>1324</v>
      </c>
      <c r="F756" s="79"/>
    </row>
    <row r="757" spans="1:7">
      <c r="A757" s="77">
        <f t="shared" ca="1" si="47"/>
        <v>45970</v>
      </c>
      <c r="B757" s="80">
        <f t="shared" ca="1" si="48"/>
        <v>45970.407979050928</v>
      </c>
      <c r="C757" s="76" t="s">
        <v>132</v>
      </c>
      <c r="D757" s="76" t="s">
        <v>902</v>
      </c>
      <c r="E757" s="79" t="s">
        <v>1325</v>
      </c>
      <c r="F757" s="79"/>
    </row>
    <row r="758" spans="1:7">
      <c r="A758" s="77">
        <f t="shared" ca="1" si="47"/>
        <v>45970</v>
      </c>
      <c r="B758" s="80">
        <f t="shared" ca="1" si="48"/>
        <v>45970.408803935185</v>
      </c>
      <c r="C758" s="76" t="s">
        <v>132</v>
      </c>
      <c r="D758" s="76" t="s">
        <v>902</v>
      </c>
      <c r="E758" s="79" t="s">
        <v>1326</v>
      </c>
      <c r="F758" s="79"/>
    </row>
    <row r="759" spans="1:7">
      <c r="A759" s="77">
        <f t="shared" ca="1" si="47"/>
        <v>45970</v>
      </c>
      <c r="B759" s="80">
        <f t="shared" ca="1" si="48"/>
        <v>45970.420850578703</v>
      </c>
      <c r="C759" s="76" t="s">
        <v>132</v>
      </c>
      <c r="D759" s="76" t="s">
        <v>902</v>
      </c>
      <c r="E759" s="79" t="s">
        <v>1012</v>
      </c>
      <c r="F759" s="79"/>
    </row>
    <row r="760" spans="1:7">
      <c r="A760" s="77">
        <f t="shared" ca="1" si="47"/>
        <v>45970</v>
      </c>
      <c r="B760" s="80">
        <f t="shared" ca="1" si="48"/>
        <v>45970.421028703706</v>
      </c>
      <c r="C760" s="76" t="s">
        <v>132</v>
      </c>
      <c r="D760" s="76" t="s">
        <v>902</v>
      </c>
      <c r="E760" s="79" t="s">
        <v>1012</v>
      </c>
      <c r="F760" s="79"/>
    </row>
    <row r="761" spans="1:7">
      <c r="A761" s="77">
        <f t="shared" ca="1" si="47"/>
        <v>45970</v>
      </c>
      <c r="B761" s="80">
        <f t="shared" ca="1" si="48"/>
        <v>45970.421364930553</v>
      </c>
      <c r="C761" s="76" t="s">
        <v>132</v>
      </c>
      <c r="D761" s="76" t="s">
        <v>902</v>
      </c>
      <c r="E761" s="89" t="s">
        <v>1327</v>
      </c>
      <c r="F761" s="79"/>
    </row>
    <row r="762" spans="1:7">
      <c r="A762" s="77">
        <f t="shared" ca="1" si="47"/>
        <v>45970</v>
      </c>
      <c r="B762" s="80">
        <f t="shared" ca="1" si="48"/>
        <v>45970.422193287035</v>
      </c>
      <c r="C762" s="76" t="s">
        <v>132</v>
      </c>
      <c r="D762" s="76" t="s">
        <v>902</v>
      </c>
      <c r="E762" s="89" t="s">
        <v>1324</v>
      </c>
      <c r="F762" s="79"/>
    </row>
    <row r="763" spans="1:7">
      <c r="A763" s="77">
        <f t="shared" ca="1" si="47"/>
        <v>45970</v>
      </c>
      <c r="B763" s="80">
        <f t="shared" ca="1" si="48"/>
        <v>45970.422415856483</v>
      </c>
      <c r="C763" s="76" t="s">
        <v>132</v>
      </c>
      <c r="D763" s="76" t="s">
        <v>902</v>
      </c>
      <c r="E763" s="79" t="s">
        <v>1328</v>
      </c>
      <c r="F763" s="79"/>
    </row>
    <row r="764" spans="1:7">
      <c r="A764" s="77">
        <f t="shared" ca="1" si="47"/>
        <v>45970</v>
      </c>
      <c r="B764" s="80">
        <f t="shared" ca="1" si="48"/>
        <v>45970.422765509262</v>
      </c>
      <c r="C764" s="76" t="s">
        <v>132</v>
      </c>
      <c r="D764" s="76" t="s">
        <v>902</v>
      </c>
      <c r="E764" s="79" t="s">
        <v>1012</v>
      </c>
      <c r="F764" s="79"/>
    </row>
    <row r="765" spans="1:7">
      <c r="A765" s="77">
        <f t="shared" ca="1" si="47"/>
        <v>45970</v>
      </c>
      <c r="B765" s="80">
        <f t="shared" ca="1" si="48"/>
        <v>45970.423047453703</v>
      </c>
      <c r="C765" s="76" t="s">
        <v>132</v>
      </c>
      <c r="D765" s="76" t="s">
        <v>902</v>
      </c>
      <c r="E765" s="79" t="s">
        <v>1012</v>
      </c>
      <c r="F765" s="79"/>
    </row>
    <row r="766" spans="1:7">
      <c r="A766" s="77">
        <f ca="1">IF(C766&lt;&gt;0,IF(A766=0,TODAY(),A766),)</f>
        <v>45970</v>
      </c>
      <c r="B766" s="80">
        <v>0.4244560185185185</v>
      </c>
      <c r="C766" s="76" t="s">
        <v>132</v>
      </c>
      <c r="D766" s="210" t="s">
        <v>922</v>
      </c>
      <c r="E766" s="79"/>
      <c r="F766" s="79"/>
    </row>
    <row r="767" spans="1:7">
      <c r="A767" s="77">
        <f ca="1">IF(C767&lt;&gt;0,IF(A767=0,TODAY(),A767),)</f>
        <v>45970</v>
      </c>
      <c r="B767" s="80">
        <v>0.4244560185185185</v>
      </c>
      <c r="C767" s="76" t="s">
        <v>136</v>
      </c>
      <c r="D767" s="210" t="s">
        <v>909</v>
      </c>
      <c r="E767" s="79"/>
      <c r="F767" s="79"/>
    </row>
    <row r="768" spans="1:7">
      <c r="A768" s="77">
        <f t="shared" ca="1" si="47"/>
        <v>45970</v>
      </c>
      <c r="B768" s="80">
        <f t="shared" ca="1" si="48"/>
        <v>45970.425631828701</v>
      </c>
      <c r="C768" s="76" t="s">
        <v>136</v>
      </c>
      <c r="D768" s="76" t="s">
        <v>902</v>
      </c>
      <c r="E768" s="79" t="s">
        <v>1012</v>
      </c>
      <c r="F768" s="79"/>
    </row>
    <row r="769" spans="1:7">
      <c r="A769" s="77">
        <f t="shared" ca="1" si="47"/>
        <v>45970</v>
      </c>
      <c r="B769" s="80">
        <f t="shared" ca="1" si="48"/>
        <v>45970.430070254632</v>
      </c>
      <c r="C769" s="76" t="s">
        <v>136</v>
      </c>
      <c r="D769" s="76" t="s">
        <v>902</v>
      </c>
      <c r="E769" s="79" t="s">
        <v>1329</v>
      </c>
      <c r="F769" s="79"/>
      <c r="G769" s="79" t="s">
        <v>1323</v>
      </c>
    </row>
    <row r="770" spans="1:7">
      <c r="A770" s="77">
        <f t="shared" ca="1" si="47"/>
        <v>45970</v>
      </c>
      <c r="B770" s="80">
        <f t="shared" ca="1" si="48"/>
        <v>45970.43148900463</v>
      </c>
      <c r="C770" s="76" t="s">
        <v>136</v>
      </c>
      <c r="D770" s="76" t="s">
        <v>902</v>
      </c>
      <c r="E770" s="79" t="s">
        <v>1012</v>
      </c>
      <c r="F770" s="79"/>
    </row>
    <row r="771" spans="1:7">
      <c r="A771" s="77">
        <f ca="1">IF(C771&lt;&gt;0,IF(A771=0,TODAY(),A771),)</f>
        <v>45970</v>
      </c>
      <c r="B771" s="80">
        <f ca="1">IF(C771&lt;&gt;0,IF(B771=0,NOW(),B771),)</f>
        <v>45970.431831944443</v>
      </c>
      <c r="C771" s="76" t="s">
        <v>136</v>
      </c>
      <c r="D771" s="76" t="s">
        <v>902</v>
      </c>
      <c r="E771" s="79" t="s">
        <v>1012</v>
      </c>
      <c r="F771" s="79"/>
    </row>
    <row r="772" spans="1:7">
      <c r="A772" s="77">
        <f ca="1">IF(C772&lt;&gt;0,IF(A772=0,TODAY(),A772),)</f>
        <v>45970</v>
      </c>
      <c r="B772" s="80">
        <f ca="1">IF(C772&lt;&gt;0,IF(B772=0,NOW(),B772),)</f>
        <v>45970.43196238426</v>
      </c>
      <c r="C772" s="76" t="s">
        <v>136</v>
      </c>
      <c r="D772" s="76" t="s">
        <v>902</v>
      </c>
      <c r="E772" s="79" t="s">
        <v>1012</v>
      </c>
      <c r="F772" s="79"/>
    </row>
    <row r="773" spans="1:7">
      <c r="A773" s="77">
        <f ca="1">IF(C773&lt;&gt;0,IF(A773=0,TODAY(),A773),)</f>
        <v>45970</v>
      </c>
      <c r="B773" s="80">
        <f ca="1">IF(C773&lt;&gt;0,IF(B773=0,NOW(),B773),)</f>
        <v>45970.432156134259</v>
      </c>
      <c r="C773" s="76" t="s">
        <v>136</v>
      </c>
      <c r="D773" s="76" t="s">
        <v>902</v>
      </c>
      <c r="E773" s="79" t="s">
        <v>1012</v>
      </c>
      <c r="F773" s="79"/>
    </row>
    <row r="774" spans="1:7">
      <c r="A774" s="77">
        <f t="shared" ref="A774:A791" ca="1" si="49">IF(C774&lt;&gt;0,IF(A774=0,TODAY(),A774),)</f>
        <v>45970</v>
      </c>
      <c r="B774" s="80">
        <f t="shared" ref="B774:B791" ca="1" si="50">IF(C774&lt;&gt;0,IF(B774=0,NOW(),B774),)</f>
        <v>45970.448426504627</v>
      </c>
      <c r="C774" s="76" t="s">
        <v>136</v>
      </c>
      <c r="D774" s="76" t="s">
        <v>902</v>
      </c>
      <c r="E774" s="79" t="s">
        <v>1012</v>
      </c>
      <c r="F774" s="79"/>
    </row>
    <row r="775" spans="1:7">
      <c r="A775" s="77">
        <f t="shared" ca="1" si="49"/>
        <v>45970</v>
      </c>
      <c r="B775" s="80">
        <f t="shared" ca="1" si="50"/>
        <v>45970.452933680557</v>
      </c>
      <c r="C775" s="76" t="s">
        <v>136</v>
      </c>
      <c r="D775" s="76" t="s">
        <v>902</v>
      </c>
      <c r="E775" s="89" t="s">
        <v>1324</v>
      </c>
      <c r="F775" s="79"/>
    </row>
    <row r="776" spans="1:7">
      <c r="A776" s="77">
        <f t="shared" ca="1" si="49"/>
        <v>45970</v>
      </c>
      <c r="B776" s="80">
        <f t="shared" ca="1" si="50"/>
        <v>45970.457083333335</v>
      </c>
      <c r="C776" s="76" t="s">
        <v>136</v>
      </c>
      <c r="D776" s="76" t="s">
        <v>902</v>
      </c>
      <c r="E776" s="79" t="s">
        <v>1330</v>
      </c>
      <c r="F776" s="79"/>
    </row>
    <row r="777" spans="1:7">
      <c r="A777" s="77">
        <f t="shared" ca="1" si="49"/>
        <v>45970</v>
      </c>
      <c r="B777" s="80">
        <f t="shared" ca="1" si="50"/>
        <v>45970.46164652778</v>
      </c>
      <c r="C777" s="76" t="s">
        <v>136</v>
      </c>
      <c r="D777" s="150" t="s">
        <v>1070</v>
      </c>
      <c r="E777" s="79" t="s">
        <v>1331</v>
      </c>
      <c r="F777" s="79"/>
      <c r="G777" s="79" t="s">
        <v>1332</v>
      </c>
    </row>
    <row r="778" spans="1:7">
      <c r="A778" s="77">
        <f t="shared" ca="1" si="49"/>
        <v>45970</v>
      </c>
      <c r="B778" s="80">
        <f t="shared" ca="1" si="50"/>
        <v>45970.4646818287</v>
      </c>
      <c r="C778" s="76" t="s">
        <v>136</v>
      </c>
      <c r="D778" s="76" t="s">
        <v>902</v>
      </c>
      <c r="E778" s="79" t="s">
        <v>1333</v>
      </c>
      <c r="F778" s="79"/>
    </row>
    <row r="779" spans="1:7">
      <c r="A779" s="77">
        <f t="shared" ca="1" si="49"/>
        <v>45970</v>
      </c>
      <c r="B779" s="80">
        <f t="shared" ca="1" si="50"/>
        <v>45970.464888310184</v>
      </c>
      <c r="C779" s="76" t="s">
        <v>136</v>
      </c>
      <c r="D779" s="76" t="s">
        <v>902</v>
      </c>
      <c r="E779" s="79" t="s">
        <v>1334</v>
      </c>
      <c r="F779" s="79"/>
    </row>
    <row r="780" spans="1:7">
      <c r="A780" s="77">
        <f t="shared" ca="1" si="49"/>
        <v>45970</v>
      </c>
      <c r="B780" s="80">
        <f t="shared" ca="1" si="50"/>
        <v>45970.465124537041</v>
      </c>
      <c r="C780" s="76" t="s">
        <v>136</v>
      </c>
      <c r="D780" s="76" t="s">
        <v>902</v>
      </c>
      <c r="E780" s="79" t="s">
        <v>1335</v>
      </c>
      <c r="F780" s="79"/>
    </row>
    <row r="781" spans="1:7">
      <c r="A781" s="77">
        <f t="shared" ca="1" si="49"/>
        <v>45970</v>
      </c>
      <c r="B781" s="80">
        <f t="shared" ca="1" si="50"/>
        <v>45970.466212615742</v>
      </c>
      <c r="C781" s="76" t="s">
        <v>136</v>
      </c>
      <c r="D781" s="76" t="s">
        <v>902</v>
      </c>
      <c r="E781" s="79" t="s">
        <v>1336</v>
      </c>
      <c r="F781" s="79"/>
    </row>
    <row r="782" spans="1:7">
      <c r="A782" s="77">
        <f t="shared" ca="1" si="49"/>
        <v>45970</v>
      </c>
      <c r="B782" s="80">
        <f t="shared" ca="1" si="50"/>
        <v>45970.469075347224</v>
      </c>
      <c r="C782" s="76" t="s">
        <v>136</v>
      </c>
      <c r="D782" s="76" t="s">
        <v>902</v>
      </c>
      <c r="E782" s="79" t="s">
        <v>1334</v>
      </c>
      <c r="F782" s="79"/>
    </row>
    <row r="783" spans="1:7">
      <c r="A783" s="77">
        <f t="shared" ca="1" si="49"/>
        <v>45970</v>
      </c>
      <c r="B783" s="80">
        <f t="shared" ca="1" si="50"/>
        <v>45970.475348958331</v>
      </c>
      <c r="C783" s="76" t="s">
        <v>136</v>
      </c>
      <c r="D783" s="76" t="s">
        <v>902</v>
      </c>
      <c r="E783" s="79" t="s">
        <v>996</v>
      </c>
      <c r="F783" s="79"/>
    </row>
    <row r="784" spans="1:7">
      <c r="A784" s="77">
        <f t="shared" ca="1" si="49"/>
        <v>45970</v>
      </c>
      <c r="B784" s="80">
        <f t="shared" ca="1" si="50"/>
        <v>45970.476481712962</v>
      </c>
      <c r="C784" s="76" t="s">
        <v>136</v>
      </c>
      <c r="D784" s="76" t="s">
        <v>902</v>
      </c>
      <c r="E784" s="79" t="s">
        <v>1012</v>
      </c>
      <c r="F784" s="79"/>
      <c r="G784" s="79" t="s">
        <v>1337</v>
      </c>
    </row>
    <row r="785" spans="1:7">
      <c r="A785" s="77">
        <f t="shared" ca="1" si="49"/>
        <v>45970</v>
      </c>
      <c r="B785" s="80">
        <f t="shared" ca="1" si="50"/>
        <v>45970.477149074075</v>
      </c>
      <c r="C785" s="76" t="s">
        <v>136</v>
      </c>
      <c r="D785" s="76" t="s">
        <v>902</v>
      </c>
      <c r="E785" s="79" t="s">
        <v>1311</v>
      </c>
      <c r="F785" s="79"/>
    </row>
    <row r="786" spans="1:7">
      <c r="A786" s="77">
        <f t="shared" ca="1" si="49"/>
        <v>45970</v>
      </c>
      <c r="B786" s="80">
        <f t="shared" ca="1" si="50"/>
        <v>45970.479904398147</v>
      </c>
      <c r="C786" s="76" t="s">
        <v>136</v>
      </c>
      <c r="D786" s="76" t="s">
        <v>902</v>
      </c>
      <c r="E786" s="79" t="s">
        <v>1338</v>
      </c>
      <c r="F786" s="79"/>
    </row>
    <row r="787" spans="1:7">
      <c r="A787" s="77">
        <f t="shared" ca="1" si="49"/>
        <v>45970</v>
      </c>
      <c r="B787" s="80">
        <f t="shared" ca="1" si="50"/>
        <v>45970.483046412039</v>
      </c>
      <c r="C787" s="76" t="s">
        <v>136</v>
      </c>
      <c r="D787" s="210" t="s">
        <v>922</v>
      </c>
      <c r="E787" s="79"/>
      <c r="F787" s="79"/>
    </row>
    <row r="788" spans="1:7">
      <c r="A788" s="77">
        <f t="shared" ca="1" si="49"/>
        <v>45970</v>
      </c>
      <c r="B788" s="80">
        <f t="shared" ca="1" si="50"/>
        <v>45970.503069212966</v>
      </c>
      <c r="C788" s="76" t="s">
        <v>136</v>
      </c>
      <c r="D788" s="210" t="s">
        <v>1098</v>
      </c>
      <c r="E788" s="79"/>
      <c r="F788" s="79"/>
      <c r="G788" s="79" t="s">
        <v>1339</v>
      </c>
    </row>
    <row r="789" spans="1:7">
      <c r="A789" s="77">
        <f t="shared" ca="1" si="49"/>
        <v>45970</v>
      </c>
      <c r="B789" s="80">
        <v>0.52432870370370366</v>
      </c>
      <c r="C789" s="76" t="s">
        <v>139</v>
      </c>
      <c r="D789" s="76" t="s">
        <v>902</v>
      </c>
      <c r="E789" s="79" t="s">
        <v>1340</v>
      </c>
      <c r="F789" s="79"/>
    </row>
    <row r="790" spans="1:7">
      <c r="A790" s="77">
        <f t="shared" ca="1" si="49"/>
        <v>45970</v>
      </c>
      <c r="B790" s="80">
        <f t="shared" ca="1" si="50"/>
        <v>45970.550357986111</v>
      </c>
      <c r="C790" s="76" t="s">
        <v>139</v>
      </c>
      <c r="D790" s="76" t="s">
        <v>902</v>
      </c>
      <c r="E790" s="79" t="s">
        <v>952</v>
      </c>
      <c r="F790" s="79"/>
    </row>
    <row r="791" spans="1:7">
      <c r="A791" s="77">
        <f t="shared" ca="1" si="49"/>
        <v>45970</v>
      </c>
      <c r="B791" s="80">
        <f t="shared" ca="1" si="50"/>
        <v>45970.557487384256</v>
      </c>
      <c r="C791" s="76" t="s">
        <v>139</v>
      </c>
      <c r="D791" s="210" t="s">
        <v>909</v>
      </c>
      <c r="E791" s="79"/>
      <c r="F791" s="79"/>
    </row>
    <row r="792" spans="1:7">
      <c r="A792" s="77">
        <f t="shared" ref="A792:A800" ca="1" si="51">IF(C792&lt;&gt;0,IF(A792=0,TODAY(),A792),)</f>
        <v>45970</v>
      </c>
      <c r="B792" s="80">
        <f t="shared" ref="B792:B800" ca="1" si="52">IF(C792&lt;&gt;0,IF(B792=0,NOW(),B792),)</f>
        <v>45970.560034490743</v>
      </c>
      <c r="C792" s="76" t="s">
        <v>139</v>
      </c>
      <c r="D792" s="76" t="s">
        <v>902</v>
      </c>
      <c r="E792" s="79" t="s">
        <v>1341</v>
      </c>
      <c r="F792" s="79"/>
    </row>
    <row r="793" spans="1:7">
      <c r="A793" s="77">
        <f t="shared" ca="1" si="51"/>
        <v>45970</v>
      </c>
      <c r="B793" s="80">
        <f t="shared" ca="1" si="52"/>
        <v>45970.573250000001</v>
      </c>
      <c r="C793" s="76" t="s">
        <v>139</v>
      </c>
      <c r="D793" s="76" t="s">
        <v>902</v>
      </c>
      <c r="E793" s="79" t="s">
        <v>1342</v>
      </c>
      <c r="F793" s="79"/>
    </row>
    <row r="794" spans="1:7">
      <c r="A794" s="77">
        <f t="shared" ca="1" si="51"/>
        <v>45970</v>
      </c>
      <c r="B794" s="80">
        <f t="shared" ca="1" si="52"/>
        <v>45970.574085995373</v>
      </c>
      <c r="C794" s="76" t="s">
        <v>139</v>
      </c>
      <c r="D794" s="76" t="s">
        <v>902</v>
      </c>
      <c r="E794" s="79" t="s">
        <v>1012</v>
      </c>
      <c r="F794" s="79"/>
    </row>
    <row r="795" spans="1:7">
      <c r="A795" s="77">
        <f t="shared" ca="1" si="51"/>
        <v>45970</v>
      </c>
      <c r="B795" s="80">
        <f t="shared" ca="1" si="52"/>
        <v>45970.574345601854</v>
      </c>
      <c r="C795" s="76" t="s">
        <v>139</v>
      </c>
      <c r="D795" s="76" t="s">
        <v>902</v>
      </c>
      <c r="E795" s="79" t="s">
        <v>955</v>
      </c>
      <c r="F795" s="79"/>
    </row>
    <row r="796" spans="1:7">
      <c r="A796" s="77">
        <f t="shared" ca="1" si="51"/>
        <v>45970</v>
      </c>
      <c r="B796" s="80">
        <f t="shared" ca="1" si="52"/>
        <v>45970.578421064813</v>
      </c>
      <c r="C796" s="76" t="s">
        <v>139</v>
      </c>
      <c r="D796" s="76" t="s">
        <v>902</v>
      </c>
      <c r="E796" s="79" t="s">
        <v>1012</v>
      </c>
      <c r="F796" s="79"/>
    </row>
    <row r="797" spans="1:7">
      <c r="A797" s="77">
        <f t="shared" ca="1" si="51"/>
        <v>45970</v>
      </c>
      <c r="B797" s="80">
        <f t="shared" ca="1" si="52"/>
        <v>45970.582383680558</v>
      </c>
      <c r="C797" s="76" t="s">
        <v>139</v>
      </c>
      <c r="D797" s="76" t="s">
        <v>902</v>
      </c>
      <c r="E797" s="79" t="s">
        <v>1012</v>
      </c>
      <c r="F797" s="79"/>
    </row>
    <row r="798" spans="1:7">
      <c r="A798" s="77">
        <f t="shared" ca="1" si="51"/>
        <v>45970</v>
      </c>
      <c r="B798" s="80">
        <f t="shared" ca="1" si="52"/>
        <v>45970.587756944442</v>
      </c>
      <c r="C798" s="76" t="s">
        <v>139</v>
      </c>
      <c r="D798" s="76" t="s">
        <v>902</v>
      </c>
      <c r="E798" s="79" t="s">
        <v>996</v>
      </c>
      <c r="F798" s="79"/>
    </row>
    <row r="799" spans="1:7">
      <c r="A799" s="77">
        <f t="shared" ca="1" si="51"/>
        <v>45970</v>
      </c>
      <c r="B799" s="80">
        <f t="shared" ca="1" si="52"/>
        <v>45970.597546990743</v>
      </c>
      <c r="C799" s="76" t="s">
        <v>139</v>
      </c>
      <c r="D799" s="76" t="s">
        <v>902</v>
      </c>
      <c r="E799" s="79" t="s">
        <v>1012</v>
      </c>
      <c r="F799" s="79"/>
    </row>
    <row r="800" spans="1:7">
      <c r="A800" s="77">
        <f t="shared" ca="1" si="51"/>
        <v>45970</v>
      </c>
      <c r="B800" s="80">
        <f t="shared" ca="1" si="52"/>
        <v>45970.602448611113</v>
      </c>
      <c r="C800" s="76" t="s">
        <v>139</v>
      </c>
      <c r="D800" s="76" t="s">
        <v>902</v>
      </c>
      <c r="E800" s="79" t="s">
        <v>1012</v>
      </c>
      <c r="F800" s="79"/>
    </row>
    <row r="801" spans="1:7">
      <c r="A801" s="77">
        <f t="shared" ref="A801:A807" ca="1" si="53">IF(C801&lt;&gt;0,IF(A801=0,TODAY(),A801),)</f>
        <v>45970</v>
      </c>
      <c r="B801" s="80">
        <f t="shared" ref="B801:B807" ca="1" si="54">IF(C801&lt;&gt;0,IF(B801=0,NOW(),B801),)</f>
        <v>45970.604206597221</v>
      </c>
      <c r="C801" s="76" t="s">
        <v>139</v>
      </c>
      <c r="D801" s="150" t="s">
        <v>1070</v>
      </c>
      <c r="E801" s="79"/>
      <c r="F801" s="79"/>
    </row>
    <row r="802" spans="1:7">
      <c r="A802" s="77">
        <f t="shared" ca="1" si="53"/>
        <v>45970</v>
      </c>
      <c r="B802" s="80">
        <f t="shared" ca="1" si="54"/>
        <v>45970.604730787039</v>
      </c>
      <c r="C802" s="76" t="s">
        <v>139</v>
      </c>
      <c r="D802" s="76" t="s">
        <v>902</v>
      </c>
      <c r="E802" s="79" t="s">
        <v>1012</v>
      </c>
      <c r="F802" s="79"/>
      <c r="G802" s="79" t="s">
        <v>1343</v>
      </c>
    </row>
    <row r="803" spans="1:7">
      <c r="A803" s="77">
        <f t="shared" ca="1" si="53"/>
        <v>45970</v>
      </c>
      <c r="B803" s="80">
        <f t="shared" ca="1" si="54"/>
        <v>45970.612311458332</v>
      </c>
      <c r="C803" s="76" t="s">
        <v>139</v>
      </c>
      <c r="D803" s="150" t="s">
        <v>1007</v>
      </c>
      <c r="E803" s="79" t="s">
        <v>1002</v>
      </c>
      <c r="F803" s="79"/>
    </row>
    <row r="804" spans="1:7">
      <c r="A804" s="77">
        <f t="shared" ca="1" si="53"/>
        <v>45970</v>
      </c>
      <c r="B804" s="80">
        <f t="shared" ca="1" si="54"/>
        <v>45970.616331018522</v>
      </c>
      <c r="C804" s="76" t="s">
        <v>139</v>
      </c>
      <c r="D804" s="210" t="s">
        <v>922</v>
      </c>
      <c r="E804" s="79"/>
      <c r="F804" s="79"/>
    </row>
    <row r="805" spans="1:7">
      <c r="A805" s="77">
        <f t="shared" ca="1" si="53"/>
        <v>45970</v>
      </c>
      <c r="B805" s="80">
        <f t="shared" ca="1" si="54"/>
        <v>45970.673615046297</v>
      </c>
      <c r="C805" s="76" t="s">
        <v>143</v>
      </c>
      <c r="D805" s="210" t="s">
        <v>906</v>
      </c>
      <c r="E805" s="79"/>
      <c r="F805" s="79"/>
    </row>
    <row r="806" spans="1:7">
      <c r="A806" s="77">
        <f t="shared" ca="1" si="53"/>
        <v>45970</v>
      </c>
      <c r="B806" s="80">
        <f t="shared" ca="1" si="54"/>
        <v>45970.69858935185</v>
      </c>
      <c r="C806" s="76" t="s">
        <v>143</v>
      </c>
      <c r="D806" s="76" t="s">
        <v>902</v>
      </c>
      <c r="E806" s="79"/>
      <c r="F806" s="79"/>
      <c r="G806" s="76" t="s">
        <v>952</v>
      </c>
    </row>
    <row r="807" spans="1:7">
      <c r="A807" s="77">
        <f t="shared" ca="1" si="53"/>
        <v>45970</v>
      </c>
      <c r="B807" s="80">
        <f t="shared" ca="1" si="54"/>
        <v>45970.69969212963</v>
      </c>
      <c r="C807" s="76" t="s">
        <v>143</v>
      </c>
      <c r="D807" s="76" t="s">
        <v>902</v>
      </c>
      <c r="E807" s="79" t="s">
        <v>1344</v>
      </c>
      <c r="F807" s="79"/>
    </row>
    <row r="808" spans="1:7">
      <c r="A808" s="77">
        <f t="shared" ref="A808:A820" ca="1" si="55">IF(C808&lt;&gt;0,IF(A808=0,TODAY(),A808),)</f>
        <v>45970</v>
      </c>
      <c r="B808" s="80">
        <f t="shared" ref="B808:B820" ca="1" si="56">IF(C808&lt;&gt;0,IF(B808=0,NOW(),B808),)</f>
        <v>45970.702080208335</v>
      </c>
      <c r="C808" s="76" t="s">
        <v>143</v>
      </c>
      <c r="D808" s="210" t="s">
        <v>909</v>
      </c>
      <c r="E808" s="79"/>
      <c r="F808" s="79"/>
    </row>
    <row r="809" spans="1:7">
      <c r="A809" s="77">
        <f t="shared" ca="1" si="55"/>
        <v>45970</v>
      </c>
      <c r="B809" s="80">
        <f t="shared" ca="1" si="56"/>
        <v>45970.702917361108</v>
      </c>
      <c r="C809" s="76" t="s">
        <v>143</v>
      </c>
      <c r="D809" s="76" t="s">
        <v>902</v>
      </c>
      <c r="E809" s="79"/>
      <c r="F809" s="79"/>
    </row>
    <row r="810" spans="1:7">
      <c r="A810" s="77">
        <f t="shared" ca="1" si="55"/>
        <v>45970</v>
      </c>
      <c r="B810" s="80">
        <f t="shared" ca="1" si="56"/>
        <v>45970.706741782407</v>
      </c>
      <c r="C810" s="76" t="s">
        <v>143</v>
      </c>
      <c r="D810" s="150" t="s">
        <v>1007</v>
      </c>
      <c r="E810" s="79" t="s">
        <v>1345</v>
      </c>
      <c r="F810" s="79"/>
    </row>
    <row r="811" spans="1:7">
      <c r="A811" s="77">
        <f t="shared" ca="1" si="55"/>
        <v>45970</v>
      </c>
      <c r="B811" s="80">
        <f t="shared" ca="1" si="56"/>
        <v>45970.71237361111</v>
      </c>
      <c r="C811" s="76" t="s">
        <v>143</v>
      </c>
      <c r="D811" s="76" t="s">
        <v>902</v>
      </c>
      <c r="E811" s="79" t="s">
        <v>1346</v>
      </c>
      <c r="F811" s="79"/>
    </row>
    <row r="812" spans="1:7">
      <c r="A812" s="77">
        <f t="shared" ca="1" si="55"/>
        <v>45970</v>
      </c>
      <c r="B812" s="80">
        <f t="shared" ca="1" si="56"/>
        <v>45970.715441898152</v>
      </c>
      <c r="C812" s="76" t="s">
        <v>143</v>
      </c>
      <c r="D812" s="76" t="s">
        <v>902</v>
      </c>
      <c r="E812" s="79" t="s">
        <v>1347</v>
      </c>
      <c r="F812" s="79" t="s">
        <v>1280</v>
      </c>
    </row>
    <row r="813" spans="1:7">
      <c r="A813" s="77">
        <f t="shared" ca="1" si="55"/>
        <v>45970</v>
      </c>
      <c r="B813" s="80">
        <f t="shared" ca="1" si="56"/>
        <v>45970.718442129626</v>
      </c>
      <c r="C813" s="76" t="s">
        <v>143</v>
      </c>
      <c r="D813" s="76" t="s">
        <v>902</v>
      </c>
      <c r="E813" s="79"/>
      <c r="F813" s="79"/>
    </row>
    <row r="814" spans="1:7">
      <c r="A814" s="77">
        <f t="shared" ca="1" si="55"/>
        <v>45970</v>
      </c>
      <c r="B814" s="80">
        <f t="shared" ca="1" si="56"/>
        <v>45970.718609490737</v>
      </c>
      <c r="C814" s="76" t="s">
        <v>143</v>
      </c>
      <c r="D814" s="76" t="s">
        <v>902</v>
      </c>
      <c r="E814" s="79" t="s">
        <v>1348</v>
      </c>
      <c r="F814" s="79" t="s">
        <v>1014</v>
      </c>
    </row>
    <row r="815" spans="1:7">
      <c r="A815" s="77">
        <f t="shared" ca="1" si="55"/>
        <v>45970</v>
      </c>
      <c r="B815" s="80">
        <f t="shared" ca="1" si="56"/>
        <v>45970.719377430556</v>
      </c>
      <c r="C815" s="76" t="s">
        <v>143</v>
      </c>
      <c r="D815" s="76" t="s">
        <v>902</v>
      </c>
      <c r="E815" s="79" t="s">
        <v>1349</v>
      </c>
      <c r="F815" s="79"/>
    </row>
    <row r="816" spans="1:7">
      <c r="A816" s="77">
        <f t="shared" ca="1" si="55"/>
        <v>45970</v>
      </c>
      <c r="B816" s="80">
        <f t="shared" ca="1" si="56"/>
        <v>45970.719506944442</v>
      </c>
      <c r="C816" s="76" t="s">
        <v>143</v>
      </c>
      <c r="D816" s="76" t="s">
        <v>902</v>
      </c>
      <c r="E816" s="79" t="s">
        <v>1118</v>
      </c>
      <c r="F816" s="79"/>
    </row>
    <row r="817" spans="1:7">
      <c r="A817" s="77">
        <f t="shared" ca="1" si="55"/>
        <v>45970</v>
      </c>
      <c r="B817" s="80">
        <f t="shared" ca="1" si="56"/>
        <v>45970.72007210648</v>
      </c>
      <c r="C817" s="76" t="s">
        <v>143</v>
      </c>
      <c r="D817" s="76" t="s">
        <v>902</v>
      </c>
      <c r="E817" s="79" t="s">
        <v>1350</v>
      </c>
      <c r="F817" s="79"/>
    </row>
    <row r="818" spans="1:7">
      <c r="A818" s="77">
        <f t="shared" ca="1" si="55"/>
        <v>45970</v>
      </c>
      <c r="B818" s="80">
        <f t="shared" ca="1" si="56"/>
        <v>45970.728754976852</v>
      </c>
      <c r="C818" s="76" t="s">
        <v>143</v>
      </c>
      <c r="D818" s="76" t="s">
        <v>902</v>
      </c>
      <c r="E818" s="79" t="s">
        <v>932</v>
      </c>
      <c r="F818" s="79"/>
    </row>
    <row r="819" spans="1:7">
      <c r="A819" s="77">
        <f t="shared" ca="1" si="55"/>
        <v>45970</v>
      </c>
      <c r="B819" s="80">
        <f t="shared" ca="1" si="56"/>
        <v>45970.729706944447</v>
      </c>
      <c r="C819" s="76" t="s">
        <v>143</v>
      </c>
      <c r="D819" s="76" t="s">
        <v>902</v>
      </c>
      <c r="E819" s="79" t="s">
        <v>1351</v>
      </c>
      <c r="F819" s="79"/>
    </row>
    <row r="820" spans="1:7">
      <c r="A820" s="77">
        <f t="shared" ca="1" si="55"/>
        <v>45970</v>
      </c>
      <c r="B820" s="80">
        <f t="shared" ca="1" si="56"/>
        <v>45970.736876388888</v>
      </c>
      <c r="C820" s="76" t="s">
        <v>143</v>
      </c>
      <c r="D820" s="76" t="s">
        <v>902</v>
      </c>
      <c r="E820" s="79" t="s">
        <v>1350</v>
      </c>
      <c r="F820" s="79"/>
    </row>
    <row r="821" spans="1:7">
      <c r="A821" s="77">
        <f t="shared" ref="A821:A832" ca="1" si="57">IF(C821&lt;&gt;0,IF(A821=0,TODAY(),A821),)</f>
        <v>45970</v>
      </c>
      <c r="B821" s="80">
        <f t="shared" ref="B821:B832" ca="1" si="58">IF(C821&lt;&gt;0,IF(B821=0,NOW(),B821),)</f>
        <v>45970.73753460648</v>
      </c>
      <c r="C821" s="76" t="s">
        <v>143</v>
      </c>
      <c r="D821" s="76" t="s">
        <v>902</v>
      </c>
      <c r="E821" s="79" t="s">
        <v>1295</v>
      </c>
      <c r="F821" s="79" t="s">
        <v>1213</v>
      </c>
    </row>
    <row r="822" spans="1:7">
      <c r="A822" s="77">
        <f t="shared" ca="1" si="57"/>
        <v>45970</v>
      </c>
      <c r="B822" s="80">
        <f t="shared" ca="1" si="58"/>
        <v>45970.737634490739</v>
      </c>
      <c r="C822" s="76" t="s">
        <v>143</v>
      </c>
      <c r="D822" s="76" t="s">
        <v>902</v>
      </c>
      <c r="E822" s="79" t="s">
        <v>1352</v>
      </c>
      <c r="F822" s="79"/>
    </row>
    <row r="823" spans="1:7">
      <c r="A823" s="77">
        <f t="shared" ca="1" si="57"/>
        <v>45970</v>
      </c>
      <c r="B823" s="80">
        <f t="shared" ca="1" si="58"/>
        <v>45970.738381828705</v>
      </c>
      <c r="C823" s="76" t="s">
        <v>143</v>
      </c>
      <c r="D823" s="76" t="s">
        <v>902</v>
      </c>
      <c r="E823" s="79"/>
      <c r="F823" s="79"/>
      <c r="G823" s="79" t="s">
        <v>1353</v>
      </c>
    </row>
    <row r="824" spans="1:7">
      <c r="A824" s="77">
        <f t="shared" ca="1" si="57"/>
        <v>45970</v>
      </c>
      <c r="B824" s="80">
        <f t="shared" ca="1" si="58"/>
        <v>45970.744046759261</v>
      </c>
      <c r="C824" s="76" t="s">
        <v>143</v>
      </c>
      <c r="D824" s="76" t="s">
        <v>902</v>
      </c>
      <c r="E824" s="79" t="s">
        <v>1354</v>
      </c>
      <c r="F824" s="79"/>
    </row>
    <row r="825" spans="1:7">
      <c r="A825" s="77">
        <f t="shared" ca="1" si="57"/>
        <v>45970</v>
      </c>
      <c r="B825" s="80">
        <f t="shared" ca="1" si="58"/>
        <v>45970.749439930558</v>
      </c>
      <c r="C825" s="76" t="s">
        <v>143</v>
      </c>
      <c r="D825" s="76" t="s">
        <v>902</v>
      </c>
      <c r="E825" s="79" t="s">
        <v>1355</v>
      </c>
      <c r="F825" s="79"/>
    </row>
    <row r="826" spans="1:7">
      <c r="A826" s="77">
        <f t="shared" ca="1" si="57"/>
        <v>45970</v>
      </c>
      <c r="B826" s="80">
        <f t="shared" ca="1" si="58"/>
        <v>45970.751989814817</v>
      </c>
      <c r="C826" s="76" t="s">
        <v>143</v>
      </c>
      <c r="D826" s="76" t="s">
        <v>902</v>
      </c>
      <c r="E826" s="79" t="s">
        <v>1356</v>
      </c>
      <c r="F826" s="79"/>
    </row>
    <row r="827" spans="1:7">
      <c r="A827" s="77">
        <f t="shared" ca="1" si="57"/>
        <v>45970</v>
      </c>
      <c r="B827" s="80">
        <f t="shared" ca="1" si="58"/>
        <v>45970.752269791665</v>
      </c>
      <c r="C827" s="76" t="s">
        <v>143</v>
      </c>
      <c r="D827" s="76" t="s">
        <v>902</v>
      </c>
      <c r="E827" s="79" t="s">
        <v>1350</v>
      </c>
      <c r="F827" s="79"/>
    </row>
    <row r="828" spans="1:7">
      <c r="A828" s="77">
        <f t="shared" ca="1" si="57"/>
        <v>45970</v>
      </c>
      <c r="B828" s="80">
        <f t="shared" ca="1" si="58"/>
        <v>45970.75801041667</v>
      </c>
      <c r="C828" s="76" t="s">
        <v>143</v>
      </c>
      <c r="D828" s="76" t="s">
        <v>902</v>
      </c>
      <c r="E828" s="79" t="s">
        <v>1314</v>
      </c>
      <c r="F828" s="79"/>
    </row>
    <row r="829" spans="1:7">
      <c r="A829" s="77">
        <f t="shared" ca="1" si="57"/>
        <v>45970</v>
      </c>
      <c r="B829" s="80">
        <f t="shared" ca="1" si="58"/>
        <v>45970.760056712963</v>
      </c>
      <c r="C829" s="76" t="s">
        <v>143</v>
      </c>
      <c r="D829" s="76" t="s">
        <v>902</v>
      </c>
      <c r="E829" s="79" t="s">
        <v>1314</v>
      </c>
      <c r="F829" s="79"/>
    </row>
    <row r="830" spans="1:7">
      <c r="A830" s="77">
        <f t="shared" ca="1" si="57"/>
        <v>45970</v>
      </c>
      <c r="B830" s="80">
        <f t="shared" ca="1" si="58"/>
        <v>45970.760097569444</v>
      </c>
      <c r="C830" s="76" t="s">
        <v>143</v>
      </c>
      <c r="D830" s="76" t="s">
        <v>902</v>
      </c>
      <c r="E830" s="79" t="s">
        <v>1314</v>
      </c>
      <c r="F830" s="79"/>
    </row>
    <row r="831" spans="1:7">
      <c r="A831" s="77">
        <f t="shared" ca="1" si="57"/>
        <v>45970</v>
      </c>
      <c r="B831" s="80">
        <f t="shared" ca="1" si="58"/>
        <v>45970.760130439812</v>
      </c>
      <c r="C831" s="76" t="s">
        <v>143</v>
      </c>
      <c r="D831" s="76" t="s">
        <v>902</v>
      </c>
      <c r="E831" s="79" t="s">
        <v>1314</v>
      </c>
      <c r="F831" s="79"/>
    </row>
    <row r="832" spans="1:7">
      <c r="A832" s="77">
        <f t="shared" ca="1" si="57"/>
        <v>45970</v>
      </c>
      <c r="B832" s="80">
        <f t="shared" ca="1" si="58"/>
        <v>45970.7660755787</v>
      </c>
      <c r="C832" s="76" t="s">
        <v>143</v>
      </c>
      <c r="D832" s="76" t="s">
        <v>902</v>
      </c>
      <c r="E832" s="79" t="s">
        <v>955</v>
      </c>
      <c r="F832" s="79"/>
    </row>
    <row r="833" spans="1:6">
      <c r="A833" s="77">
        <f t="shared" ref="A833:A841" ca="1" si="59">IF(C833&lt;&gt;0,IF(A833=0,TODAY(),A833),)</f>
        <v>45970</v>
      </c>
      <c r="B833" s="80">
        <f t="shared" ref="B833:B841" ca="1" si="60">IF(C833&lt;&gt;0,IF(B833=0,NOW(),B833),)</f>
        <v>45970.766918981484</v>
      </c>
      <c r="C833" s="76" t="s">
        <v>143</v>
      </c>
      <c r="D833" s="76" t="s">
        <v>902</v>
      </c>
      <c r="E833" s="79" t="s">
        <v>1253</v>
      </c>
      <c r="F833" s="79"/>
    </row>
    <row r="834" spans="1:6">
      <c r="A834" s="77">
        <f t="shared" ca="1" si="59"/>
        <v>45970</v>
      </c>
      <c r="B834" s="80">
        <f t="shared" ca="1" si="60"/>
        <v>45970.771614467594</v>
      </c>
      <c r="C834" s="76" t="s">
        <v>143</v>
      </c>
      <c r="D834" s="76" t="s">
        <v>902</v>
      </c>
      <c r="E834" s="79" t="s">
        <v>955</v>
      </c>
      <c r="F834" s="79"/>
    </row>
    <row r="835" spans="1:6">
      <c r="A835" s="77">
        <f t="shared" ca="1" si="59"/>
        <v>45970</v>
      </c>
      <c r="B835" s="80">
        <f t="shared" ca="1" si="60"/>
        <v>45970.776834374999</v>
      </c>
      <c r="C835" s="76" t="s">
        <v>143</v>
      </c>
      <c r="D835" s="76" t="s">
        <v>902</v>
      </c>
      <c r="E835" s="79" t="s">
        <v>955</v>
      </c>
      <c r="F835" s="79"/>
    </row>
    <row r="836" spans="1:6">
      <c r="A836" s="77">
        <f t="shared" ca="1" si="59"/>
        <v>45970</v>
      </c>
      <c r="B836" s="80">
        <f t="shared" ca="1" si="60"/>
        <v>45970.777569097219</v>
      </c>
      <c r="C836" s="76" t="s">
        <v>143</v>
      </c>
      <c r="D836" s="76" t="s">
        <v>902</v>
      </c>
      <c r="E836" s="79" t="s">
        <v>1357</v>
      </c>
      <c r="F836" s="79"/>
    </row>
    <row r="837" spans="1:6">
      <c r="A837" s="77">
        <f t="shared" ca="1" si="59"/>
        <v>45970</v>
      </c>
      <c r="B837" s="80">
        <f t="shared" ca="1" si="60"/>
        <v>45970.778852662035</v>
      </c>
      <c r="C837" s="76" t="s">
        <v>143</v>
      </c>
      <c r="D837" s="76" t="s">
        <v>902</v>
      </c>
      <c r="E837" s="79" t="s">
        <v>1357</v>
      </c>
      <c r="F837" s="79"/>
    </row>
    <row r="838" spans="1:6">
      <c r="A838" s="77">
        <f t="shared" ca="1" si="59"/>
        <v>45970</v>
      </c>
      <c r="B838" s="80">
        <f t="shared" ca="1" si="60"/>
        <v>45970.77931111111</v>
      </c>
      <c r="C838" s="76" t="s">
        <v>143</v>
      </c>
      <c r="D838" s="76" t="s">
        <v>902</v>
      </c>
      <c r="E838" s="79" t="s">
        <v>996</v>
      </c>
      <c r="F838" s="79"/>
    </row>
    <row r="839" spans="1:6">
      <c r="A839" s="77">
        <f t="shared" ca="1" si="59"/>
        <v>45970</v>
      </c>
      <c r="B839" s="80">
        <f t="shared" ca="1" si="60"/>
        <v>45970.781460532409</v>
      </c>
      <c r="C839" s="76" t="s">
        <v>143</v>
      </c>
      <c r="D839" s="76" t="s">
        <v>902</v>
      </c>
      <c r="E839" s="79" t="s">
        <v>1212</v>
      </c>
      <c r="F839" s="79"/>
    </row>
    <row r="840" spans="1:6">
      <c r="A840" s="77">
        <f t="shared" ca="1" si="59"/>
        <v>45970</v>
      </c>
      <c r="B840" s="80">
        <f t="shared" ca="1" si="60"/>
        <v>45970.785797337965</v>
      </c>
      <c r="C840" s="76" t="s">
        <v>143</v>
      </c>
      <c r="D840" s="76" t="s">
        <v>902</v>
      </c>
      <c r="E840" s="79" t="s">
        <v>1055</v>
      </c>
      <c r="F840" s="79"/>
    </row>
    <row r="841" spans="1:6">
      <c r="A841" s="77">
        <f t="shared" ca="1" si="59"/>
        <v>45970</v>
      </c>
      <c r="B841" s="80">
        <f t="shared" ca="1" si="60"/>
        <v>45970.792685185188</v>
      </c>
      <c r="C841" s="76" t="s">
        <v>143</v>
      </c>
      <c r="D841" s="150" t="s">
        <v>1007</v>
      </c>
      <c r="E841" s="79" t="s">
        <v>1358</v>
      </c>
      <c r="F841" s="79"/>
    </row>
    <row r="842" spans="1:6">
      <c r="A842" s="77">
        <f t="shared" ref="A842:A849" ca="1" si="61">IF(C842&lt;&gt;0,IF(A842=0,TODAY(),A842),)</f>
        <v>45970</v>
      </c>
      <c r="B842" s="80">
        <f t="shared" ref="B842:B849" ca="1" si="62">IF(C842&lt;&gt;0,IF(B842=0,NOW(),B842),)</f>
        <v>45970.793708564815</v>
      </c>
      <c r="C842" s="76" t="s">
        <v>143</v>
      </c>
      <c r="D842" s="76" t="s">
        <v>902</v>
      </c>
      <c r="E842" s="79" t="s">
        <v>955</v>
      </c>
      <c r="F842" s="79"/>
    </row>
    <row r="843" spans="1:6">
      <c r="A843" s="77">
        <f t="shared" ca="1" si="61"/>
        <v>45970</v>
      </c>
      <c r="B843" s="80">
        <f t="shared" ca="1" si="62"/>
        <v>45970.794181249999</v>
      </c>
      <c r="C843" s="76" t="s">
        <v>143</v>
      </c>
      <c r="D843" s="76" t="s">
        <v>902</v>
      </c>
      <c r="E843" s="79" t="s">
        <v>1128</v>
      </c>
      <c r="F843" s="79"/>
    </row>
    <row r="844" spans="1:6">
      <c r="A844" s="77">
        <f t="shared" ca="1" si="61"/>
        <v>45970</v>
      </c>
      <c r="B844" s="80">
        <f t="shared" ca="1" si="62"/>
        <v>45970.798281249998</v>
      </c>
      <c r="C844" s="76" t="s">
        <v>143</v>
      </c>
      <c r="D844" s="76" t="s">
        <v>902</v>
      </c>
      <c r="E844" s="79" t="s">
        <v>1350</v>
      </c>
      <c r="F844" s="79"/>
    </row>
    <row r="845" spans="1:6">
      <c r="A845" s="77">
        <f t="shared" ca="1" si="61"/>
        <v>45970</v>
      </c>
      <c r="B845" s="80">
        <f t="shared" ca="1" si="62"/>
        <v>45970.799138194445</v>
      </c>
      <c r="C845" s="76" t="s">
        <v>143</v>
      </c>
      <c r="D845" s="76" t="s">
        <v>902</v>
      </c>
      <c r="E845" s="79" t="s">
        <v>1350</v>
      </c>
      <c r="F845" s="79"/>
    </row>
    <row r="846" spans="1:6">
      <c r="A846" s="77">
        <f t="shared" ca="1" si="61"/>
        <v>45970</v>
      </c>
      <c r="B846" s="80">
        <f t="shared" ca="1" si="62"/>
        <v>45970.799451967592</v>
      </c>
      <c r="C846" s="76" t="s">
        <v>143</v>
      </c>
      <c r="D846" s="76" t="s">
        <v>902</v>
      </c>
      <c r="E846" s="79" t="s">
        <v>1359</v>
      </c>
      <c r="F846" s="79"/>
    </row>
    <row r="847" spans="1:6">
      <c r="A847" s="77">
        <f t="shared" ca="1" si="61"/>
        <v>45970</v>
      </c>
      <c r="B847" s="80">
        <f t="shared" ca="1" si="62"/>
        <v>45970.801803240742</v>
      </c>
      <c r="C847" s="76" t="s">
        <v>143</v>
      </c>
      <c r="D847" s="76" t="s">
        <v>902</v>
      </c>
      <c r="E847" s="79" t="s">
        <v>1360</v>
      </c>
      <c r="F847" s="79"/>
    </row>
    <row r="848" spans="1:6">
      <c r="A848" s="77">
        <f t="shared" ca="1" si="61"/>
        <v>45970</v>
      </c>
      <c r="B848" s="80">
        <f t="shared" ca="1" si="62"/>
        <v>45970.808861342593</v>
      </c>
      <c r="C848" s="76" t="s">
        <v>143</v>
      </c>
      <c r="D848" s="76" t="s">
        <v>902</v>
      </c>
      <c r="E848" s="79" t="s">
        <v>996</v>
      </c>
      <c r="F848" s="79"/>
    </row>
    <row r="849" spans="1:6">
      <c r="A849" s="77">
        <f t="shared" ca="1" si="61"/>
        <v>45970</v>
      </c>
      <c r="B849" s="80">
        <f t="shared" ca="1" si="62"/>
        <v>45970.810936111113</v>
      </c>
      <c r="C849" s="76" t="s">
        <v>143</v>
      </c>
      <c r="D849" s="76" t="s">
        <v>902</v>
      </c>
      <c r="E849" s="79" t="s">
        <v>1361</v>
      </c>
      <c r="F849" s="79"/>
    </row>
    <row r="850" spans="1:6">
      <c r="A850" s="77">
        <f t="shared" ref="A850:A855" ca="1" si="63">IF(C850&lt;&gt;0,IF(A850=0,TODAY(),A850),)</f>
        <v>45970</v>
      </c>
      <c r="B850" s="80">
        <f t="shared" ref="B850:B855" ca="1" si="64">IF(C850&lt;&gt;0,IF(B850=0,NOW(),B850),)</f>
        <v>45970.813870486112</v>
      </c>
      <c r="C850" s="76" t="s">
        <v>143</v>
      </c>
      <c r="D850" s="76" t="s">
        <v>902</v>
      </c>
      <c r="E850" s="79" t="s">
        <v>1362</v>
      </c>
      <c r="F850" s="79"/>
    </row>
    <row r="851" spans="1:6">
      <c r="A851" s="77">
        <f t="shared" ca="1" si="63"/>
        <v>45970</v>
      </c>
      <c r="B851" s="80">
        <f t="shared" ca="1" si="64"/>
        <v>45970.816550231481</v>
      </c>
      <c r="C851" s="76" t="s">
        <v>143</v>
      </c>
      <c r="D851" s="76" t="s">
        <v>902</v>
      </c>
      <c r="E851" s="79" t="s">
        <v>1253</v>
      </c>
      <c r="F851" s="79"/>
    </row>
    <row r="852" spans="1:6">
      <c r="A852" s="77">
        <f t="shared" ca="1" si="63"/>
        <v>45970</v>
      </c>
      <c r="B852" s="80">
        <f t="shared" ca="1" si="64"/>
        <v>45970.816957175928</v>
      </c>
      <c r="C852" s="76" t="s">
        <v>143</v>
      </c>
      <c r="D852" s="76" t="s">
        <v>902</v>
      </c>
      <c r="E852" s="79" t="s">
        <v>1363</v>
      </c>
      <c r="F852" s="79"/>
    </row>
    <row r="853" spans="1:6">
      <c r="A853" s="77">
        <f t="shared" ca="1" si="63"/>
        <v>45970</v>
      </c>
      <c r="B853" s="80">
        <f t="shared" ca="1" si="64"/>
        <v>45970.818432523149</v>
      </c>
      <c r="C853" s="76" t="s">
        <v>143</v>
      </c>
      <c r="D853" s="76" t="s">
        <v>902</v>
      </c>
      <c r="E853" s="79" t="s">
        <v>1212</v>
      </c>
      <c r="F853" s="79"/>
    </row>
    <row r="854" spans="1:6">
      <c r="A854" s="77">
        <f t="shared" ca="1" si="63"/>
        <v>45970</v>
      </c>
      <c r="B854" s="80">
        <f t="shared" ca="1" si="64"/>
        <v>45970.81968252315</v>
      </c>
      <c r="C854" s="76" t="s">
        <v>143</v>
      </c>
      <c r="D854" s="76" t="s">
        <v>902</v>
      </c>
      <c r="E854" s="79"/>
      <c r="F854" s="79" t="s">
        <v>1364</v>
      </c>
    </row>
    <row r="855" spans="1:6">
      <c r="A855" s="77">
        <f t="shared" ca="1" si="63"/>
        <v>45970</v>
      </c>
      <c r="B855" s="80">
        <f t="shared" ca="1" si="64"/>
        <v>45970.826389120368</v>
      </c>
      <c r="C855" s="76" t="s">
        <v>143</v>
      </c>
      <c r="D855" s="76" t="s">
        <v>902</v>
      </c>
      <c r="E855" s="79" t="s">
        <v>1212</v>
      </c>
      <c r="F855" s="79"/>
    </row>
    <row r="856" spans="1:6">
      <c r="A856" s="77">
        <f t="shared" ref="A856:A891" ca="1" si="65">IF(C856&lt;&gt;0,IF(A856=0,TODAY(),A856),)</f>
        <v>45970</v>
      </c>
      <c r="B856" s="80">
        <f t="shared" ref="B856:B891" ca="1" si="66">IF(C856&lt;&gt;0,IF(B856=0,NOW(),B856),)</f>
        <v>45970.829917476854</v>
      </c>
      <c r="C856" s="76" t="s">
        <v>143</v>
      </c>
      <c r="D856" s="76" t="s">
        <v>902</v>
      </c>
      <c r="E856" s="79" t="s">
        <v>1357</v>
      </c>
      <c r="F856" s="79"/>
    </row>
    <row r="857" spans="1:6">
      <c r="A857" s="77">
        <f t="shared" ca="1" si="65"/>
        <v>45970</v>
      </c>
      <c r="B857" s="80">
        <f t="shared" ca="1" si="66"/>
        <v>45970.830077777777</v>
      </c>
      <c r="C857" s="76" t="s">
        <v>143</v>
      </c>
      <c r="D857" s="76" t="s">
        <v>902</v>
      </c>
      <c r="E857" s="79" t="s">
        <v>1357</v>
      </c>
      <c r="F857" s="79"/>
    </row>
    <row r="858" spans="1:6">
      <c r="A858" s="77">
        <f t="shared" ca="1" si="65"/>
        <v>45970</v>
      </c>
      <c r="B858" s="80">
        <f t="shared" ca="1" si="66"/>
        <v>45970.84958263889</v>
      </c>
      <c r="C858" s="76" t="s">
        <v>143</v>
      </c>
      <c r="D858" s="76" t="s">
        <v>902</v>
      </c>
      <c r="E858" s="79" t="s">
        <v>1365</v>
      </c>
      <c r="F858" s="79"/>
    </row>
    <row r="859" spans="1:6">
      <c r="A859" s="77">
        <f t="shared" ca="1" si="65"/>
        <v>45970</v>
      </c>
      <c r="B859" s="80">
        <f t="shared" ca="1" si="66"/>
        <v>45970.85372013889</v>
      </c>
      <c r="C859" s="76" t="s">
        <v>143</v>
      </c>
      <c r="D859" s="210" t="s">
        <v>922</v>
      </c>
      <c r="E859" s="79"/>
      <c r="F859" s="79"/>
    </row>
    <row r="860" spans="1:6">
      <c r="A860" s="77">
        <f t="shared" ca="1" si="65"/>
        <v>45970</v>
      </c>
      <c r="B860" s="80">
        <v>0.9916666666666667</v>
      </c>
      <c r="C860" s="76" t="s">
        <v>148</v>
      </c>
      <c r="D860" s="210" t="s">
        <v>906</v>
      </c>
      <c r="E860" s="79"/>
      <c r="F860" s="79"/>
    </row>
    <row r="861" spans="1:6">
      <c r="A861" s="77">
        <f t="shared" ca="1" si="65"/>
        <v>45971</v>
      </c>
      <c r="B861" s="80">
        <f t="shared" ca="1" si="66"/>
        <v>45971.021237962967</v>
      </c>
      <c r="C861" s="76" t="s">
        <v>148</v>
      </c>
      <c r="D861" s="210" t="s">
        <v>909</v>
      </c>
      <c r="E861" s="79"/>
      <c r="F861" s="79"/>
    </row>
    <row r="862" spans="1:6">
      <c r="A862" s="77">
        <f t="shared" ca="1" si="65"/>
        <v>45971</v>
      </c>
      <c r="B862" s="80">
        <f t="shared" ca="1" si="66"/>
        <v>45971.027960300926</v>
      </c>
      <c r="C862" s="76" t="s">
        <v>148</v>
      </c>
      <c r="D862" s="76" t="s">
        <v>902</v>
      </c>
      <c r="E862" s="79" t="s">
        <v>1366</v>
      </c>
      <c r="F862" s="79"/>
    </row>
    <row r="863" spans="1:6">
      <c r="A863" s="77">
        <f t="shared" ca="1" si="65"/>
        <v>45971</v>
      </c>
      <c r="B863" s="80">
        <f t="shared" ca="1" si="66"/>
        <v>45971.029649305558</v>
      </c>
      <c r="C863" s="76" t="s">
        <v>148</v>
      </c>
      <c r="D863" s="76" t="s">
        <v>902</v>
      </c>
      <c r="E863" s="79" t="s">
        <v>955</v>
      </c>
      <c r="F863" s="79"/>
    </row>
    <row r="864" spans="1:6">
      <c r="A864" s="77">
        <f t="shared" ca="1" si="65"/>
        <v>45971</v>
      </c>
      <c r="B864" s="80">
        <f t="shared" ca="1" si="66"/>
        <v>45971.036442708333</v>
      </c>
      <c r="C864" s="76" t="s">
        <v>148</v>
      </c>
      <c r="D864" s="76" t="s">
        <v>902</v>
      </c>
      <c r="E864" s="79" t="s">
        <v>1367</v>
      </c>
      <c r="F864" s="79"/>
    </row>
    <row r="865" spans="1:6">
      <c r="A865" s="77">
        <f t="shared" ca="1" si="65"/>
        <v>45971</v>
      </c>
      <c r="B865" s="80">
        <f t="shared" ca="1" si="66"/>
        <v>45971.036879629632</v>
      </c>
      <c r="C865" s="76" t="s">
        <v>148</v>
      </c>
      <c r="D865" s="76" t="s">
        <v>902</v>
      </c>
      <c r="E865" s="79" t="s">
        <v>932</v>
      </c>
      <c r="F865" s="79"/>
    </row>
    <row r="866" spans="1:6">
      <c r="A866" s="77">
        <f t="shared" ca="1" si="65"/>
        <v>45971</v>
      </c>
      <c r="B866" s="80">
        <f t="shared" ca="1" si="66"/>
        <v>45971.038052083335</v>
      </c>
      <c r="C866" s="76" t="s">
        <v>148</v>
      </c>
      <c r="D866" s="76" t="s">
        <v>902</v>
      </c>
      <c r="E866" s="79" t="s">
        <v>1360</v>
      </c>
      <c r="F866" s="79"/>
    </row>
    <row r="867" spans="1:6">
      <c r="A867" s="77">
        <f t="shared" ca="1" si="65"/>
        <v>45971</v>
      </c>
      <c r="B867" s="80">
        <f t="shared" ca="1" si="66"/>
        <v>45971.038742824072</v>
      </c>
      <c r="C867" s="76" t="s">
        <v>148</v>
      </c>
      <c r="D867" s="76" t="s">
        <v>902</v>
      </c>
      <c r="E867" s="79" t="s">
        <v>1253</v>
      </c>
      <c r="F867" s="79"/>
    </row>
    <row r="868" spans="1:6">
      <c r="A868" s="77">
        <f t="shared" ca="1" si="65"/>
        <v>45971</v>
      </c>
      <c r="B868" s="80">
        <f t="shared" ca="1" si="66"/>
        <v>45971.039710185185</v>
      </c>
      <c r="C868" s="76" t="s">
        <v>148</v>
      </c>
      <c r="D868" s="76" t="s">
        <v>902</v>
      </c>
      <c r="E868" s="79" t="s">
        <v>1253</v>
      </c>
      <c r="F868" s="79"/>
    </row>
    <row r="869" spans="1:6">
      <c r="A869" s="77">
        <f t="shared" ca="1" si="65"/>
        <v>45971</v>
      </c>
      <c r="B869" s="80">
        <f t="shared" ca="1" si="66"/>
        <v>45971.042050115742</v>
      </c>
      <c r="C869" s="76" t="s">
        <v>148</v>
      </c>
      <c r="D869" s="76" t="s">
        <v>902</v>
      </c>
      <c r="E869" s="79" t="s">
        <v>1368</v>
      </c>
      <c r="F869" s="79"/>
    </row>
    <row r="870" spans="1:6">
      <c r="A870" s="77">
        <f ca="1">IF(C870&lt;&gt;0,IF(A870=0,TODAY(),A870),)</f>
        <v>45971</v>
      </c>
      <c r="B870" s="80">
        <f ca="1">IF(C870&lt;&gt;0,IF(B870=0,NOW(),B870),)</f>
        <v>45971.046310763886</v>
      </c>
      <c r="C870" s="76" t="s">
        <v>148</v>
      </c>
      <c r="D870" s="76" t="s">
        <v>902</v>
      </c>
      <c r="E870" s="79" t="s">
        <v>1242</v>
      </c>
      <c r="F870" s="79"/>
    </row>
    <row r="871" spans="1:6">
      <c r="A871" s="77">
        <f t="shared" ca="1" si="65"/>
        <v>45971</v>
      </c>
      <c r="B871" s="80">
        <f t="shared" ca="1" si="66"/>
        <v>45971.049899768521</v>
      </c>
      <c r="C871" s="76" t="s">
        <v>148</v>
      </c>
      <c r="D871" s="76" t="s">
        <v>902</v>
      </c>
      <c r="E871" s="79" t="s">
        <v>1368</v>
      </c>
      <c r="F871" s="79"/>
    </row>
    <row r="872" spans="1:6">
      <c r="A872" s="77">
        <f t="shared" ca="1" si="65"/>
        <v>45971</v>
      </c>
      <c r="B872" s="80">
        <f t="shared" ca="1" si="66"/>
        <v>45971.055576620369</v>
      </c>
      <c r="C872" s="76" t="s">
        <v>148</v>
      </c>
      <c r="D872" s="76" t="s">
        <v>902</v>
      </c>
      <c r="E872" s="79" t="s">
        <v>1369</v>
      </c>
      <c r="F872" s="79"/>
    </row>
    <row r="873" spans="1:6">
      <c r="A873" s="77">
        <f t="shared" ca="1" si="65"/>
        <v>45971</v>
      </c>
      <c r="B873" s="80">
        <f t="shared" ca="1" si="66"/>
        <v>45971.055777430556</v>
      </c>
      <c r="C873" s="76" t="s">
        <v>148</v>
      </c>
      <c r="D873" s="76" t="s">
        <v>902</v>
      </c>
      <c r="E873" s="79" t="s">
        <v>1370</v>
      </c>
      <c r="F873" s="79"/>
    </row>
    <row r="874" spans="1:6">
      <c r="A874" s="77">
        <f t="shared" ca="1" si="65"/>
        <v>45971</v>
      </c>
      <c r="B874" s="80">
        <f t="shared" ca="1" si="66"/>
        <v>45971.057472569446</v>
      </c>
      <c r="C874" s="76" t="s">
        <v>148</v>
      </c>
      <c r="D874" s="76" t="s">
        <v>902</v>
      </c>
      <c r="E874" s="79" t="s">
        <v>1370</v>
      </c>
      <c r="F874" s="79"/>
    </row>
    <row r="875" spans="1:6">
      <c r="A875" s="77">
        <f t="shared" ca="1" si="65"/>
        <v>45971</v>
      </c>
      <c r="B875" s="80">
        <f t="shared" ca="1" si="66"/>
        <v>45971.06527939815</v>
      </c>
      <c r="C875" s="76" t="s">
        <v>148</v>
      </c>
      <c r="D875" s="76" t="s">
        <v>902</v>
      </c>
      <c r="E875" s="79" t="s">
        <v>955</v>
      </c>
      <c r="F875" s="79"/>
    </row>
    <row r="876" spans="1:6">
      <c r="A876" s="77">
        <f t="shared" ca="1" si="65"/>
        <v>45971</v>
      </c>
      <c r="B876" s="80">
        <f t="shared" ca="1" si="66"/>
        <v>45971.067401273147</v>
      </c>
      <c r="C876" s="76" t="s">
        <v>148</v>
      </c>
      <c r="D876" s="76" t="s">
        <v>902</v>
      </c>
      <c r="E876" s="79" t="s">
        <v>1045</v>
      </c>
      <c r="F876" s="79"/>
    </row>
    <row r="877" spans="1:6">
      <c r="A877" s="77">
        <f t="shared" ca="1" si="65"/>
        <v>45971</v>
      </c>
      <c r="B877" s="80">
        <f t="shared" ca="1" si="66"/>
        <v>45971.074987384258</v>
      </c>
      <c r="C877" s="76" t="s">
        <v>148</v>
      </c>
      <c r="D877" s="76" t="s">
        <v>902</v>
      </c>
      <c r="E877" s="79" t="s">
        <v>1371</v>
      </c>
      <c r="F877" s="79"/>
    </row>
    <row r="878" spans="1:6">
      <c r="A878" s="77">
        <f t="shared" ca="1" si="65"/>
        <v>45971</v>
      </c>
      <c r="B878" s="80">
        <f t="shared" ca="1" si="66"/>
        <v>45971.087819444445</v>
      </c>
      <c r="C878" s="76" t="s">
        <v>148</v>
      </c>
      <c r="D878" s="210" t="s">
        <v>922</v>
      </c>
      <c r="E878" s="79"/>
      <c r="F878" s="79"/>
    </row>
    <row r="879" spans="1:6">
      <c r="A879" s="77">
        <f t="shared" ca="1" si="65"/>
        <v>45971</v>
      </c>
      <c r="B879" s="80">
        <v>0.16180555555555556</v>
      </c>
      <c r="C879" s="76" t="s">
        <v>152</v>
      </c>
      <c r="D879" s="210" t="s">
        <v>909</v>
      </c>
      <c r="E879" s="79"/>
      <c r="F879" s="79"/>
    </row>
    <row r="880" spans="1:6">
      <c r="A880" s="77">
        <f t="shared" ca="1" si="65"/>
        <v>45971</v>
      </c>
      <c r="B880" s="80">
        <f t="shared" ca="1" si="66"/>
        <v>45971.165670601855</v>
      </c>
      <c r="C880" s="76" t="s">
        <v>152</v>
      </c>
      <c r="D880" s="76" t="s">
        <v>902</v>
      </c>
      <c r="E880" s="79" t="s">
        <v>1372</v>
      </c>
      <c r="F880" s="79"/>
    </row>
    <row r="881" spans="1:6">
      <c r="A881" s="77">
        <f t="shared" ca="1" si="65"/>
        <v>45971</v>
      </c>
      <c r="B881" s="80">
        <f t="shared" ca="1" si="66"/>
        <v>45971.16637939815</v>
      </c>
      <c r="C881" s="76" t="s">
        <v>152</v>
      </c>
      <c r="D881" s="76" t="s">
        <v>902</v>
      </c>
      <c r="E881" s="79" t="s">
        <v>1372</v>
      </c>
      <c r="F881" s="79"/>
    </row>
    <row r="882" spans="1:6">
      <c r="A882" s="77">
        <f t="shared" ca="1" si="65"/>
        <v>45971</v>
      </c>
      <c r="B882" s="80">
        <f t="shared" ca="1" si="66"/>
        <v>45971.167632060184</v>
      </c>
      <c r="C882" s="76" t="s">
        <v>152</v>
      </c>
      <c r="D882" s="76" t="s">
        <v>902</v>
      </c>
      <c r="E882" s="79" t="s">
        <v>1372</v>
      </c>
      <c r="F882" s="79"/>
    </row>
    <row r="883" spans="1:6">
      <c r="A883" s="77">
        <f t="shared" ca="1" si="65"/>
        <v>45971</v>
      </c>
      <c r="B883" s="80">
        <f t="shared" ca="1" si="66"/>
        <v>45971.168267939815</v>
      </c>
      <c r="C883" s="76" t="s">
        <v>152</v>
      </c>
      <c r="D883" s="76" t="s">
        <v>902</v>
      </c>
      <c r="E883" s="79" t="s">
        <v>1372</v>
      </c>
      <c r="F883" s="79"/>
    </row>
    <row r="884" spans="1:6">
      <c r="A884" s="77">
        <f t="shared" ca="1" si="65"/>
        <v>45971</v>
      </c>
      <c r="B884" s="80">
        <f t="shared" ca="1" si="66"/>
        <v>45971.168718865738</v>
      </c>
      <c r="C884" s="76" t="s">
        <v>152</v>
      </c>
      <c r="D884" s="76" t="s">
        <v>902</v>
      </c>
      <c r="E884" s="79" t="s">
        <v>1372</v>
      </c>
      <c r="F884" s="79"/>
    </row>
    <row r="885" spans="1:6">
      <c r="A885" s="77">
        <f t="shared" ca="1" si="65"/>
        <v>45971</v>
      </c>
      <c r="B885" s="80">
        <f t="shared" ca="1" si="66"/>
        <v>45971.169339814813</v>
      </c>
      <c r="C885" s="76" t="s">
        <v>152</v>
      </c>
      <c r="D885" s="76" t="s">
        <v>902</v>
      </c>
      <c r="E885" s="79" t="s">
        <v>1372</v>
      </c>
      <c r="F885" s="79"/>
    </row>
    <row r="886" spans="1:6">
      <c r="A886" s="77">
        <f t="shared" ca="1" si="65"/>
        <v>45971</v>
      </c>
      <c r="B886" s="80">
        <f t="shared" ca="1" si="66"/>
        <v>45971.17043726852</v>
      </c>
      <c r="C886" s="76" t="s">
        <v>152</v>
      </c>
      <c r="D886" s="76" t="s">
        <v>902</v>
      </c>
      <c r="E886" s="79" t="s">
        <v>1372</v>
      </c>
      <c r="F886" s="79"/>
    </row>
    <row r="887" spans="1:6">
      <c r="A887" s="77">
        <f t="shared" ca="1" si="65"/>
        <v>45971</v>
      </c>
      <c r="B887" s="80">
        <f t="shared" ca="1" si="66"/>
        <v>45971.17154166667</v>
      </c>
      <c r="C887" s="76" t="s">
        <v>152</v>
      </c>
      <c r="D887" s="76" t="s">
        <v>902</v>
      </c>
      <c r="E887" s="79" t="s">
        <v>1372</v>
      </c>
      <c r="F887" s="79"/>
    </row>
    <row r="888" spans="1:6">
      <c r="A888" s="77">
        <f t="shared" ca="1" si="65"/>
        <v>45971</v>
      </c>
      <c r="B888" s="80">
        <f t="shared" ca="1" si="66"/>
        <v>45971.171616087966</v>
      </c>
      <c r="C888" s="76" t="s">
        <v>152</v>
      </c>
      <c r="D888" s="76" t="s">
        <v>902</v>
      </c>
      <c r="E888" s="79" t="s">
        <v>1372</v>
      </c>
      <c r="F888" s="79"/>
    </row>
    <row r="889" spans="1:6">
      <c r="A889" s="77">
        <f t="shared" ca="1" si="65"/>
        <v>45971</v>
      </c>
      <c r="B889" s="80">
        <f t="shared" ca="1" si="66"/>
        <v>45971.17682291667</v>
      </c>
      <c r="C889" s="76" t="s">
        <v>152</v>
      </c>
      <c r="D889" s="76" t="s">
        <v>902</v>
      </c>
      <c r="E889" s="79" t="s">
        <v>1370</v>
      </c>
      <c r="F889" s="79"/>
    </row>
    <row r="890" spans="1:6">
      <c r="A890" s="77">
        <f t="shared" ca="1" si="65"/>
        <v>45971</v>
      </c>
      <c r="B890" s="80">
        <f t="shared" ca="1" si="66"/>
        <v>45971.178110995374</v>
      </c>
      <c r="C890" s="76" t="s">
        <v>152</v>
      </c>
      <c r="D890" s="76" t="s">
        <v>902</v>
      </c>
      <c r="E890" s="79" t="s">
        <v>1373</v>
      </c>
      <c r="F890" s="79"/>
    </row>
    <row r="891" spans="1:6">
      <c r="A891" s="77">
        <f t="shared" ca="1" si="65"/>
        <v>45971</v>
      </c>
      <c r="B891" s="80">
        <f t="shared" ca="1" si="66"/>
        <v>45971.178129629632</v>
      </c>
      <c r="C891" s="76" t="s">
        <v>152</v>
      </c>
      <c r="D891" s="76" t="s">
        <v>902</v>
      </c>
      <c r="E891" s="79" t="s">
        <v>1373</v>
      </c>
      <c r="F891" s="79"/>
    </row>
    <row r="892" spans="1:6">
      <c r="A892" s="77">
        <f t="shared" ref="A892:A895" ca="1" si="67">IF(C892&lt;&gt;0,IF(A892=0,TODAY(),A892),)</f>
        <v>45971</v>
      </c>
      <c r="B892" s="80">
        <f t="shared" ref="B892:B913" ca="1" si="68">IF(C892&lt;&gt;0,IF(B892=0,NOW(),B892),)</f>
        <v>45971.179338310183</v>
      </c>
      <c r="C892" s="76" t="s">
        <v>152</v>
      </c>
      <c r="D892" s="76" t="s">
        <v>902</v>
      </c>
      <c r="E892" s="79" t="s">
        <v>955</v>
      </c>
      <c r="F892" s="79"/>
    </row>
    <row r="893" spans="1:6">
      <c r="A893" s="77">
        <f t="shared" ca="1" si="67"/>
        <v>45971</v>
      </c>
      <c r="B893" s="80">
        <f t="shared" ca="1" si="68"/>
        <v>45971.184072337965</v>
      </c>
      <c r="C893" s="76" t="s">
        <v>152</v>
      </c>
      <c r="D893" s="76" t="s">
        <v>902</v>
      </c>
      <c r="E893" s="79" t="s">
        <v>1374</v>
      </c>
      <c r="F893" s="79"/>
    </row>
    <row r="894" spans="1:6">
      <c r="A894" s="77">
        <f t="shared" ca="1" si="67"/>
        <v>45971</v>
      </c>
      <c r="B894" s="80">
        <f t="shared" ca="1" si="68"/>
        <v>45971.189131018516</v>
      </c>
      <c r="C894" s="76" t="s">
        <v>152</v>
      </c>
      <c r="D894" s="76" t="s">
        <v>902</v>
      </c>
      <c r="E894" s="79" t="s">
        <v>1372</v>
      </c>
      <c r="F894" s="79"/>
    </row>
    <row r="895" spans="1:6">
      <c r="A895" s="77">
        <f t="shared" ca="1" si="67"/>
        <v>45971</v>
      </c>
      <c r="B895" s="80">
        <f t="shared" ca="1" si="68"/>
        <v>45971.189438078705</v>
      </c>
      <c r="C895" s="76" t="s">
        <v>152</v>
      </c>
      <c r="D895" s="76" t="s">
        <v>902</v>
      </c>
      <c r="E895" s="79" t="s">
        <v>1370</v>
      </c>
      <c r="F895" s="79"/>
    </row>
    <row r="896" spans="1:6">
      <c r="A896" s="77">
        <f t="shared" ref="A896:A899" ca="1" si="69">IF(C896&lt;&gt;0,IF(A896=0,TODAY(),A896),)</f>
        <v>45971</v>
      </c>
      <c r="B896" s="80">
        <f t="shared" ca="1" si="68"/>
        <v>45971.189654745373</v>
      </c>
      <c r="C896" s="76" t="s">
        <v>152</v>
      </c>
      <c r="D896" s="76" t="s">
        <v>902</v>
      </c>
      <c r="E896" s="79" t="s">
        <v>1372</v>
      </c>
      <c r="F896" s="79"/>
    </row>
    <row r="897" spans="1:7">
      <c r="A897" s="77">
        <f t="shared" ca="1" si="69"/>
        <v>45971</v>
      </c>
      <c r="B897" s="80">
        <f t="shared" ca="1" si="68"/>
        <v>45971.190716435187</v>
      </c>
      <c r="C897" s="76" t="s">
        <v>152</v>
      </c>
      <c r="D897" s="76" t="s">
        <v>902</v>
      </c>
      <c r="E897" s="79" t="s">
        <v>1372</v>
      </c>
      <c r="F897" s="79"/>
    </row>
    <row r="898" spans="1:7">
      <c r="A898" s="77">
        <f t="shared" ca="1" si="69"/>
        <v>45971</v>
      </c>
      <c r="B898" s="80">
        <f t="shared" ca="1" si="68"/>
        <v>45971.192344328701</v>
      </c>
      <c r="C898" s="76" t="s">
        <v>152</v>
      </c>
      <c r="D898" s="76" t="s">
        <v>902</v>
      </c>
      <c r="E898" s="79" t="s">
        <v>1375</v>
      </c>
      <c r="F898" s="79"/>
      <c r="G898" s="76" t="s">
        <v>1376</v>
      </c>
    </row>
    <row r="899" spans="1:7">
      <c r="A899" s="77">
        <f t="shared" ca="1" si="69"/>
        <v>45971</v>
      </c>
      <c r="B899" s="80">
        <f t="shared" ca="1" si="68"/>
        <v>45971.192363773145</v>
      </c>
      <c r="C899" s="76" t="s">
        <v>152</v>
      </c>
      <c r="D899" s="76" t="s">
        <v>902</v>
      </c>
      <c r="E899" s="79" t="s">
        <v>1370</v>
      </c>
      <c r="F899" s="79"/>
    </row>
    <row r="900" spans="1:7">
      <c r="A900" s="77">
        <f t="shared" ref="A900:A905" ca="1" si="70">IF(C900&lt;&gt;0,IF(A900=0,TODAY(),A900),)</f>
        <v>45971</v>
      </c>
      <c r="B900" s="80">
        <f t="shared" ca="1" si="68"/>
        <v>45971.1930244213</v>
      </c>
      <c r="C900" s="76" t="s">
        <v>152</v>
      </c>
      <c r="D900" s="76" t="s">
        <v>902</v>
      </c>
      <c r="E900" s="79" t="s">
        <v>925</v>
      </c>
      <c r="F900" s="79"/>
    </row>
    <row r="901" spans="1:7">
      <c r="A901" s="77">
        <f t="shared" ca="1" si="70"/>
        <v>45971</v>
      </c>
      <c r="B901" s="80">
        <f t="shared" ca="1" si="68"/>
        <v>45971.193383912039</v>
      </c>
      <c r="C901" s="76" t="s">
        <v>152</v>
      </c>
      <c r="D901" s="76" t="s">
        <v>902</v>
      </c>
      <c r="E901" s="79" t="s">
        <v>1375</v>
      </c>
      <c r="F901" s="79"/>
      <c r="G901" s="76" t="s">
        <v>1376</v>
      </c>
    </row>
    <row r="902" spans="1:7">
      <c r="A902" s="77">
        <f t="shared" ca="1" si="70"/>
        <v>45971</v>
      </c>
      <c r="B902" s="80">
        <f t="shared" ca="1" si="68"/>
        <v>45971.193822569447</v>
      </c>
      <c r="C902" s="76" t="s">
        <v>152</v>
      </c>
      <c r="D902" s="76" t="s">
        <v>902</v>
      </c>
      <c r="E902" s="79" t="s">
        <v>1372</v>
      </c>
      <c r="F902" s="79"/>
    </row>
    <row r="903" spans="1:7">
      <c r="A903" s="77">
        <f t="shared" ca="1" si="70"/>
        <v>45971</v>
      </c>
      <c r="B903" s="80">
        <f t="shared" ca="1" si="68"/>
        <v>45971.197034722223</v>
      </c>
      <c r="C903" s="76" t="s">
        <v>152</v>
      </c>
      <c r="D903" s="76" t="s">
        <v>902</v>
      </c>
      <c r="E903" s="79" t="s">
        <v>1377</v>
      </c>
      <c r="F903" s="79"/>
    </row>
    <row r="904" spans="1:7">
      <c r="A904" s="77">
        <f t="shared" ca="1" si="70"/>
        <v>45971</v>
      </c>
      <c r="B904" s="80">
        <f t="shared" ca="1" si="68"/>
        <v>45971.197050925926</v>
      </c>
      <c r="C904" s="76" t="s">
        <v>152</v>
      </c>
      <c r="D904" s="76" t="s">
        <v>902</v>
      </c>
      <c r="E904" s="79" t="s">
        <v>1372</v>
      </c>
      <c r="F904" s="79"/>
    </row>
    <row r="905" spans="1:7">
      <c r="A905" s="77">
        <f t="shared" ca="1" si="70"/>
        <v>45971</v>
      </c>
      <c r="B905" s="80">
        <f t="shared" ca="1" si="68"/>
        <v>45971.198758680555</v>
      </c>
      <c r="C905" s="76" t="s">
        <v>152</v>
      </c>
      <c r="D905" s="76" t="s">
        <v>902</v>
      </c>
      <c r="E905" s="79" t="s">
        <v>1063</v>
      </c>
      <c r="F905" s="79"/>
    </row>
    <row r="906" spans="1:7">
      <c r="A906" s="77">
        <f t="shared" ref="A906:A913" ca="1" si="71">IF(C906&lt;&gt;0,IF(A906=0,TODAY(),A906),)</f>
        <v>45971</v>
      </c>
      <c r="B906" s="80">
        <f t="shared" ca="1" si="68"/>
        <v>45971.203719791665</v>
      </c>
      <c r="C906" s="76" t="s">
        <v>152</v>
      </c>
      <c r="D906" s="76" t="s">
        <v>902</v>
      </c>
      <c r="E906" s="79" t="s">
        <v>1378</v>
      </c>
      <c r="F906" s="79"/>
    </row>
    <row r="907" spans="1:7">
      <c r="A907" s="77">
        <f t="shared" ca="1" si="71"/>
        <v>45971</v>
      </c>
      <c r="B907" s="80">
        <f t="shared" ca="1" si="68"/>
        <v>45971.205708912035</v>
      </c>
      <c r="C907" s="76" t="s">
        <v>152</v>
      </c>
      <c r="D907" s="76" t="s">
        <v>902</v>
      </c>
      <c r="E907" s="79" t="s">
        <v>1379</v>
      </c>
      <c r="F907" s="79"/>
    </row>
    <row r="908" spans="1:7">
      <c r="A908" s="77">
        <f t="shared" ca="1" si="71"/>
        <v>45971</v>
      </c>
      <c r="B908" s="80">
        <f t="shared" ca="1" si="68"/>
        <v>45971.215486226851</v>
      </c>
      <c r="C908" s="76" t="s">
        <v>152</v>
      </c>
      <c r="D908" s="76" t="s">
        <v>902</v>
      </c>
      <c r="E908" s="79" t="s">
        <v>1380</v>
      </c>
      <c r="F908" s="79"/>
    </row>
    <row r="909" spans="1:7">
      <c r="A909" s="77">
        <f t="shared" ca="1" si="71"/>
        <v>45971</v>
      </c>
      <c r="B909" s="80">
        <f t="shared" ca="1" si="68"/>
        <v>45971.215865046295</v>
      </c>
      <c r="C909" s="76" t="s">
        <v>152</v>
      </c>
      <c r="D909" s="76" t="s">
        <v>902</v>
      </c>
      <c r="E909" s="79" t="s">
        <v>1115</v>
      </c>
      <c r="F909" s="79"/>
    </row>
    <row r="910" spans="1:7">
      <c r="A910" s="77">
        <f t="shared" ca="1" si="71"/>
        <v>45971</v>
      </c>
      <c r="B910" s="80">
        <f t="shared" ca="1" si="68"/>
        <v>45971.224155555552</v>
      </c>
      <c r="C910" s="76" t="s">
        <v>152</v>
      </c>
      <c r="D910" s="76" t="s">
        <v>902</v>
      </c>
      <c r="E910" s="79" t="s">
        <v>1371</v>
      </c>
      <c r="F910" s="79"/>
    </row>
    <row r="911" spans="1:7">
      <c r="A911" s="77">
        <f t="shared" ca="1" si="71"/>
        <v>45971</v>
      </c>
      <c r="B911" s="80">
        <f t="shared" ca="1" si="68"/>
        <v>45971.240265277775</v>
      </c>
      <c r="C911" s="76" t="s">
        <v>152</v>
      </c>
      <c r="D911" s="210" t="s">
        <v>922</v>
      </c>
      <c r="E911" s="79"/>
      <c r="F911" s="79"/>
    </row>
    <row r="912" spans="1:7">
      <c r="A912" s="77">
        <f t="shared" ca="1" si="71"/>
        <v>45971</v>
      </c>
      <c r="B912" s="80">
        <v>0.30086805555555557</v>
      </c>
      <c r="C912" s="76" t="s">
        <v>156</v>
      </c>
      <c r="D912" s="210" t="s">
        <v>909</v>
      </c>
      <c r="E912" s="79"/>
      <c r="F912" s="79"/>
    </row>
    <row r="913" spans="1:7">
      <c r="A913" s="77">
        <f t="shared" ca="1" si="71"/>
        <v>45971</v>
      </c>
      <c r="B913" s="80">
        <f t="shared" ca="1" si="68"/>
        <v>45971.306788078706</v>
      </c>
      <c r="C913" s="76" t="s">
        <v>156</v>
      </c>
      <c r="D913" s="76" t="s">
        <v>902</v>
      </c>
      <c r="E913" s="79" t="s">
        <v>1381</v>
      </c>
      <c r="F913" s="79"/>
    </row>
    <row r="914" spans="1:7">
      <c r="A914" s="77">
        <f t="shared" ref="A914:A924" ca="1" si="72">IF(C914&lt;&gt;0,IF(A914=0,TODAY(),A914),)</f>
        <v>45971</v>
      </c>
      <c r="B914" s="80">
        <f t="shared" ref="B914:B924" ca="1" si="73">IF(C914&lt;&gt;0,IF(B914=0,NOW(),B914),)</f>
        <v>45971.308406481483</v>
      </c>
      <c r="C914" s="76" t="s">
        <v>156</v>
      </c>
      <c r="D914" s="76" t="s">
        <v>902</v>
      </c>
      <c r="E914" s="79" t="s">
        <v>961</v>
      </c>
      <c r="F914" s="79"/>
    </row>
    <row r="915" spans="1:7">
      <c r="A915" s="77">
        <f t="shared" ca="1" si="72"/>
        <v>45971</v>
      </c>
      <c r="B915" s="80">
        <f t="shared" ca="1" si="73"/>
        <v>45971.308626041668</v>
      </c>
      <c r="C915" s="76" t="s">
        <v>156</v>
      </c>
      <c r="D915" s="76" t="s">
        <v>902</v>
      </c>
      <c r="E915" s="79" t="s">
        <v>1382</v>
      </c>
      <c r="F915" s="79"/>
    </row>
    <row r="916" spans="1:7">
      <c r="A916" s="77">
        <f t="shared" ca="1" si="72"/>
        <v>45971</v>
      </c>
      <c r="B916" s="80">
        <f t="shared" ca="1" si="73"/>
        <v>45971.314425810182</v>
      </c>
      <c r="C916" s="76" t="s">
        <v>156</v>
      </c>
      <c r="D916" s="76" t="s">
        <v>902</v>
      </c>
      <c r="E916" s="79" t="s">
        <v>1383</v>
      </c>
      <c r="F916" s="79"/>
    </row>
    <row r="917" spans="1:7">
      <c r="A917" s="77">
        <f t="shared" ca="1" si="72"/>
        <v>45971</v>
      </c>
      <c r="B917" s="80">
        <f t="shared" ca="1" si="73"/>
        <v>45971.322740856478</v>
      </c>
      <c r="C917" s="76" t="s">
        <v>156</v>
      </c>
      <c r="D917" s="76" t="s">
        <v>902</v>
      </c>
      <c r="E917" s="79" t="s">
        <v>1384</v>
      </c>
      <c r="F917" s="79"/>
    </row>
    <row r="918" spans="1:7">
      <c r="A918" s="77">
        <f t="shared" ca="1" si="72"/>
        <v>45971</v>
      </c>
      <c r="B918" s="80">
        <f t="shared" ca="1" si="73"/>
        <v>45971.327982407405</v>
      </c>
      <c r="C918" s="76" t="s">
        <v>156</v>
      </c>
      <c r="D918" s="150" t="s">
        <v>1007</v>
      </c>
      <c r="E918" s="79" t="s">
        <v>1385</v>
      </c>
      <c r="F918" s="79"/>
      <c r="G918" s="79" t="s">
        <v>1386</v>
      </c>
    </row>
    <row r="919" spans="1:7">
      <c r="A919" s="77">
        <f t="shared" ca="1" si="72"/>
        <v>45971</v>
      </c>
      <c r="B919" s="80">
        <f t="shared" ca="1" si="73"/>
        <v>45971.333840046296</v>
      </c>
      <c r="C919" s="76" t="s">
        <v>156</v>
      </c>
      <c r="D919" s="76" t="s">
        <v>902</v>
      </c>
      <c r="E919" s="79" t="s">
        <v>1387</v>
      </c>
      <c r="F919" s="79"/>
    </row>
    <row r="920" spans="1:7">
      <c r="A920" s="77">
        <f t="shared" ca="1" si="72"/>
        <v>45971</v>
      </c>
      <c r="B920" s="80">
        <f t="shared" ca="1" si="73"/>
        <v>45971.335730902778</v>
      </c>
      <c r="C920" s="76" t="s">
        <v>156</v>
      </c>
      <c r="D920" s="76" t="s">
        <v>902</v>
      </c>
      <c r="E920" s="79" t="s">
        <v>1388</v>
      </c>
      <c r="F920" s="79"/>
    </row>
    <row r="921" spans="1:7">
      <c r="A921" s="77">
        <f t="shared" ca="1" si="72"/>
        <v>45971</v>
      </c>
      <c r="B921" s="80">
        <v>0.3464814814814815</v>
      </c>
      <c r="C921" s="76" t="s">
        <v>156</v>
      </c>
      <c r="D921" s="76" t="s">
        <v>902</v>
      </c>
      <c r="E921" s="79" t="s">
        <v>1387</v>
      </c>
      <c r="F921" s="79"/>
    </row>
    <row r="922" spans="1:7">
      <c r="A922" s="77">
        <f t="shared" ca="1" si="72"/>
        <v>45971</v>
      </c>
      <c r="B922" s="80">
        <f t="shared" ca="1" si="73"/>
        <v>45971.354799652778</v>
      </c>
      <c r="C922" s="76" t="s">
        <v>156</v>
      </c>
      <c r="D922" s="76" t="s">
        <v>902</v>
      </c>
      <c r="E922" s="79" t="s">
        <v>1334</v>
      </c>
      <c r="F922" s="79"/>
    </row>
    <row r="923" spans="1:7">
      <c r="A923" s="77">
        <f t="shared" ca="1" si="72"/>
        <v>45971</v>
      </c>
      <c r="B923" s="80">
        <f t="shared" ca="1" si="73"/>
        <v>45971.365145254633</v>
      </c>
      <c r="C923" s="76" t="s">
        <v>156</v>
      </c>
      <c r="D923" s="76" t="s">
        <v>902</v>
      </c>
      <c r="E923" s="79" t="s">
        <v>1389</v>
      </c>
      <c r="F923" s="79"/>
    </row>
    <row r="924" spans="1:7">
      <c r="A924" s="77">
        <f t="shared" ca="1" si="72"/>
        <v>45971</v>
      </c>
      <c r="B924" s="80">
        <f t="shared" ca="1" si="73"/>
        <v>45971.365537152778</v>
      </c>
      <c r="C924" s="76" t="s">
        <v>156</v>
      </c>
      <c r="D924" s="76" t="s">
        <v>902</v>
      </c>
      <c r="E924" s="79" t="s">
        <v>932</v>
      </c>
      <c r="F924" s="79"/>
    </row>
    <row r="925" spans="1:7">
      <c r="A925" s="77">
        <f t="shared" ref="A925:A933" ca="1" si="74">IF(C925&lt;&gt;0,IF(A925=0,TODAY(),A925),)</f>
        <v>45971</v>
      </c>
      <c r="B925" s="80">
        <f t="shared" ref="B925:B933" ca="1" si="75">IF(C925&lt;&gt;0,IF(B925=0,NOW(),B925),)</f>
        <v>45971.367268055554</v>
      </c>
      <c r="C925" s="76" t="s">
        <v>156</v>
      </c>
      <c r="D925" s="76" t="s">
        <v>902</v>
      </c>
      <c r="E925" s="79" t="s">
        <v>1026</v>
      </c>
      <c r="F925" s="79"/>
    </row>
    <row r="926" spans="1:7">
      <c r="A926" s="77">
        <f t="shared" ca="1" si="74"/>
        <v>45971</v>
      </c>
      <c r="B926" s="80">
        <f t="shared" ca="1" si="75"/>
        <v>45971.372765856482</v>
      </c>
      <c r="C926" s="76" t="s">
        <v>156</v>
      </c>
      <c r="D926" s="150" t="s">
        <v>1007</v>
      </c>
      <c r="E926" s="79" t="s">
        <v>1390</v>
      </c>
      <c r="F926" s="79"/>
      <c r="G926" s="76" t="s">
        <v>1391</v>
      </c>
    </row>
    <row r="927" spans="1:7">
      <c r="A927" s="77">
        <f t="shared" ca="1" si="74"/>
        <v>45971</v>
      </c>
      <c r="B927" s="80">
        <f t="shared" ca="1" si="75"/>
        <v>45971.377491087966</v>
      </c>
      <c r="C927" s="76" t="s">
        <v>156</v>
      </c>
      <c r="D927" s="76" t="s">
        <v>902</v>
      </c>
      <c r="E927" s="90" t="s">
        <v>1242</v>
      </c>
      <c r="F927" s="79"/>
    </row>
    <row r="928" spans="1:7">
      <c r="A928" s="77">
        <f t="shared" ca="1" si="74"/>
        <v>45971</v>
      </c>
      <c r="B928" s="80">
        <f t="shared" ca="1" si="75"/>
        <v>45971.382715624997</v>
      </c>
      <c r="C928" s="76" t="s">
        <v>156</v>
      </c>
      <c r="D928" s="76" t="s">
        <v>902</v>
      </c>
      <c r="E928" s="79" t="s">
        <v>932</v>
      </c>
      <c r="F928" s="79"/>
    </row>
    <row r="929" spans="1:7">
      <c r="A929" s="77">
        <f t="shared" ca="1" si="74"/>
        <v>45971</v>
      </c>
      <c r="B929" s="80">
        <f t="shared" ca="1" si="75"/>
        <v>45971.387351851852</v>
      </c>
      <c r="C929" s="76" t="s">
        <v>156</v>
      </c>
      <c r="D929" s="76" t="s">
        <v>902</v>
      </c>
      <c r="E929" s="79" t="s">
        <v>1392</v>
      </c>
      <c r="F929" s="79"/>
    </row>
    <row r="930" spans="1:7">
      <c r="A930" s="77">
        <f t="shared" ca="1" si="74"/>
        <v>45971</v>
      </c>
      <c r="B930" s="80">
        <f t="shared" ca="1" si="75"/>
        <v>45971.389576620371</v>
      </c>
      <c r="C930" s="76" t="s">
        <v>156</v>
      </c>
      <c r="D930" s="150" t="s">
        <v>1007</v>
      </c>
      <c r="E930" s="79" t="s">
        <v>1392</v>
      </c>
      <c r="F930" s="79"/>
      <c r="G930" s="76" t="s">
        <v>1393</v>
      </c>
    </row>
    <row r="931" spans="1:7">
      <c r="A931" s="77">
        <f t="shared" ca="1" si="74"/>
        <v>45971</v>
      </c>
      <c r="B931" s="80">
        <f t="shared" ca="1" si="75"/>
        <v>45971.396347916663</v>
      </c>
      <c r="C931" s="76" t="s">
        <v>156</v>
      </c>
      <c r="D931" s="76" t="s">
        <v>902</v>
      </c>
      <c r="E931" s="79" t="s">
        <v>932</v>
      </c>
      <c r="F931" s="79"/>
    </row>
    <row r="932" spans="1:7">
      <c r="A932" s="77">
        <f t="shared" ca="1" si="74"/>
        <v>45971</v>
      </c>
      <c r="B932" s="80">
        <f t="shared" ca="1" si="75"/>
        <v>45971.39743553241</v>
      </c>
      <c r="C932" s="76" t="s">
        <v>156</v>
      </c>
      <c r="D932" s="76" t="s">
        <v>902</v>
      </c>
      <c r="E932" s="79" t="s">
        <v>1394</v>
      </c>
      <c r="F932" s="79"/>
      <c r="G932" s="76" t="s">
        <v>1395</v>
      </c>
    </row>
    <row r="933" spans="1:7">
      <c r="A933" s="77">
        <f t="shared" ca="1" si="74"/>
        <v>45971</v>
      </c>
      <c r="B933" s="80">
        <f t="shared" ca="1" si="75"/>
        <v>45971.413202662035</v>
      </c>
      <c r="C933" s="76" t="s">
        <v>156</v>
      </c>
      <c r="D933" s="76" t="s">
        <v>902</v>
      </c>
      <c r="E933" s="79" t="s">
        <v>1371</v>
      </c>
      <c r="F933" s="79"/>
      <c r="G933" s="76" t="s">
        <v>1396</v>
      </c>
    </row>
    <row r="934" spans="1:7">
      <c r="A934" s="77">
        <f t="shared" ref="A934:A942" ca="1" si="76">IF(C934&lt;&gt;0,IF(A934=0,TODAY(),A934),)</f>
        <v>45971</v>
      </c>
      <c r="B934" s="80">
        <f t="shared" ref="B934:B938" ca="1" si="77">IF(C934&lt;&gt;0,IF(B934=0,NOW(),B934),)</f>
        <v>45971.420688078702</v>
      </c>
      <c r="C934" s="76" t="s">
        <v>156</v>
      </c>
      <c r="D934" s="76" t="s">
        <v>902</v>
      </c>
      <c r="E934" s="79"/>
      <c r="F934" s="79"/>
      <c r="G934" s="76" t="s">
        <v>1397</v>
      </c>
    </row>
    <row r="935" spans="1:7">
      <c r="A935" s="77">
        <f t="shared" ca="1" si="76"/>
        <v>45971</v>
      </c>
      <c r="B935" s="80">
        <f t="shared" ca="1" si="77"/>
        <v>45971.424062384256</v>
      </c>
      <c r="C935" s="76" t="s">
        <v>156</v>
      </c>
      <c r="D935" s="76" t="s">
        <v>902</v>
      </c>
      <c r="E935" s="79" t="s">
        <v>1195</v>
      </c>
      <c r="F935" s="79"/>
    </row>
    <row r="936" spans="1:7">
      <c r="A936" s="77">
        <f t="shared" ca="1" si="76"/>
        <v>45971</v>
      </c>
      <c r="B936" s="80">
        <f t="shared" ca="1" si="77"/>
        <v>45971.42484861111</v>
      </c>
      <c r="C936" s="76" t="s">
        <v>156</v>
      </c>
      <c r="D936" s="76" t="s">
        <v>902</v>
      </c>
      <c r="E936" s="79" t="s">
        <v>1398</v>
      </c>
      <c r="F936" s="79"/>
    </row>
    <row r="937" spans="1:7">
      <c r="A937" s="77">
        <f t="shared" ca="1" si="76"/>
        <v>45971</v>
      </c>
      <c r="B937" s="80">
        <f t="shared" ca="1" si="77"/>
        <v>45971.426378124997</v>
      </c>
      <c r="C937" s="76" t="s">
        <v>156</v>
      </c>
      <c r="D937" s="76" t="s">
        <v>902</v>
      </c>
      <c r="E937" s="79"/>
      <c r="F937" s="79"/>
      <c r="G937" s="76" t="s">
        <v>1399</v>
      </c>
    </row>
    <row r="938" spans="1:7">
      <c r="A938" s="77">
        <f t="shared" ca="1" si="76"/>
        <v>45971</v>
      </c>
      <c r="B938" s="80">
        <f t="shared" ca="1" si="77"/>
        <v>45971.448501736108</v>
      </c>
      <c r="C938" s="76" t="s">
        <v>156</v>
      </c>
      <c r="D938" s="76" t="s">
        <v>902</v>
      </c>
      <c r="E938" s="79" t="s">
        <v>1400</v>
      </c>
      <c r="F938" s="79"/>
    </row>
    <row r="939" spans="1:7">
      <c r="A939" s="77">
        <f t="shared" ca="1" si="76"/>
        <v>45971</v>
      </c>
      <c r="B939" s="80">
        <v>0.45449074074074075</v>
      </c>
      <c r="C939" s="76" t="s">
        <v>156</v>
      </c>
      <c r="D939" s="210" t="s">
        <v>922</v>
      </c>
      <c r="E939" s="79"/>
      <c r="F939" s="79"/>
    </row>
    <row r="940" spans="1:7">
      <c r="A940" s="77">
        <f t="shared" ca="1" si="76"/>
        <v>45971</v>
      </c>
      <c r="B940" s="80">
        <v>0.5218518518518519</v>
      </c>
      <c r="C940" s="76" t="s">
        <v>160</v>
      </c>
      <c r="D940" s="76" t="s">
        <v>902</v>
      </c>
      <c r="E940" s="79" t="s">
        <v>1401</v>
      </c>
      <c r="F940" s="79"/>
      <c r="G940" s="76" t="s">
        <v>1402</v>
      </c>
    </row>
    <row r="941" spans="1:7">
      <c r="A941" s="77">
        <f t="shared" ca="1" si="76"/>
        <v>45971</v>
      </c>
      <c r="B941" s="80">
        <v>0.52719907407407407</v>
      </c>
      <c r="C941" s="76" t="s">
        <v>160</v>
      </c>
      <c r="D941" s="76" t="s">
        <v>902</v>
      </c>
      <c r="E941" s="79" t="s">
        <v>1311</v>
      </c>
      <c r="F941" s="79"/>
    </row>
    <row r="942" spans="1:7">
      <c r="A942" s="77">
        <f t="shared" ca="1" si="76"/>
        <v>45971</v>
      </c>
      <c r="B942" s="80">
        <v>0.5532407407407407</v>
      </c>
      <c r="C942" s="76" t="s">
        <v>160</v>
      </c>
      <c r="D942" s="76" t="s">
        <v>902</v>
      </c>
      <c r="E942" s="79" t="s">
        <v>1403</v>
      </c>
      <c r="F942" s="79" t="s">
        <v>1280</v>
      </c>
    </row>
    <row r="943" spans="1:7">
      <c r="A943" s="77">
        <f t="shared" ref="A943:A969" ca="1" si="78">IF(C943&lt;&gt;0,IF(A943=0,TODAY(),A943),)</f>
        <v>45971</v>
      </c>
      <c r="B943" s="80">
        <v>0.5552083333333333</v>
      </c>
      <c r="C943" s="76" t="s">
        <v>160</v>
      </c>
      <c r="D943" s="76" t="s">
        <v>902</v>
      </c>
      <c r="E943" s="79" t="s">
        <v>1404</v>
      </c>
      <c r="F943" s="79" t="s">
        <v>1404</v>
      </c>
    </row>
    <row r="944" spans="1:7">
      <c r="A944" s="77">
        <f t="shared" ca="1" si="78"/>
        <v>45971</v>
      </c>
      <c r="B944" s="80">
        <f t="shared" ref="B944:B969" ca="1" si="79">IF(C944&lt;&gt;0,IF(B944=0,NOW(),B944),)</f>
        <v>45971.558156944448</v>
      </c>
      <c r="C944" s="76" t="s">
        <v>160</v>
      </c>
      <c r="D944" s="210" t="s">
        <v>909</v>
      </c>
      <c r="E944" s="79"/>
      <c r="F944" s="79"/>
    </row>
    <row r="945" spans="1:6">
      <c r="A945" s="77">
        <f t="shared" ca="1" si="78"/>
        <v>45971</v>
      </c>
      <c r="B945" s="80">
        <f t="shared" ca="1" si="79"/>
        <v>45971.560419907408</v>
      </c>
      <c r="C945" s="76" t="s">
        <v>160</v>
      </c>
      <c r="D945" s="76" t="s">
        <v>902</v>
      </c>
      <c r="E945" s="79" t="s">
        <v>1405</v>
      </c>
      <c r="F945" s="79"/>
    </row>
    <row r="946" spans="1:6">
      <c r="A946" s="77">
        <f t="shared" ca="1" si="78"/>
        <v>45971</v>
      </c>
      <c r="B946" s="80">
        <f t="shared" ca="1" si="79"/>
        <v>45971.562291666669</v>
      </c>
      <c r="C946" s="76" t="s">
        <v>160</v>
      </c>
      <c r="D946" s="76" t="s">
        <v>902</v>
      </c>
      <c r="E946" s="79" t="s">
        <v>911</v>
      </c>
      <c r="F946" s="79"/>
    </row>
    <row r="947" spans="1:6">
      <c r="A947" s="77">
        <f t="shared" ca="1" si="78"/>
        <v>45971</v>
      </c>
      <c r="B947" s="80">
        <f t="shared" ca="1" si="79"/>
        <v>45971.574016550927</v>
      </c>
      <c r="C947" s="76" t="s">
        <v>160</v>
      </c>
      <c r="D947" s="76" t="s">
        <v>902</v>
      </c>
      <c r="E947" s="79" t="s">
        <v>932</v>
      </c>
      <c r="F947" s="79"/>
    </row>
    <row r="948" spans="1:6">
      <c r="A948" s="77">
        <f t="shared" ca="1" si="78"/>
        <v>45971</v>
      </c>
      <c r="B948" s="80">
        <f t="shared" ca="1" si="79"/>
        <v>45971.574883333335</v>
      </c>
      <c r="C948" s="76" t="s">
        <v>160</v>
      </c>
      <c r="D948" s="76" t="s">
        <v>902</v>
      </c>
      <c r="E948" s="79" t="s">
        <v>1406</v>
      </c>
      <c r="F948" s="79"/>
    </row>
    <row r="949" spans="1:6">
      <c r="A949" s="77">
        <f t="shared" ca="1" si="78"/>
        <v>45971</v>
      </c>
      <c r="B949" s="80">
        <f t="shared" ca="1" si="79"/>
        <v>45971.576028819443</v>
      </c>
      <c r="C949" s="76" t="s">
        <v>160</v>
      </c>
      <c r="D949" s="76" t="s">
        <v>902</v>
      </c>
      <c r="E949" s="79" t="s">
        <v>1047</v>
      </c>
      <c r="F949" s="79"/>
    </row>
    <row r="950" spans="1:6">
      <c r="A950" s="77">
        <f t="shared" ca="1" si="78"/>
        <v>45971</v>
      </c>
      <c r="B950" s="80">
        <f t="shared" ca="1" si="79"/>
        <v>45971.576507175923</v>
      </c>
      <c r="C950" s="76" t="s">
        <v>160</v>
      </c>
      <c r="D950" s="76" t="s">
        <v>902</v>
      </c>
      <c r="E950" s="79" t="s">
        <v>1407</v>
      </c>
      <c r="F950" s="79"/>
    </row>
    <row r="951" spans="1:6">
      <c r="A951" s="77">
        <f t="shared" ca="1" si="78"/>
        <v>45971</v>
      </c>
      <c r="B951" s="80">
        <f t="shared" ca="1" si="79"/>
        <v>45971.584605439813</v>
      </c>
      <c r="C951" s="76" t="s">
        <v>160</v>
      </c>
      <c r="D951" s="76" t="s">
        <v>902</v>
      </c>
      <c r="E951" s="79" t="s">
        <v>1352</v>
      </c>
      <c r="F951" s="79"/>
    </row>
    <row r="952" spans="1:6">
      <c r="A952" s="77">
        <f t="shared" ca="1" si="78"/>
        <v>45971</v>
      </c>
      <c r="B952" s="80">
        <f t="shared" ca="1" si="79"/>
        <v>45971.586505902778</v>
      </c>
      <c r="C952" s="76" t="s">
        <v>160</v>
      </c>
      <c r="D952" s="76" t="s">
        <v>902</v>
      </c>
      <c r="E952" s="79" t="s">
        <v>1392</v>
      </c>
      <c r="F952" s="79"/>
    </row>
    <row r="953" spans="1:6">
      <c r="A953" s="77">
        <f t="shared" ca="1" si="78"/>
        <v>45971</v>
      </c>
      <c r="B953" s="80">
        <f t="shared" ca="1" si="79"/>
        <v>45971.586949884259</v>
      </c>
      <c r="C953" s="76" t="s">
        <v>160</v>
      </c>
      <c r="D953" s="76" t="s">
        <v>902</v>
      </c>
      <c r="E953" s="79" t="s">
        <v>1352</v>
      </c>
      <c r="F953" s="79"/>
    </row>
    <row r="954" spans="1:6">
      <c r="A954" s="77">
        <f t="shared" ca="1" si="78"/>
        <v>45971</v>
      </c>
      <c r="B954" s="80">
        <f t="shared" ca="1" si="79"/>
        <v>45971.587361689817</v>
      </c>
      <c r="C954" s="76" t="s">
        <v>160</v>
      </c>
      <c r="D954" s="76" t="s">
        <v>902</v>
      </c>
      <c r="E954" s="79" t="s">
        <v>1408</v>
      </c>
      <c r="F954" s="79"/>
    </row>
    <row r="955" spans="1:6">
      <c r="A955" s="77">
        <f t="shared" ca="1" si="78"/>
        <v>45971</v>
      </c>
      <c r="B955" s="80">
        <f t="shared" ca="1" si="79"/>
        <v>45971.587524074072</v>
      </c>
      <c r="C955" s="76" t="s">
        <v>160</v>
      </c>
      <c r="D955" s="76" t="s">
        <v>902</v>
      </c>
      <c r="E955" s="79" t="s">
        <v>932</v>
      </c>
      <c r="F955" s="79"/>
    </row>
    <row r="956" spans="1:6">
      <c r="A956" s="77">
        <f t="shared" ca="1" si="78"/>
        <v>45971</v>
      </c>
      <c r="B956" s="80">
        <f t="shared" ca="1" si="79"/>
        <v>45971.592213425924</v>
      </c>
      <c r="C956" s="76" t="s">
        <v>160</v>
      </c>
      <c r="D956" s="76" t="s">
        <v>902</v>
      </c>
      <c r="E956" s="79" t="s">
        <v>1409</v>
      </c>
      <c r="F956" s="79"/>
    </row>
    <row r="957" spans="1:6">
      <c r="A957" s="77">
        <f t="shared" ca="1" si="78"/>
        <v>45971</v>
      </c>
      <c r="B957" s="80">
        <f t="shared" ca="1" si="79"/>
        <v>45971.597431944443</v>
      </c>
      <c r="C957" s="76" t="s">
        <v>160</v>
      </c>
      <c r="D957" s="76" t="s">
        <v>902</v>
      </c>
      <c r="E957" s="79" t="s">
        <v>1410</v>
      </c>
      <c r="F957" s="79"/>
    </row>
    <row r="958" spans="1:6">
      <c r="A958" s="77">
        <f t="shared" ca="1" si="78"/>
        <v>45971</v>
      </c>
      <c r="B958" s="80">
        <f t="shared" ca="1" si="79"/>
        <v>45971.612097337966</v>
      </c>
      <c r="C958" s="76" t="s">
        <v>160</v>
      </c>
      <c r="D958" s="76" t="s">
        <v>902</v>
      </c>
      <c r="E958" s="79" t="s">
        <v>932</v>
      </c>
      <c r="F958" s="79"/>
    </row>
    <row r="959" spans="1:6">
      <c r="A959" s="77">
        <f t="shared" ca="1" si="78"/>
        <v>45971</v>
      </c>
      <c r="B959" s="80">
        <f t="shared" ca="1" si="79"/>
        <v>45971.632247222224</v>
      </c>
      <c r="C959" s="76" t="s">
        <v>160</v>
      </c>
      <c r="D959" s="76" t="s">
        <v>902</v>
      </c>
      <c r="E959" s="79" t="s">
        <v>1411</v>
      </c>
      <c r="F959" s="79"/>
    </row>
    <row r="960" spans="1:6">
      <c r="A960" s="77">
        <f t="shared" ca="1" si="78"/>
        <v>45971</v>
      </c>
      <c r="B960" s="80">
        <f t="shared" ca="1" si="79"/>
        <v>45971.632634490743</v>
      </c>
      <c r="C960" s="76" t="s">
        <v>160</v>
      </c>
      <c r="D960" s="76" t="s">
        <v>902</v>
      </c>
      <c r="E960" s="79" t="s">
        <v>1412</v>
      </c>
      <c r="F960" s="79"/>
    </row>
    <row r="961" spans="1:6">
      <c r="A961" s="77">
        <f t="shared" ca="1" si="78"/>
        <v>45971</v>
      </c>
      <c r="B961" s="80">
        <f t="shared" ca="1" si="79"/>
        <v>45971.636181018519</v>
      </c>
      <c r="C961" s="76" t="s">
        <v>160</v>
      </c>
      <c r="D961" s="76" t="s">
        <v>902</v>
      </c>
      <c r="E961" s="79" t="s">
        <v>955</v>
      </c>
      <c r="F961" s="79"/>
    </row>
    <row r="962" spans="1:6">
      <c r="A962" s="77">
        <f t="shared" ca="1" si="78"/>
        <v>45971</v>
      </c>
      <c r="B962" s="80">
        <f t="shared" ca="1" si="79"/>
        <v>45971.639424537039</v>
      </c>
      <c r="C962" s="76" t="s">
        <v>160</v>
      </c>
      <c r="D962" s="76" t="s">
        <v>902</v>
      </c>
      <c r="E962" s="79" t="s">
        <v>955</v>
      </c>
      <c r="F962" s="79"/>
    </row>
    <row r="963" spans="1:6">
      <c r="A963" s="77">
        <f t="shared" ca="1" si="78"/>
        <v>45971</v>
      </c>
      <c r="B963" s="80">
        <f t="shared" ca="1" si="79"/>
        <v>45971.655089930558</v>
      </c>
      <c r="C963" s="76" t="s">
        <v>160</v>
      </c>
      <c r="D963" s="210" t="s">
        <v>922</v>
      </c>
      <c r="E963" s="79"/>
      <c r="F963" s="79"/>
    </row>
    <row r="964" spans="1:6">
      <c r="A964" s="77">
        <f t="shared" ca="1" si="78"/>
        <v>45971</v>
      </c>
      <c r="B964" s="80">
        <f t="shared" ca="1" si="79"/>
        <v>45971.742103356482</v>
      </c>
      <c r="C964" s="76" t="s">
        <v>164</v>
      </c>
      <c r="D964" s="210" t="s">
        <v>909</v>
      </c>
      <c r="E964" s="79"/>
      <c r="F964" s="79"/>
    </row>
    <row r="965" spans="1:6">
      <c r="A965" s="77">
        <f t="shared" ca="1" si="78"/>
        <v>45971</v>
      </c>
      <c r="B965" s="80">
        <f t="shared" ca="1" si="79"/>
        <v>45971.742303125</v>
      </c>
      <c r="C965" s="76" t="s">
        <v>164</v>
      </c>
      <c r="D965" s="76" t="s">
        <v>902</v>
      </c>
      <c r="E965" s="79" t="s">
        <v>1346</v>
      </c>
      <c r="F965" s="79"/>
    </row>
    <row r="966" spans="1:6">
      <c r="A966" s="77">
        <f t="shared" ca="1" si="78"/>
        <v>45971</v>
      </c>
      <c r="B966" s="80">
        <f t="shared" ca="1" si="79"/>
        <v>45971.742552662035</v>
      </c>
      <c r="C966" s="76" t="s">
        <v>164</v>
      </c>
      <c r="D966" s="76" t="s">
        <v>902</v>
      </c>
      <c r="E966" s="79" t="s">
        <v>1413</v>
      </c>
      <c r="F966" s="79"/>
    </row>
    <row r="967" spans="1:6">
      <c r="A967" s="77">
        <f t="shared" ca="1" si="78"/>
        <v>45971</v>
      </c>
      <c r="B967" s="80">
        <f t="shared" ca="1" si="79"/>
        <v>45971.743056134263</v>
      </c>
      <c r="C967" s="76" t="s">
        <v>164</v>
      </c>
      <c r="D967" s="76" t="s">
        <v>902</v>
      </c>
      <c r="E967" s="79" t="s">
        <v>1346</v>
      </c>
      <c r="F967" s="79"/>
    </row>
    <row r="968" spans="1:6">
      <c r="A968" s="77">
        <f t="shared" ca="1" si="78"/>
        <v>45971</v>
      </c>
      <c r="B968" s="80">
        <f t="shared" ca="1" si="79"/>
        <v>45971.743314467596</v>
      </c>
      <c r="C968" s="76" t="s">
        <v>164</v>
      </c>
      <c r="D968" s="76" t="s">
        <v>902</v>
      </c>
      <c r="E968" s="79" t="s">
        <v>1118</v>
      </c>
      <c r="F968" s="79"/>
    </row>
    <row r="969" spans="1:6">
      <c r="A969" s="77">
        <f t="shared" ca="1" si="78"/>
        <v>45971</v>
      </c>
      <c r="B969" s="80">
        <f t="shared" ca="1" si="79"/>
        <v>45971.74347523148</v>
      </c>
      <c r="C969" s="76" t="s">
        <v>164</v>
      </c>
      <c r="D969" s="76" t="s">
        <v>902</v>
      </c>
      <c r="E969" s="79" t="s">
        <v>1414</v>
      </c>
      <c r="F969" s="79"/>
    </row>
    <row r="970" spans="1:6">
      <c r="A970" s="77">
        <f t="shared" ref="A970:A976" ca="1" si="80">IF(C970&lt;&gt;0,IF(A970=0,TODAY(),A970),)</f>
        <v>45971</v>
      </c>
      <c r="B970" s="80">
        <f t="shared" ref="B970:B976" ca="1" si="81">IF(C970&lt;&gt;0,IF(B970=0,NOW(),B970),)</f>
        <v>45971.743715393517</v>
      </c>
      <c r="C970" s="76" t="s">
        <v>164</v>
      </c>
      <c r="D970" s="76" t="s">
        <v>902</v>
      </c>
      <c r="E970" s="79" t="s">
        <v>1016</v>
      </c>
      <c r="F970" s="79"/>
    </row>
    <row r="971" spans="1:6">
      <c r="A971" s="77">
        <f t="shared" ca="1" si="80"/>
        <v>45971</v>
      </c>
      <c r="B971" s="80">
        <f t="shared" ca="1" si="81"/>
        <v>45971.744155555556</v>
      </c>
      <c r="C971" s="76" t="s">
        <v>164</v>
      </c>
      <c r="D971" s="76" t="s">
        <v>902</v>
      </c>
      <c r="E971" s="79" t="s">
        <v>1118</v>
      </c>
      <c r="F971" s="79"/>
    </row>
    <row r="972" spans="1:6">
      <c r="A972" s="77">
        <f t="shared" ca="1" si="80"/>
        <v>45971</v>
      </c>
      <c r="B972" s="80">
        <f t="shared" ca="1" si="81"/>
        <v>45971.745249305553</v>
      </c>
      <c r="C972" s="76" t="s">
        <v>164</v>
      </c>
      <c r="D972" s="76" t="s">
        <v>902</v>
      </c>
      <c r="E972" s="79" t="s">
        <v>1045</v>
      </c>
      <c r="F972" s="79"/>
    </row>
    <row r="973" spans="1:6">
      <c r="A973" s="77">
        <f t="shared" ca="1" si="80"/>
        <v>45971</v>
      </c>
      <c r="B973" s="80">
        <f t="shared" ca="1" si="81"/>
        <v>45971.74635173611</v>
      </c>
      <c r="C973" s="76" t="s">
        <v>164</v>
      </c>
      <c r="D973" s="76" t="s">
        <v>902</v>
      </c>
      <c r="E973" s="79" t="s">
        <v>1415</v>
      </c>
      <c r="F973" s="79"/>
    </row>
    <row r="974" spans="1:6">
      <c r="A974" s="77">
        <f t="shared" ca="1" si="80"/>
        <v>45971</v>
      </c>
      <c r="B974" s="80">
        <f t="shared" ca="1" si="81"/>
        <v>45971.752371527778</v>
      </c>
      <c r="C974" s="76" t="s">
        <v>164</v>
      </c>
      <c r="D974" s="76" t="s">
        <v>902</v>
      </c>
      <c r="E974" s="79" t="s">
        <v>1268</v>
      </c>
      <c r="F974" s="79"/>
    </row>
    <row r="975" spans="1:6">
      <c r="A975" s="77">
        <f t="shared" ca="1" si="80"/>
        <v>45971</v>
      </c>
      <c r="B975" s="80">
        <f t="shared" ca="1" si="81"/>
        <v>45971.752589236108</v>
      </c>
      <c r="C975" s="76" t="s">
        <v>164</v>
      </c>
      <c r="D975" s="76" t="s">
        <v>902</v>
      </c>
      <c r="E975" s="79" t="s">
        <v>961</v>
      </c>
      <c r="F975" s="79"/>
    </row>
    <row r="976" spans="1:6">
      <c r="A976" s="77">
        <f t="shared" ca="1" si="80"/>
        <v>45971</v>
      </c>
      <c r="B976" s="80">
        <f t="shared" ca="1" si="81"/>
        <v>45971.754011574078</v>
      </c>
      <c r="C976" s="76" t="s">
        <v>164</v>
      </c>
      <c r="D976" s="76" t="s">
        <v>902</v>
      </c>
      <c r="E976" s="79" t="s">
        <v>961</v>
      </c>
      <c r="F976" s="79"/>
    </row>
    <row r="977" spans="1:6">
      <c r="A977" s="77">
        <f t="shared" ref="A977:A984" ca="1" si="82">IF(C977&lt;&gt;0,IF(A977=0,TODAY(),A977),)</f>
        <v>45971</v>
      </c>
      <c r="B977" s="80">
        <f t="shared" ref="B977:B984" ca="1" si="83">IF(C977&lt;&gt;0,IF(B977=0,NOW(),B977),)</f>
        <v>45971.754050810188</v>
      </c>
      <c r="C977" s="76" t="s">
        <v>164</v>
      </c>
      <c r="D977" s="76" t="s">
        <v>902</v>
      </c>
      <c r="E977" s="79" t="s">
        <v>961</v>
      </c>
      <c r="F977" s="79"/>
    </row>
    <row r="978" spans="1:6">
      <c r="A978" s="77">
        <f t="shared" ca="1" si="82"/>
        <v>45971</v>
      </c>
      <c r="B978" s="80">
        <f t="shared" ca="1" si="83"/>
        <v>45971.758190509259</v>
      </c>
      <c r="C978" s="76" t="s">
        <v>164</v>
      </c>
      <c r="D978" s="76" t="s">
        <v>902</v>
      </c>
      <c r="E978" s="79" t="s">
        <v>1416</v>
      </c>
      <c r="F978" s="79"/>
    </row>
    <row r="979" spans="1:6">
      <c r="A979" s="77">
        <f t="shared" ca="1" si="82"/>
        <v>45971</v>
      </c>
      <c r="B979" s="80">
        <f t="shared" ca="1" si="83"/>
        <v>45971.762620833331</v>
      </c>
      <c r="C979" s="76" t="s">
        <v>164</v>
      </c>
      <c r="D979" s="76" t="s">
        <v>902</v>
      </c>
      <c r="E979" s="79" t="s">
        <v>1416</v>
      </c>
      <c r="F979" s="79"/>
    </row>
    <row r="980" spans="1:6">
      <c r="A980" s="77">
        <f t="shared" ca="1" si="82"/>
        <v>45971</v>
      </c>
      <c r="B980" s="80">
        <f t="shared" ca="1" si="83"/>
        <v>45971.766771759256</v>
      </c>
      <c r="C980" s="76" t="s">
        <v>164</v>
      </c>
      <c r="D980" s="76" t="s">
        <v>902</v>
      </c>
      <c r="E980" s="79" t="s">
        <v>1312</v>
      </c>
      <c r="F980" s="79"/>
    </row>
    <row r="981" spans="1:6">
      <c r="A981" s="77">
        <f t="shared" ca="1" si="82"/>
        <v>45971</v>
      </c>
      <c r="B981" s="80">
        <f t="shared" ca="1" si="83"/>
        <v>45971.768011805558</v>
      </c>
      <c r="C981" s="76" t="s">
        <v>164</v>
      </c>
      <c r="D981" s="76" t="s">
        <v>902</v>
      </c>
      <c r="E981" s="79" t="s">
        <v>1417</v>
      </c>
      <c r="F981" s="79"/>
    </row>
    <row r="982" spans="1:6">
      <c r="A982" s="77">
        <f t="shared" ca="1" si="82"/>
        <v>45971</v>
      </c>
      <c r="B982" s="80">
        <f t="shared" ca="1" si="83"/>
        <v>45971.768200694445</v>
      </c>
      <c r="C982" s="76" t="s">
        <v>164</v>
      </c>
      <c r="D982" s="76" t="s">
        <v>902</v>
      </c>
      <c r="E982" s="79" t="s">
        <v>1045</v>
      </c>
      <c r="F982" s="79"/>
    </row>
    <row r="983" spans="1:6">
      <c r="A983" s="77">
        <f t="shared" ca="1" si="82"/>
        <v>45971</v>
      </c>
      <c r="B983" s="80">
        <f t="shared" ca="1" si="83"/>
        <v>45971.768517476849</v>
      </c>
      <c r="C983" s="76" t="s">
        <v>164</v>
      </c>
      <c r="D983" s="76" t="s">
        <v>902</v>
      </c>
      <c r="E983" s="79" t="s">
        <v>1418</v>
      </c>
      <c r="F983" s="79"/>
    </row>
    <row r="984" spans="1:6">
      <c r="A984" s="77">
        <f t="shared" ca="1" si="82"/>
        <v>45971</v>
      </c>
      <c r="B984" s="80">
        <f t="shared" ca="1" si="83"/>
        <v>45971.770507291665</v>
      </c>
      <c r="C984" s="76" t="s">
        <v>164</v>
      </c>
      <c r="D984" s="76" t="s">
        <v>902</v>
      </c>
      <c r="E984" s="79" t="s">
        <v>920</v>
      </c>
      <c r="F984" s="79"/>
    </row>
    <row r="985" spans="1:6">
      <c r="A985" s="77">
        <f t="shared" ref="A985:A991" ca="1" si="84">IF(C985&lt;&gt;0,IF(A985=0,TODAY(),A985),)</f>
        <v>45971</v>
      </c>
      <c r="B985" s="80">
        <f t="shared" ref="B985:B991" ca="1" si="85">IF(C985&lt;&gt;0,IF(B985=0,NOW(),B985),)</f>
        <v>45971.771536111111</v>
      </c>
      <c r="C985" s="76" t="s">
        <v>164</v>
      </c>
      <c r="D985" s="76" t="s">
        <v>902</v>
      </c>
      <c r="E985" s="79" t="s">
        <v>1419</v>
      </c>
      <c r="F985" s="79"/>
    </row>
    <row r="986" spans="1:6">
      <c r="A986" s="77">
        <f t="shared" ca="1" si="84"/>
        <v>45971</v>
      </c>
      <c r="B986" s="80">
        <f t="shared" ca="1" si="85"/>
        <v>45971.784292708333</v>
      </c>
      <c r="C986" s="76" t="s">
        <v>164</v>
      </c>
      <c r="D986" s="76" t="s">
        <v>902</v>
      </c>
      <c r="E986" s="79" t="s">
        <v>1420</v>
      </c>
      <c r="F986" s="79"/>
    </row>
    <row r="987" spans="1:6">
      <c r="A987" s="77">
        <f t="shared" ca="1" si="84"/>
        <v>45971</v>
      </c>
      <c r="B987" s="80">
        <f t="shared" ca="1" si="85"/>
        <v>45971.784292708333</v>
      </c>
      <c r="C987" s="76" t="s">
        <v>164</v>
      </c>
      <c r="D987" s="76" t="s">
        <v>902</v>
      </c>
      <c r="E987" s="79" t="s">
        <v>1420</v>
      </c>
      <c r="F987" s="79"/>
    </row>
    <row r="988" spans="1:6">
      <c r="A988" s="77">
        <f t="shared" ca="1" si="84"/>
        <v>45971</v>
      </c>
      <c r="B988" s="80">
        <f t="shared" ca="1" si="85"/>
        <v>45971.784292708333</v>
      </c>
      <c r="C988" s="76" t="s">
        <v>164</v>
      </c>
      <c r="D988" s="76" t="s">
        <v>902</v>
      </c>
      <c r="E988" s="79" t="s">
        <v>1420</v>
      </c>
      <c r="F988" s="79"/>
    </row>
    <row r="989" spans="1:6">
      <c r="A989" s="77">
        <f t="shared" ca="1" si="84"/>
        <v>45971</v>
      </c>
      <c r="B989" s="80">
        <f t="shared" ca="1" si="85"/>
        <v>45971.791980787035</v>
      </c>
      <c r="C989" s="76" t="s">
        <v>164</v>
      </c>
      <c r="D989" s="76" t="s">
        <v>902</v>
      </c>
      <c r="E989" s="79" t="s">
        <v>1421</v>
      </c>
      <c r="F989" s="79"/>
    </row>
    <row r="990" spans="1:6">
      <c r="A990" s="77">
        <f t="shared" ca="1" si="84"/>
        <v>45971</v>
      </c>
      <c r="B990" s="80">
        <f t="shared" ca="1" si="85"/>
        <v>45971.801113773145</v>
      </c>
      <c r="C990" s="76" t="s">
        <v>164</v>
      </c>
      <c r="D990" s="76" t="s">
        <v>902</v>
      </c>
      <c r="E990" s="79" t="s">
        <v>1422</v>
      </c>
      <c r="F990" s="79" t="s">
        <v>1014</v>
      </c>
    </row>
    <row r="991" spans="1:6">
      <c r="A991" s="77">
        <f t="shared" ca="1" si="84"/>
        <v>45971</v>
      </c>
      <c r="B991" s="80">
        <f t="shared" ca="1" si="85"/>
        <v>45971.804145717593</v>
      </c>
      <c r="C991" s="76" t="s">
        <v>164</v>
      </c>
      <c r="D991" s="210" t="s">
        <v>922</v>
      </c>
      <c r="E991" s="79"/>
      <c r="F991" s="79"/>
    </row>
    <row r="992" spans="1:6">
      <c r="A992" s="77">
        <f t="shared" ref="A992:A996" ca="1" si="86">IF(C992&lt;&gt;0,IF(A992=0,TODAY(),A992),)</f>
        <v>45971</v>
      </c>
      <c r="B992" s="80">
        <f t="shared" ref="B992:B995" ca="1" si="87">IF(C992&lt;&gt;0,IF(B992=0,NOW(),B992),)</f>
        <v>45971.874749652779</v>
      </c>
      <c r="C992" s="76" t="s">
        <v>168</v>
      </c>
      <c r="D992" s="210" t="s">
        <v>909</v>
      </c>
      <c r="E992" s="79"/>
      <c r="F992" s="79"/>
    </row>
    <row r="993" spans="1:6">
      <c r="A993" s="77">
        <f t="shared" ca="1" si="86"/>
        <v>45971</v>
      </c>
      <c r="B993" s="80">
        <f t="shared" ca="1" si="87"/>
        <v>45971.877391087961</v>
      </c>
      <c r="C993" s="76" t="s">
        <v>168</v>
      </c>
      <c r="D993" s="76" t="s">
        <v>902</v>
      </c>
      <c r="E993" s="79" t="s">
        <v>1381</v>
      </c>
      <c r="F993" s="79"/>
    </row>
    <row r="994" spans="1:6">
      <c r="A994" s="77">
        <f t="shared" ca="1" si="86"/>
        <v>45971</v>
      </c>
      <c r="B994" s="80">
        <f t="shared" ca="1" si="87"/>
        <v>45971.877732291665</v>
      </c>
      <c r="C994" s="76" t="s">
        <v>168</v>
      </c>
      <c r="D994" s="76" t="s">
        <v>902</v>
      </c>
      <c r="E994" s="79" t="s">
        <v>1381</v>
      </c>
      <c r="F994" s="79"/>
    </row>
    <row r="995" spans="1:6">
      <c r="A995" s="77">
        <f t="shared" ca="1" si="86"/>
        <v>45971</v>
      </c>
      <c r="B995" s="80">
        <f t="shared" ca="1" si="87"/>
        <v>45971.878076273148</v>
      </c>
      <c r="C995" s="76" t="s">
        <v>168</v>
      </c>
      <c r="D995" s="76" t="s">
        <v>902</v>
      </c>
      <c r="E995" s="79" t="s">
        <v>1423</v>
      </c>
      <c r="F995" s="79"/>
    </row>
    <row r="996" spans="1:6">
      <c r="A996" s="77">
        <f t="shared" ca="1" si="86"/>
        <v>45971</v>
      </c>
      <c r="B996" s="80">
        <v>0.87847222222222221</v>
      </c>
      <c r="C996" s="76" t="s">
        <v>168</v>
      </c>
      <c r="D996" s="76" t="s">
        <v>902</v>
      </c>
      <c r="E996" s="79" t="s">
        <v>1381</v>
      </c>
      <c r="F996" s="79"/>
    </row>
    <row r="997" spans="1:6">
      <c r="A997" s="77">
        <f t="shared" ref="A997:A1060" ca="1" si="88">IF(C997&lt;&gt;0,IF(A997=0,TODAY(),A997),)</f>
        <v>45971</v>
      </c>
      <c r="B997" s="80">
        <f t="shared" ref="B997:B1060" ca="1" si="89">IF(C997&lt;&gt;0,IF(B997=0,NOW(),B997),)</f>
        <v>45971.879217013891</v>
      </c>
      <c r="C997" s="76" t="s">
        <v>168</v>
      </c>
      <c r="D997" s="76" t="s">
        <v>902</v>
      </c>
      <c r="E997" s="79" t="s">
        <v>1381</v>
      </c>
      <c r="F997" s="79"/>
    </row>
    <row r="998" spans="1:6">
      <c r="A998" s="77">
        <f t="shared" ca="1" si="88"/>
        <v>45971</v>
      </c>
      <c r="B998" s="80">
        <f t="shared" ca="1" si="89"/>
        <v>45971.879339236111</v>
      </c>
      <c r="C998" s="76" t="s">
        <v>168</v>
      </c>
      <c r="D998" s="76" t="s">
        <v>902</v>
      </c>
      <c r="E998" s="79" t="s">
        <v>1370</v>
      </c>
      <c r="F998" s="79"/>
    </row>
    <row r="999" spans="1:6">
      <c r="A999" s="77">
        <f t="shared" ca="1" si="88"/>
        <v>45971</v>
      </c>
      <c r="B999" s="80">
        <f t="shared" ca="1" si="89"/>
        <v>45971.881452314818</v>
      </c>
      <c r="C999" s="76" t="s">
        <v>168</v>
      </c>
      <c r="D999" s="76" t="s">
        <v>902</v>
      </c>
      <c r="E999" s="79" t="s">
        <v>1381</v>
      </c>
      <c r="F999" s="79"/>
    </row>
    <row r="1000" spans="1:6">
      <c r="A1000" s="77">
        <f t="shared" ca="1" si="88"/>
        <v>45971</v>
      </c>
      <c r="B1000" s="80">
        <f t="shared" ca="1" si="89"/>
        <v>45971.881473263886</v>
      </c>
      <c r="C1000" s="76" t="s">
        <v>168</v>
      </c>
      <c r="D1000" s="76" t="s">
        <v>902</v>
      </c>
      <c r="E1000" s="79" t="s">
        <v>1424</v>
      </c>
      <c r="F1000" s="79"/>
    </row>
    <row r="1001" spans="1:6">
      <c r="A1001" s="77">
        <f t="shared" ca="1" si="88"/>
        <v>45971</v>
      </c>
      <c r="B1001" s="80">
        <f t="shared" ca="1" si="89"/>
        <v>45971.881911921293</v>
      </c>
      <c r="C1001" s="76" t="s">
        <v>168</v>
      </c>
      <c r="D1001" s="76" t="s">
        <v>902</v>
      </c>
      <c r="E1001" s="79" t="s">
        <v>1425</v>
      </c>
      <c r="F1001" s="79"/>
    </row>
    <row r="1002" spans="1:6">
      <c r="A1002" s="77">
        <f t="shared" ca="1" si="88"/>
        <v>45971</v>
      </c>
      <c r="B1002" s="80">
        <f t="shared" ca="1" si="89"/>
        <v>45971.88568634259</v>
      </c>
      <c r="C1002" s="76" t="s">
        <v>168</v>
      </c>
      <c r="D1002" s="76" t="s">
        <v>902</v>
      </c>
      <c r="E1002" s="79" t="s">
        <v>1426</v>
      </c>
      <c r="F1002" s="79"/>
    </row>
    <row r="1003" spans="1:6">
      <c r="A1003" s="77">
        <f t="shared" ca="1" si="88"/>
        <v>45971</v>
      </c>
      <c r="B1003" s="80">
        <f t="shared" ca="1" si="89"/>
        <v>45971.887642708331</v>
      </c>
      <c r="C1003" s="76" t="s">
        <v>168</v>
      </c>
      <c r="D1003" s="76" t="s">
        <v>902</v>
      </c>
      <c r="E1003" s="79" t="s">
        <v>1381</v>
      </c>
      <c r="F1003" s="79"/>
    </row>
    <row r="1004" spans="1:6">
      <c r="A1004" s="77">
        <f t="shared" ca="1" si="88"/>
        <v>45971</v>
      </c>
      <c r="B1004" s="80">
        <f t="shared" ca="1" si="89"/>
        <v>45971.888612037037</v>
      </c>
      <c r="C1004" s="76" t="s">
        <v>168</v>
      </c>
      <c r="D1004" s="76" t="s">
        <v>902</v>
      </c>
      <c r="E1004" s="79" t="s">
        <v>1427</v>
      </c>
      <c r="F1004" s="79"/>
    </row>
    <row r="1005" spans="1:6">
      <c r="A1005" s="77">
        <f t="shared" ca="1" si="88"/>
        <v>45971</v>
      </c>
      <c r="B1005" s="80">
        <f t="shared" ca="1" si="89"/>
        <v>45971.893850231485</v>
      </c>
      <c r="C1005" s="76" t="s">
        <v>168</v>
      </c>
      <c r="D1005" s="76" t="s">
        <v>902</v>
      </c>
      <c r="E1005" s="79" t="s">
        <v>1063</v>
      </c>
      <c r="F1005" s="79"/>
    </row>
    <row r="1006" spans="1:6">
      <c r="A1006" s="77">
        <f t="shared" ca="1" si="88"/>
        <v>45971</v>
      </c>
      <c r="B1006" s="80">
        <f t="shared" ca="1" si="89"/>
        <v>45971.895179861109</v>
      </c>
      <c r="C1006" s="76" t="s">
        <v>168</v>
      </c>
      <c r="D1006" s="76" t="s">
        <v>902</v>
      </c>
      <c r="E1006" s="79" t="s">
        <v>1370</v>
      </c>
      <c r="F1006" s="79"/>
    </row>
    <row r="1007" spans="1:6">
      <c r="A1007" s="77">
        <f t="shared" ca="1" si="88"/>
        <v>45971</v>
      </c>
      <c r="B1007" s="80">
        <f t="shared" ca="1" si="89"/>
        <v>45971.900404050924</v>
      </c>
      <c r="C1007" s="76" t="s">
        <v>168</v>
      </c>
      <c r="D1007" s="76" t="s">
        <v>902</v>
      </c>
      <c r="E1007" s="79" t="s">
        <v>1370</v>
      </c>
      <c r="F1007" s="79"/>
    </row>
    <row r="1008" spans="1:6">
      <c r="A1008" s="77">
        <f t="shared" ca="1" si="88"/>
        <v>45971</v>
      </c>
      <c r="B1008" s="80">
        <f t="shared" ca="1" si="89"/>
        <v>45971.900466666666</v>
      </c>
      <c r="C1008" s="76" t="s">
        <v>168</v>
      </c>
      <c r="D1008" s="76" t="s">
        <v>902</v>
      </c>
      <c r="E1008" s="79" t="s">
        <v>1381</v>
      </c>
      <c r="F1008" s="79"/>
    </row>
    <row r="1009" spans="1:6">
      <c r="A1009" s="77">
        <f t="shared" ca="1" si="88"/>
        <v>45971</v>
      </c>
      <c r="B1009" s="80">
        <f t="shared" ca="1" si="89"/>
        <v>45971.901954976849</v>
      </c>
      <c r="C1009" s="76" t="s">
        <v>168</v>
      </c>
      <c r="D1009" s="76" t="s">
        <v>902</v>
      </c>
      <c r="E1009" s="79" t="s">
        <v>1428</v>
      </c>
      <c r="F1009" s="79"/>
    </row>
    <row r="1010" spans="1:6">
      <c r="A1010" s="77">
        <f t="shared" ca="1" si="88"/>
        <v>45971</v>
      </c>
      <c r="B1010" s="80">
        <f t="shared" ca="1" si="89"/>
        <v>45971.903103356482</v>
      </c>
      <c r="C1010" s="76" t="s">
        <v>168</v>
      </c>
      <c r="D1010" s="76" t="s">
        <v>902</v>
      </c>
      <c r="E1010" s="79" t="s">
        <v>1429</v>
      </c>
      <c r="F1010" s="79"/>
    </row>
    <row r="1011" spans="1:6">
      <c r="A1011" s="77">
        <f t="shared" ca="1" si="88"/>
        <v>45971</v>
      </c>
      <c r="B1011" s="80">
        <f t="shared" ca="1" si="89"/>
        <v>45971.903819328705</v>
      </c>
      <c r="C1011" s="76" t="s">
        <v>168</v>
      </c>
      <c r="D1011" s="76" t="s">
        <v>902</v>
      </c>
      <c r="E1011" s="79" t="s">
        <v>1430</v>
      </c>
      <c r="F1011" s="79"/>
    </row>
    <row r="1012" spans="1:6">
      <c r="A1012" s="77">
        <f t="shared" ca="1" si="88"/>
        <v>45971</v>
      </c>
      <c r="B1012" s="80">
        <f t="shared" ca="1" si="89"/>
        <v>45971.903858912039</v>
      </c>
      <c r="C1012" s="76" t="s">
        <v>168</v>
      </c>
      <c r="D1012" s="76" t="s">
        <v>902</v>
      </c>
      <c r="E1012" s="79" t="s">
        <v>932</v>
      </c>
      <c r="F1012" s="79"/>
    </row>
    <row r="1013" spans="1:6">
      <c r="A1013" s="77">
        <f t="shared" ca="1" si="88"/>
        <v>45971</v>
      </c>
      <c r="B1013" s="80">
        <f t="shared" ca="1" si="89"/>
        <v>45971.90690671296</v>
      </c>
      <c r="C1013" s="76" t="s">
        <v>168</v>
      </c>
      <c r="D1013" s="76" t="s">
        <v>902</v>
      </c>
      <c r="E1013" s="79" t="s">
        <v>932</v>
      </c>
      <c r="F1013" s="79"/>
    </row>
    <row r="1014" spans="1:6">
      <c r="A1014" s="77">
        <f t="shared" ca="1" si="88"/>
        <v>45971</v>
      </c>
      <c r="B1014" s="80">
        <f t="shared" ca="1" si="89"/>
        <v>45971.912894791669</v>
      </c>
      <c r="C1014" s="76" t="s">
        <v>168</v>
      </c>
      <c r="D1014" s="76" t="s">
        <v>902</v>
      </c>
      <c r="E1014" s="79" t="s">
        <v>1429</v>
      </c>
      <c r="F1014" s="79"/>
    </row>
    <row r="1015" spans="1:6">
      <c r="A1015" s="77">
        <f t="shared" ca="1" si="88"/>
        <v>45971</v>
      </c>
      <c r="B1015" s="80">
        <f t="shared" ca="1" si="89"/>
        <v>45971.916335416667</v>
      </c>
      <c r="C1015" s="76" t="s">
        <v>168</v>
      </c>
      <c r="D1015" s="76" t="s">
        <v>902</v>
      </c>
      <c r="E1015" s="79" t="s">
        <v>1422</v>
      </c>
      <c r="F1015" s="79" t="s">
        <v>1014</v>
      </c>
    </row>
    <row r="1016" spans="1:6">
      <c r="A1016" s="77">
        <f t="shared" ca="1" si="88"/>
        <v>45971</v>
      </c>
      <c r="B1016" s="80">
        <f t="shared" ca="1" si="89"/>
        <v>45971.925019907409</v>
      </c>
      <c r="C1016" s="76" t="s">
        <v>168</v>
      </c>
      <c r="D1016" s="76" t="s">
        <v>902</v>
      </c>
      <c r="E1016" s="79" t="s">
        <v>955</v>
      </c>
      <c r="F1016" s="79"/>
    </row>
    <row r="1017" spans="1:6">
      <c r="A1017" s="77">
        <f t="shared" ca="1" si="88"/>
        <v>45971</v>
      </c>
      <c r="B1017" s="80">
        <f t="shared" ca="1" si="89"/>
        <v>45971.931801620369</v>
      </c>
      <c r="C1017" s="76" t="s">
        <v>168</v>
      </c>
      <c r="D1017" s="76" t="s">
        <v>902</v>
      </c>
      <c r="E1017" s="79" t="s">
        <v>1118</v>
      </c>
      <c r="F1017" s="79"/>
    </row>
    <row r="1018" spans="1:6">
      <c r="A1018" s="77">
        <f t="shared" ca="1" si="88"/>
        <v>45971</v>
      </c>
      <c r="B1018" s="80">
        <f t="shared" ca="1" si="89"/>
        <v>45971.934897800929</v>
      </c>
      <c r="C1018" s="76" t="s">
        <v>168</v>
      </c>
      <c r="D1018" s="76" t="s">
        <v>902</v>
      </c>
      <c r="E1018" s="79" t="s">
        <v>1431</v>
      </c>
      <c r="F1018" s="79" t="s">
        <v>1233</v>
      </c>
    </row>
    <row r="1019" spans="1:6">
      <c r="A1019" s="77">
        <f t="shared" ca="1" si="88"/>
        <v>45971</v>
      </c>
      <c r="B1019" s="80">
        <f t="shared" ca="1" si="89"/>
        <v>45971.936575462962</v>
      </c>
      <c r="C1019" s="76" t="s">
        <v>168</v>
      </c>
      <c r="D1019" s="76" t="s">
        <v>902</v>
      </c>
      <c r="E1019" s="79" t="s">
        <v>1432</v>
      </c>
      <c r="F1019" s="79"/>
    </row>
    <row r="1020" spans="1:6">
      <c r="A1020" s="77">
        <f t="shared" ca="1" si="88"/>
        <v>45971</v>
      </c>
      <c r="B1020" s="80">
        <f t="shared" ca="1" si="89"/>
        <v>45971.947144791666</v>
      </c>
      <c r="C1020" s="76" t="s">
        <v>168</v>
      </c>
      <c r="D1020" s="210" t="s">
        <v>922</v>
      </c>
      <c r="E1020" s="79"/>
      <c r="F1020" s="79"/>
    </row>
    <row r="1021" spans="1:6">
      <c r="A1021" s="77">
        <f t="shared" ca="1" si="88"/>
        <v>45972</v>
      </c>
      <c r="B1021" s="80">
        <f t="shared" ca="1" si="89"/>
        <v>45972.041862731479</v>
      </c>
      <c r="C1021" s="76" t="s">
        <v>172</v>
      </c>
      <c r="D1021" s="76" t="s">
        <v>902</v>
      </c>
      <c r="E1021" s="79" t="s">
        <v>1433</v>
      </c>
      <c r="F1021" s="79"/>
    </row>
    <row r="1022" spans="1:6">
      <c r="A1022" s="77">
        <f t="shared" ca="1" si="88"/>
        <v>45972</v>
      </c>
      <c r="B1022" s="80">
        <f t="shared" ca="1" si="89"/>
        <v>45972.047563657405</v>
      </c>
      <c r="C1022" s="76" t="s">
        <v>172</v>
      </c>
      <c r="D1022" s="210" t="s">
        <v>909</v>
      </c>
      <c r="E1022" s="79"/>
      <c r="F1022" s="79"/>
    </row>
    <row r="1023" spans="1:6">
      <c r="A1023" s="77">
        <f t="shared" ca="1" si="88"/>
        <v>45972</v>
      </c>
      <c r="B1023" s="80">
        <f t="shared" ca="1" si="89"/>
        <v>45972.05248460648</v>
      </c>
      <c r="C1023" s="76" t="s">
        <v>172</v>
      </c>
      <c r="D1023" s="76" t="s">
        <v>902</v>
      </c>
      <c r="E1023" s="79" t="s">
        <v>1173</v>
      </c>
      <c r="F1023" s="79"/>
    </row>
    <row r="1024" spans="1:6">
      <c r="A1024" s="77">
        <f t="shared" ca="1" si="88"/>
        <v>45972</v>
      </c>
      <c r="B1024" s="80">
        <f t="shared" ca="1" si="89"/>
        <v>45972.056175694444</v>
      </c>
      <c r="C1024" s="76" t="s">
        <v>172</v>
      </c>
      <c r="D1024" s="76" t="s">
        <v>902</v>
      </c>
      <c r="E1024" s="79" t="s">
        <v>1434</v>
      </c>
      <c r="F1024" s="79"/>
    </row>
    <row r="1025" spans="1:6">
      <c r="A1025" s="77">
        <f t="shared" ca="1" si="88"/>
        <v>45972</v>
      </c>
      <c r="B1025" s="80">
        <f t="shared" ca="1" si="89"/>
        <v>45972.056254166666</v>
      </c>
      <c r="C1025" s="76" t="s">
        <v>172</v>
      </c>
      <c r="D1025" s="76" t="s">
        <v>902</v>
      </c>
      <c r="E1025" s="79" t="s">
        <v>1118</v>
      </c>
      <c r="F1025" s="79"/>
    </row>
    <row r="1026" spans="1:6">
      <c r="A1026" s="77">
        <f t="shared" ca="1" si="88"/>
        <v>45972</v>
      </c>
      <c r="B1026" s="80">
        <f t="shared" ca="1" si="89"/>
        <v>45972.057791550928</v>
      </c>
      <c r="C1026" s="76" t="s">
        <v>172</v>
      </c>
      <c r="D1026" s="76" t="s">
        <v>902</v>
      </c>
      <c r="E1026" s="79" t="s">
        <v>931</v>
      </c>
      <c r="F1026" s="79" t="s">
        <v>1435</v>
      </c>
    </row>
    <row r="1027" spans="1:6">
      <c r="A1027" s="77">
        <f t="shared" ca="1" si="88"/>
        <v>45972</v>
      </c>
      <c r="B1027" s="80">
        <f t="shared" ca="1" si="89"/>
        <v>45972.062183680559</v>
      </c>
      <c r="C1027" s="76" t="s">
        <v>172</v>
      </c>
      <c r="D1027" s="76" t="s">
        <v>902</v>
      </c>
      <c r="E1027" s="79" t="s">
        <v>961</v>
      </c>
      <c r="F1027" s="79"/>
    </row>
    <row r="1028" spans="1:6">
      <c r="A1028" s="77">
        <f t="shared" ca="1" si="88"/>
        <v>45972</v>
      </c>
      <c r="B1028" s="80">
        <f t="shared" ca="1" si="89"/>
        <v>45972.066326851855</v>
      </c>
      <c r="C1028" s="76" t="s">
        <v>172</v>
      </c>
      <c r="D1028" s="76" t="s">
        <v>902</v>
      </c>
      <c r="E1028" s="79" t="s">
        <v>1381</v>
      </c>
      <c r="F1028" s="79"/>
    </row>
    <row r="1029" spans="1:6">
      <c r="A1029" s="77">
        <f t="shared" ca="1" si="88"/>
        <v>45972</v>
      </c>
      <c r="B1029" s="80">
        <f t="shared" ca="1" si="89"/>
        <v>45972.072059837963</v>
      </c>
      <c r="C1029" s="76" t="s">
        <v>172</v>
      </c>
      <c r="D1029" s="76" t="s">
        <v>902</v>
      </c>
      <c r="E1029" s="79" t="s">
        <v>1381</v>
      </c>
      <c r="F1029" s="79"/>
    </row>
    <row r="1030" spans="1:6">
      <c r="A1030" s="77">
        <f t="shared" ca="1" si="88"/>
        <v>45972</v>
      </c>
      <c r="B1030" s="80">
        <f t="shared" ca="1" si="89"/>
        <v>45972.073093865743</v>
      </c>
      <c r="C1030" s="76" t="s">
        <v>172</v>
      </c>
      <c r="D1030" s="76" t="s">
        <v>902</v>
      </c>
      <c r="E1030" s="79" t="s">
        <v>1370</v>
      </c>
      <c r="F1030" s="79"/>
    </row>
    <row r="1031" spans="1:6">
      <c r="A1031" s="77">
        <f t="shared" ca="1" si="88"/>
        <v>45972</v>
      </c>
      <c r="B1031" s="80">
        <f t="shared" ca="1" si="89"/>
        <v>45972.076903240741</v>
      </c>
      <c r="C1031" s="76" t="s">
        <v>172</v>
      </c>
      <c r="D1031" s="76" t="s">
        <v>902</v>
      </c>
      <c r="E1031" s="79" t="s">
        <v>1370</v>
      </c>
      <c r="F1031" s="79"/>
    </row>
    <row r="1032" spans="1:6">
      <c r="A1032" s="77">
        <f t="shared" ca="1" si="88"/>
        <v>45972</v>
      </c>
      <c r="B1032" s="80">
        <f t="shared" ca="1" si="89"/>
        <v>45972.077639236108</v>
      </c>
      <c r="C1032" s="76" t="s">
        <v>172</v>
      </c>
      <c r="D1032" s="76" t="s">
        <v>902</v>
      </c>
      <c r="E1032" s="79" t="s">
        <v>1381</v>
      </c>
      <c r="F1032" s="79"/>
    </row>
    <row r="1033" spans="1:6">
      <c r="A1033" s="77">
        <f t="shared" ca="1" si="88"/>
        <v>45972</v>
      </c>
      <c r="B1033" s="80">
        <f t="shared" ca="1" si="89"/>
        <v>45972.078653009259</v>
      </c>
      <c r="C1033" s="76" t="s">
        <v>172</v>
      </c>
      <c r="D1033" s="76" t="s">
        <v>902</v>
      </c>
      <c r="E1033" s="79" t="s">
        <v>1410</v>
      </c>
      <c r="F1033" s="79" t="s">
        <v>1010</v>
      </c>
    </row>
    <row r="1034" spans="1:6">
      <c r="A1034" s="77">
        <f t="shared" ca="1" si="88"/>
        <v>45972</v>
      </c>
      <c r="B1034" s="80">
        <f t="shared" ca="1" si="89"/>
        <v>45972.08047847222</v>
      </c>
      <c r="C1034" s="76" t="s">
        <v>172</v>
      </c>
      <c r="D1034" s="76" t="s">
        <v>902</v>
      </c>
      <c r="E1034" s="79" t="s">
        <v>1370</v>
      </c>
      <c r="F1034" s="79"/>
    </row>
    <row r="1035" spans="1:6">
      <c r="A1035" s="77">
        <f t="shared" ca="1" si="88"/>
        <v>45972</v>
      </c>
      <c r="B1035" s="80">
        <f t="shared" ca="1" si="89"/>
        <v>45972.084157407407</v>
      </c>
      <c r="C1035" s="76" t="s">
        <v>172</v>
      </c>
      <c r="D1035" s="76" t="s">
        <v>902</v>
      </c>
      <c r="E1035" s="79" t="s">
        <v>1436</v>
      </c>
      <c r="F1035" s="79"/>
    </row>
    <row r="1036" spans="1:6">
      <c r="A1036" s="77">
        <f t="shared" ca="1" si="88"/>
        <v>45972</v>
      </c>
      <c r="B1036" s="80">
        <f t="shared" ca="1" si="89"/>
        <v>45972.084532986111</v>
      </c>
      <c r="C1036" s="76" t="s">
        <v>172</v>
      </c>
      <c r="D1036" s="76" t="s">
        <v>902</v>
      </c>
      <c r="E1036" s="79" t="s">
        <v>1370</v>
      </c>
      <c r="F1036" s="79"/>
    </row>
    <row r="1037" spans="1:6">
      <c r="A1037" s="77">
        <f t="shared" ca="1" si="88"/>
        <v>45972</v>
      </c>
      <c r="B1037" s="80">
        <f t="shared" ca="1" si="89"/>
        <v>45972.084554745372</v>
      </c>
      <c r="C1037" s="76" t="s">
        <v>172</v>
      </c>
      <c r="D1037" s="76" t="s">
        <v>902</v>
      </c>
      <c r="E1037" s="79" t="s">
        <v>1370</v>
      </c>
      <c r="F1037" s="79"/>
    </row>
    <row r="1038" spans="1:6">
      <c r="A1038" s="77">
        <f t="shared" ca="1" si="88"/>
        <v>45972</v>
      </c>
      <c r="B1038" s="80">
        <f t="shared" ca="1" si="89"/>
        <v>45972.085527083334</v>
      </c>
      <c r="C1038" s="76" t="s">
        <v>172</v>
      </c>
      <c r="D1038" s="76" t="s">
        <v>902</v>
      </c>
      <c r="E1038" s="79" t="s">
        <v>1370</v>
      </c>
      <c r="F1038" s="79"/>
    </row>
    <row r="1039" spans="1:6">
      <c r="A1039" s="77">
        <f t="shared" ca="1" si="88"/>
        <v>45972</v>
      </c>
      <c r="B1039" s="80">
        <f t="shared" ca="1" si="89"/>
        <v>45972.087145833335</v>
      </c>
      <c r="C1039" s="76" t="s">
        <v>172</v>
      </c>
      <c r="D1039" s="76" t="s">
        <v>902</v>
      </c>
      <c r="E1039" s="79" t="s">
        <v>1437</v>
      </c>
      <c r="F1039" s="79"/>
    </row>
    <row r="1040" spans="1:6">
      <c r="A1040" s="77">
        <f t="shared" ca="1" si="88"/>
        <v>45972</v>
      </c>
      <c r="B1040" s="80">
        <f t="shared" ca="1" si="89"/>
        <v>45972.089874768521</v>
      </c>
      <c r="C1040" s="76" t="s">
        <v>172</v>
      </c>
      <c r="D1040" s="76" t="s">
        <v>902</v>
      </c>
      <c r="E1040" s="79" t="s">
        <v>920</v>
      </c>
      <c r="F1040" s="79"/>
    </row>
    <row r="1041" spans="1:6">
      <c r="A1041" s="77">
        <f t="shared" ca="1" si="88"/>
        <v>45972</v>
      </c>
      <c r="B1041" s="80">
        <f t="shared" ca="1" si="89"/>
        <v>45972.091117245371</v>
      </c>
      <c r="C1041" s="76" t="s">
        <v>172</v>
      </c>
      <c r="D1041" s="76" t="s">
        <v>902</v>
      </c>
      <c r="E1041" s="79" t="s">
        <v>1436</v>
      </c>
      <c r="F1041" s="79"/>
    </row>
    <row r="1042" spans="1:6">
      <c r="A1042" s="77">
        <f t="shared" ca="1" si="88"/>
        <v>45972</v>
      </c>
      <c r="B1042" s="80">
        <f t="shared" ca="1" si="89"/>
        <v>45972.092306944447</v>
      </c>
      <c r="C1042" s="76" t="s">
        <v>172</v>
      </c>
      <c r="D1042" s="76" t="s">
        <v>902</v>
      </c>
      <c r="E1042" s="79" t="s">
        <v>920</v>
      </c>
      <c r="F1042" s="79"/>
    </row>
    <row r="1043" spans="1:6">
      <c r="A1043" s="77">
        <f t="shared" ca="1" si="88"/>
        <v>45972</v>
      </c>
      <c r="B1043" s="80">
        <f t="shared" ca="1" si="89"/>
        <v>45972.102940509256</v>
      </c>
      <c r="C1043" s="76" t="s">
        <v>172</v>
      </c>
      <c r="D1043" s="76" t="s">
        <v>902</v>
      </c>
      <c r="E1043" s="79" t="s">
        <v>931</v>
      </c>
      <c r="F1043" s="79" t="s">
        <v>1435</v>
      </c>
    </row>
    <row r="1044" spans="1:6">
      <c r="A1044" s="77">
        <f t="shared" ca="1" si="88"/>
        <v>45972</v>
      </c>
      <c r="B1044" s="80">
        <f t="shared" ca="1" si="89"/>
        <v>45972.103475231481</v>
      </c>
      <c r="C1044" s="76" t="s">
        <v>172</v>
      </c>
      <c r="D1044" s="76" t="s">
        <v>902</v>
      </c>
      <c r="E1044" s="79" t="s">
        <v>1438</v>
      </c>
      <c r="F1044" s="79"/>
    </row>
    <row r="1045" spans="1:6">
      <c r="A1045" s="77">
        <f t="shared" ca="1" si="88"/>
        <v>45972</v>
      </c>
      <c r="B1045" s="80">
        <f t="shared" ca="1" si="89"/>
        <v>45972.11112465278</v>
      </c>
      <c r="C1045" s="76" t="s">
        <v>172</v>
      </c>
      <c r="D1045" s="76" t="s">
        <v>902</v>
      </c>
      <c r="E1045" s="79" t="s">
        <v>1045</v>
      </c>
      <c r="F1045" s="79"/>
    </row>
    <row r="1046" spans="1:6">
      <c r="A1046" s="77">
        <f t="shared" ca="1" si="88"/>
        <v>45972</v>
      </c>
      <c r="B1046" s="80">
        <f t="shared" ca="1" si="89"/>
        <v>45972.114726388892</v>
      </c>
      <c r="C1046" s="76" t="s">
        <v>172</v>
      </c>
      <c r="D1046" s="76" t="s">
        <v>902</v>
      </c>
      <c r="E1046" s="79" t="s">
        <v>920</v>
      </c>
      <c r="F1046" s="79"/>
    </row>
    <row r="1047" spans="1:6">
      <c r="A1047" s="77">
        <f t="shared" ca="1" si="88"/>
        <v>45972</v>
      </c>
      <c r="B1047" s="80">
        <f t="shared" ca="1" si="89"/>
        <v>45972.115401620373</v>
      </c>
      <c r="C1047" s="76" t="s">
        <v>172</v>
      </c>
      <c r="D1047" s="210" t="s">
        <v>922</v>
      </c>
      <c r="E1047" s="79"/>
      <c r="F1047" s="79"/>
    </row>
    <row r="1048" spans="1:6">
      <c r="A1048" s="77">
        <f t="shared" ca="1" si="88"/>
        <v>45972</v>
      </c>
      <c r="B1048" s="80">
        <f t="shared" ca="1" si="89"/>
        <v>45972.184632060184</v>
      </c>
      <c r="C1048" s="76" t="s">
        <v>176</v>
      </c>
      <c r="E1048" s="79" t="s">
        <v>1439</v>
      </c>
      <c r="F1048" s="79"/>
    </row>
    <row r="1049" spans="1:6">
      <c r="A1049" s="77">
        <f t="shared" ca="1" si="88"/>
        <v>45972</v>
      </c>
      <c r="B1049" s="80">
        <f t="shared" ca="1" si="89"/>
        <v>45972.229588773145</v>
      </c>
      <c r="C1049" s="76" t="s">
        <v>176</v>
      </c>
      <c r="D1049" s="210" t="s">
        <v>906</v>
      </c>
      <c r="E1049" s="79"/>
      <c r="F1049" s="79"/>
    </row>
    <row r="1050" spans="1:6">
      <c r="A1050" s="77">
        <f t="shared" ca="1" si="88"/>
        <v>45972</v>
      </c>
      <c r="B1050" s="80">
        <f t="shared" ca="1" si="89"/>
        <v>45972.248649189816</v>
      </c>
      <c r="C1050" s="76" t="s">
        <v>176</v>
      </c>
      <c r="D1050" s="210" t="s">
        <v>909</v>
      </c>
      <c r="E1050" s="79"/>
      <c r="F1050" s="79"/>
    </row>
    <row r="1051" spans="1:6">
      <c r="A1051" s="77">
        <f t="shared" ca="1" si="88"/>
        <v>45972</v>
      </c>
      <c r="B1051" s="80">
        <f t="shared" ca="1" si="89"/>
        <v>45972.252887152776</v>
      </c>
      <c r="C1051" s="76" t="s">
        <v>176</v>
      </c>
      <c r="D1051" s="76" t="s">
        <v>902</v>
      </c>
      <c r="E1051" s="79" t="s">
        <v>932</v>
      </c>
      <c r="F1051" s="79"/>
    </row>
    <row r="1052" spans="1:6">
      <c r="A1052" s="77">
        <f t="shared" ca="1" si="88"/>
        <v>45972</v>
      </c>
      <c r="B1052" s="80">
        <f t="shared" ca="1" si="89"/>
        <v>45972.253889930558</v>
      </c>
      <c r="C1052" s="76" t="s">
        <v>176</v>
      </c>
      <c r="D1052" s="76" t="s">
        <v>902</v>
      </c>
      <c r="E1052" s="79" t="s">
        <v>1440</v>
      </c>
      <c r="F1052" s="79"/>
    </row>
    <row r="1053" spans="1:6">
      <c r="A1053" s="77">
        <f t="shared" ca="1" si="88"/>
        <v>45972</v>
      </c>
      <c r="B1053" s="80">
        <f t="shared" ca="1" si="89"/>
        <v>45972.254711805559</v>
      </c>
      <c r="C1053" s="76" t="s">
        <v>176</v>
      </c>
      <c r="D1053" s="76" t="s">
        <v>902</v>
      </c>
      <c r="E1053" s="79" t="s">
        <v>1026</v>
      </c>
      <c r="F1053" s="79"/>
    </row>
    <row r="1054" spans="1:6">
      <c r="A1054" s="77">
        <f t="shared" ca="1" si="88"/>
        <v>45972</v>
      </c>
      <c r="B1054" s="80">
        <f t="shared" ca="1" si="89"/>
        <v>45972.256145601852</v>
      </c>
      <c r="C1054" s="76" t="s">
        <v>176</v>
      </c>
      <c r="D1054" s="76" t="s">
        <v>902</v>
      </c>
      <c r="E1054" s="79" t="s">
        <v>1388</v>
      </c>
      <c r="F1054" s="79"/>
    </row>
    <row r="1055" spans="1:6">
      <c r="A1055" s="77">
        <f t="shared" ca="1" si="88"/>
        <v>45972</v>
      </c>
      <c r="B1055" s="80">
        <f t="shared" ca="1" si="89"/>
        <v>45972.261819444444</v>
      </c>
      <c r="C1055" s="76" t="s">
        <v>176</v>
      </c>
      <c r="D1055" s="76" t="s">
        <v>902</v>
      </c>
      <c r="E1055" s="79" t="s">
        <v>1352</v>
      </c>
      <c r="F1055" s="79"/>
    </row>
    <row r="1056" spans="1:6">
      <c r="A1056" s="77">
        <f t="shared" ca="1" si="88"/>
        <v>45972</v>
      </c>
      <c r="B1056" s="80">
        <f t="shared" ca="1" si="89"/>
        <v>45972.266076273147</v>
      </c>
      <c r="C1056" s="76" t="s">
        <v>176</v>
      </c>
      <c r="D1056" s="76" t="s">
        <v>902</v>
      </c>
      <c r="E1056" s="79" t="s">
        <v>1441</v>
      </c>
      <c r="F1056" s="79"/>
    </row>
    <row r="1057" spans="1:6">
      <c r="A1057" s="77">
        <f t="shared" ca="1" si="88"/>
        <v>45972</v>
      </c>
      <c r="B1057" s="80">
        <f t="shared" ca="1" si="89"/>
        <v>45972.270686342592</v>
      </c>
      <c r="C1057" s="76" t="s">
        <v>176</v>
      </c>
      <c r="D1057" s="76" t="s">
        <v>902</v>
      </c>
      <c r="E1057" s="79" t="s">
        <v>1442</v>
      </c>
      <c r="F1057" s="79"/>
    </row>
    <row r="1058" spans="1:6">
      <c r="A1058" s="77">
        <f t="shared" ca="1" si="88"/>
        <v>45972</v>
      </c>
      <c r="B1058" s="80">
        <f t="shared" ca="1" si="89"/>
        <v>45972.278135069442</v>
      </c>
      <c r="C1058" s="76" t="s">
        <v>176</v>
      </c>
      <c r="D1058" s="76" t="s">
        <v>902</v>
      </c>
      <c r="E1058" s="79" t="s">
        <v>1443</v>
      </c>
      <c r="F1058" s="79"/>
    </row>
    <row r="1059" spans="1:6">
      <c r="A1059" s="77">
        <f t="shared" ca="1" si="88"/>
        <v>45972</v>
      </c>
      <c r="B1059" s="80">
        <v>0.28333333333333333</v>
      </c>
      <c r="C1059" s="76" t="s">
        <v>176</v>
      </c>
      <c r="D1059" s="76" t="s">
        <v>902</v>
      </c>
      <c r="E1059" s="79" t="s">
        <v>1444</v>
      </c>
      <c r="F1059" s="79"/>
    </row>
    <row r="1060" spans="1:6">
      <c r="A1060" s="77">
        <f t="shared" ca="1" si="88"/>
        <v>45972</v>
      </c>
      <c r="B1060" s="80">
        <f t="shared" ca="1" si="89"/>
        <v>45972.302642939816</v>
      </c>
      <c r="C1060" s="76" t="s">
        <v>176</v>
      </c>
      <c r="D1060" s="76" t="s">
        <v>902</v>
      </c>
      <c r="E1060" s="79" t="s">
        <v>1445</v>
      </c>
      <c r="F1060" s="79"/>
    </row>
    <row r="1061" spans="1:6">
      <c r="A1061" s="77">
        <f t="shared" ref="A1061:A1124" ca="1" si="90">IF(C1061&lt;&gt;0,IF(A1061=0,TODAY(),A1061),)</f>
        <v>45972</v>
      </c>
      <c r="B1061" s="80">
        <f t="shared" ref="B1061:B1124" ca="1" si="91">IF(C1061&lt;&gt;0,IF(B1061=0,NOW(),B1061),)</f>
        <v>45972.31095914352</v>
      </c>
      <c r="C1061" s="76" t="s">
        <v>176</v>
      </c>
      <c r="D1061" s="76" t="s">
        <v>902</v>
      </c>
      <c r="E1061" s="79" t="s">
        <v>1446</v>
      </c>
      <c r="F1061" s="79"/>
    </row>
    <row r="1062" spans="1:6">
      <c r="A1062" s="77">
        <f t="shared" ca="1" si="90"/>
        <v>45972</v>
      </c>
      <c r="B1062" s="80">
        <f t="shared" ca="1" si="91"/>
        <v>45972.312897916665</v>
      </c>
      <c r="C1062" s="76" t="s">
        <v>176</v>
      </c>
      <c r="D1062" s="76" t="s">
        <v>902</v>
      </c>
      <c r="E1062" s="79" t="s">
        <v>1128</v>
      </c>
      <c r="F1062" s="79"/>
    </row>
    <row r="1063" spans="1:6">
      <c r="A1063" s="77">
        <f t="shared" ca="1" si="90"/>
        <v>45972</v>
      </c>
      <c r="B1063" s="80">
        <f t="shared" ca="1" si="91"/>
        <v>45972.313164699073</v>
      </c>
      <c r="C1063" s="76" t="s">
        <v>176</v>
      </c>
      <c r="D1063" s="76" t="s">
        <v>902</v>
      </c>
      <c r="E1063" s="79" t="s">
        <v>1447</v>
      </c>
      <c r="F1063" s="79"/>
    </row>
    <row r="1064" spans="1:6">
      <c r="A1064" s="77">
        <f t="shared" ca="1" si="90"/>
        <v>45972</v>
      </c>
      <c r="B1064" s="80">
        <f t="shared" ca="1" si="91"/>
        <v>45972.314418865739</v>
      </c>
      <c r="C1064" s="76" t="s">
        <v>176</v>
      </c>
      <c r="D1064" s="76" t="s">
        <v>902</v>
      </c>
      <c r="E1064" s="79" t="s">
        <v>1448</v>
      </c>
      <c r="F1064" s="79"/>
    </row>
    <row r="1065" spans="1:6">
      <c r="A1065" s="77">
        <f t="shared" ca="1" si="90"/>
        <v>45972</v>
      </c>
      <c r="B1065" s="80">
        <f t="shared" ca="1" si="91"/>
        <v>45972.317085648145</v>
      </c>
      <c r="C1065" s="76" t="s">
        <v>176</v>
      </c>
      <c r="D1065" s="76" t="s">
        <v>902</v>
      </c>
      <c r="E1065" s="79" t="s">
        <v>1449</v>
      </c>
      <c r="F1065" s="79"/>
    </row>
    <row r="1066" spans="1:6">
      <c r="A1066" s="77">
        <f t="shared" ca="1" si="90"/>
        <v>45972</v>
      </c>
      <c r="B1066" s="80">
        <f t="shared" ca="1" si="91"/>
        <v>45972.31874328704</v>
      </c>
      <c r="C1066" s="76" t="s">
        <v>176</v>
      </c>
      <c r="D1066" s="76" t="s">
        <v>902</v>
      </c>
      <c r="E1066" s="79" t="s">
        <v>1450</v>
      </c>
      <c r="F1066" s="79"/>
    </row>
    <row r="1067" spans="1:6">
      <c r="A1067" s="77">
        <f t="shared" ca="1" si="90"/>
        <v>45972</v>
      </c>
      <c r="B1067" s="80">
        <f t="shared" ca="1" si="91"/>
        <v>45972.320607407404</v>
      </c>
      <c r="C1067" s="76" t="s">
        <v>176</v>
      </c>
      <c r="D1067" s="76" t="s">
        <v>902</v>
      </c>
      <c r="E1067" s="79" t="s">
        <v>1451</v>
      </c>
      <c r="F1067" s="79"/>
    </row>
    <row r="1068" spans="1:6">
      <c r="A1068" s="77">
        <f t="shared" ca="1" si="90"/>
        <v>45972</v>
      </c>
      <c r="B1068" s="80">
        <f t="shared" ca="1" si="91"/>
        <v>45972.324135995368</v>
      </c>
      <c r="C1068" s="76" t="s">
        <v>176</v>
      </c>
      <c r="D1068" s="76" t="s">
        <v>902</v>
      </c>
      <c r="E1068" s="79" t="s">
        <v>1352</v>
      </c>
      <c r="F1068" s="79"/>
    </row>
    <row r="1069" spans="1:6">
      <c r="A1069" s="77">
        <f t="shared" ca="1" si="90"/>
        <v>45972</v>
      </c>
      <c r="B1069" s="80">
        <f t="shared" ca="1" si="91"/>
        <v>45972.328096874997</v>
      </c>
      <c r="C1069" s="76" t="s">
        <v>176</v>
      </c>
      <c r="D1069" s="76" t="s">
        <v>902</v>
      </c>
      <c r="E1069" s="79" t="s">
        <v>1239</v>
      </c>
      <c r="F1069" s="79"/>
    </row>
    <row r="1070" spans="1:6">
      <c r="A1070" s="77">
        <f t="shared" ca="1" si="90"/>
        <v>45972</v>
      </c>
      <c r="B1070" s="80">
        <f t="shared" ca="1" si="91"/>
        <v>45972.335223842594</v>
      </c>
      <c r="C1070" s="76" t="s">
        <v>176</v>
      </c>
      <c r="D1070" s="76" t="s">
        <v>902</v>
      </c>
      <c r="E1070" s="79" t="s">
        <v>1452</v>
      </c>
      <c r="F1070" s="79"/>
    </row>
    <row r="1071" spans="1:6">
      <c r="A1071" s="77">
        <f t="shared" ca="1" si="90"/>
        <v>45972</v>
      </c>
      <c r="B1071" s="80">
        <f t="shared" ca="1" si="91"/>
        <v>45972.351707175927</v>
      </c>
      <c r="C1071" s="76" t="s">
        <v>176</v>
      </c>
      <c r="D1071" s="210" t="s">
        <v>922</v>
      </c>
      <c r="E1071" s="79"/>
      <c r="F1071" s="79"/>
    </row>
    <row r="1072" spans="1:6">
      <c r="A1072" s="77">
        <f t="shared" ca="1" si="90"/>
        <v>45972</v>
      </c>
      <c r="B1072" s="80">
        <f t="shared" ca="1" si="91"/>
        <v>45972.35175775463</v>
      </c>
      <c r="C1072" s="76" t="s">
        <v>176</v>
      </c>
      <c r="D1072" s="76" t="s">
        <v>902</v>
      </c>
      <c r="E1072" s="79" t="s">
        <v>1453</v>
      </c>
      <c r="F1072" s="79"/>
    </row>
    <row r="1073" spans="1:6">
      <c r="A1073" s="77">
        <f t="shared" ca="1" si="90"/>
        <v>45972</v>
      </c>
      <c r="B1073" s="80">
        <v>0.4534259259259259</v>
      </c>
      <c r="C1073" s="76" t="s">
        <v>184</v>
      </c>
      <c r="D1073" s="210" t="s">
        <v>906</v>
      </c>
      <c r="E1073" s="79"/>
      <c r="F1073" s="79"/>
    </row>
    <row r="1074" spans="1:6">
      <c r="A1074" s="77">
        <f t="shared" ca="1" si="90"/>
        <v>45972</v>
      </c>
      <c r="B1074" s="80">
        <f t="shared" ca="1" si="91"/>
        <v>45972.469756250001</v>
      </c>
      <c r="C1074" s="76" t="s">
        <v>184</v>
      </c>
      <c r="D1074" s="210" t="s">
        <v>909</v>
      </c>
      <c r="E1074" s="79"/>
      <c r="F1074" s="79"/>
    </row>
    <row r="1075" spans="1:6">
      <c r="A1075" s="77">
        <f t="shared" ca="1" si="90"/>
        <v>45972</v>
      </c>
      <c r="B1075" s="80">
        <f t="shared" ca="1" si="91"/>
        <v>45972.476401273147</v>
      </c>
      <c r="C1075" s="76" t="s">
        <v>184</v>
      </c>
      <c r="D1075" s="76" t="s">
        <v>902</v>
      </c>
      <c r="E1075" s="79" t="s">
        <v>1454</v>
      </c>
      <c r="F1075" s="79"/>
    </row>
    <row r="1076" spans="1:6">
      <c r="A1076" s="77">
        <f t="shared" ca="1" si="90"/>
        <v>45972</v>
      </c>
      <c r="B1076" s="80">
        <f t="shared" ca="1" si="91"/>
        <v>45972.480468634261</v>
      </c>
      <c r="C1076" s="76" t="s">
        <v>184</v>
      </c>
      <c r="D1076" s="76" t="s">
        <v>902</v>
      </c>
      <c r="E1076" s="79" t="s">
        <v>1455</v>
      </c>
      <c r="F1076" s="79"/>
    </row>
    <row r="1077" spans="1:6">
      <c r="A1077" s="77">
        <f t="shared" ca="1" si="90"/>
        <v>45972</v>
      </c>
      <c r="B1077" s="80">
        <f t="shared" ca="1" si="91"/>
        <v>45972.482450925927</v>
      </c>
      <c r="C1077" s="76" t="s">
        <v>184</v>
      </c>
      <c r="D1077" s="76" t="s">
        <v>902</v>
      </c>
      <c r="E1077" s="79" t="s">
        <v>955</v>
      </c>
      <c r="F1077" s="79"/>
    </row>
    <row r="1078" spans="1:6">
      <c r="A1078" s="77">
        <f t="shared" ca="1" si="90"/>
        <v>45972</v>
      </c>
      <c r="B1078" s="80">
        <f t="shared" ca="1" si="91"/>
        <v>45972.483418865741</v>
      </c>
      <c r="C1078" s="76" t="s">
        <v>184</v>
      </c>
      <c r="D1078" s="76" t="s">
        <v>902</v>
      </c>
      <c r="E1078" s="79" t="s">
        <v>1387</v>
      </c>
      <c r="F1078" s="79"/>
    </row>
    <row r="1079" spans="1:6">
      <c r="A1079" s="77">
        <f t="shared" ca="1" si="90"/>
        <v>45972</v>
      </c>
      <c r="B1079" s="80">
        <f t="shared" ca="1" si="91"/>
        <v>45972.490355439812</v>
      </c>
      <c r="C1079" s="76" t="s">
        <v>184</v>
      </c>
      <c r="D1079" s="76" t="s">
        <v>902</v>
      </c>
      <c r="E1079" s="79" t="s">
        <v>955</v>
      </c>
      <c r="F1079" s="79"/>
    </row>
    <row r="1080" spans="1:6">
      <c r="A1080" s="77">
        <f t="shared" ca="1" si="90"/>
        <v>45972</v>
      </c>
      <c r="B1080" s="80">
        <f t="shared" ca="1" si="91"/>
        <v>45972.491962962966</v>
      </c>
      <c r="C1080" s="76" t="s">
        <v>184</v>
      </c>
      <c r="D1080" s="76" t="s">
        <v>902</v>
      </c>
      <c r="E1080" s="79" t="s">
        <v>1456</v>
      </c>
      <c r="F1080" s="79"/>
    </row>
    <row r="1081" spans="1:6">
      <c r="A1081" s="77">
        <f t="shared" ca="1" si="90"/>
        <v>45972</v>
      </c>
      <c r="B1081" s="80">
        <f t="shared" ca="1" si="91"/>
        <v>45972.493880439812</v>
      </c>
      <c r="C1081" s="76" t="s">
        <v>184</v>
      </c>
      <c r="D1081" s="76" t="s">
        <v>902</v>
      </c>
      <c r="E1081" s="79" t="s">
        <v>1457</v>
      </c>
      <c r="F1081" s="79"/>
    </row>
    <row r="1082" spans="1:6">
      <c r="A1082" s="77">
        <f t="shared" ca="1" si="90"/>
        <v>45972</v>
      </c>
      <c r="B1082" s="80">
        <f t="shared" ca="1" si="91"/>
        <v>45972.494532986108</v>
      </c>
      <c r="C1082" s="76" t="s">
        <v>184</v>
      </c>
      <c r="D1082" s="76" t="s">
        <v>902</v>
      </c>
      <c r="E1082" s="79" t="s">
        <v>1387</v>
      </c>
      <c r="F1082" s="79"/>
    </row>
    <row r="1083" spans="1:6">
      <c r="A1083" s="77">
        <f t="shared" ca="1" si="90"/>
        <v>45972</v>
      </c>
      <c r="B1083" s="80">
        <f t="shared" ca="1" si="91"/>
        <v>45972.49655625</v>
      </c>
      <c r="C1083" s="76" t="s">
        <v>184</v>
      </c>
      <c r="D1083" s="76" t="s">
        <v>902</v>
      </c>
      <c r="E1083" s="79" t="s">
        <v>1458</v>
      </c>
      <c r="F1083" s="79"/>
    </row>
    <row r="1084" spans="1:6">
      <c r="A1084" s="77">
        <f t="shared" ca="1" si="90"/>
        <v>45972</v>
      </c>
      <c r="B1084" s="80">
        <f t="shared" ca="1" si="91"/>
        <v>45972.500823726848</v>
      </c>
      <c r="C1084" s="76" t="s">
        <v>184</v>
      </c>
      <c r="D1084" s="76" t="s">
        <v>902</v>
      </c>
      <c r="E1084" s="79" t="s">
        <v>1001</v>
      </c>
      <c r="F1084" s="79"/>
    </row>
    <row r="1085" spans="1:6">
      <c r="A1085" s="77">
        <f t="shared" ca="1" si="90"/>
        <v>45972</v>
      </c>
      <c r="B1085" s="80">
        <f t="shared" ca="1" si="91"/>
        <v>45972.502004282411</v>
      </c>
      <c r="C1085" s="76" t="s">
        <v>184</v>
      </c>
      <c r="D1085" s="76" t="s">
        <v>902</v>
      </c>
      <c r="E1085" s="79" t="s">
        <v>1459</v>
      </c>
      <c r="F1085" s="79"/>
    </row>
    <row r="1086" spans="1:6">
      <c r="A1086" s="77">
        <f t="shared" ca="1" si="90"/>
        <v>45972</v>
      </c>
      <c r="B1086" s="80">
        <f t="shared" ca="1" si="91"/>
        <v>45972.50340439815</v>
      </c>
      <c r="C1086" s="76" t="s">
        <v>184</v>
      </c>
      <c r="D1086" s="76" t="s">
        <v>902</v>
      </c>
      <c r="E1086" s="79" t="s">
        <v>955</v>
      </c>
      <c r="F1086" s="79"/>
    </row>
    <row r="1087" spans="1:6">
      <c r="A1087" s="77">
        <f t="shared" ca="1" si="90"/>
        <v>45972</v>
      </c>
      <c r="B1087" s="80">
        <f t="shared" ca="1" si="91"/>
        <v>45972.51027835648</v>
      </c>
      <c r="C1087" s="76" t="s">
        <v>184</v>
      </c>
      <c r="D1087" s="76" t="s">
        <v>902</v>
      </c>
      <c r="E1087" s="79" t="s">
        <v>1460</v>
      </c>
      <c r="F1087" s="79"/>
    </row>
    <row r="1088" spans="1:6">
      <c r="A1088" s="77">
        <f t="shared" ca="1" si="90"/>
        <v>45972</v>
      </c>
      <c r="B1088" s="80">
        <f t="shared" ca="1" si="91"/>
        <v>45972.516035995373</v>
      </c>
      <c r="C1088" s="76" t="s">
        <v>184</v>
      </c>
      <c r="D1088" s="76" t="s">
        <v>902</v>
      </c>
      <c r="E1088" s="79" t="s">
        <v>955</v>
      </c>
      <c r="F1088" s="79"/>
    </row>
    <row r="1089" spans="1:7">
      <c r="A1089" s="77">
        <f t="shared" ca="1" si="90"/>
        <v>45972</v>
      </c>
      <c r="B1089" s="80">
        <f t="shared" ca="1" si="91"/>
        <v>45972.532463888892</v>
      </c>
      <c r="C1089" s="76" t="s">
        <v>184</v>
      </c>
      <c r="D1089" s="76" t="s">
        <v>902</v>
      </c>
      <c r="E1089" s="79" t="s">
        <v>1461</v>
      </c>
      <c r="F1089" s="79"/>
    </row>
    <row r="1090" spans="1:7">
      <c r="A1090" s="77">
        <f t="shared" ca="1" si="90"/>
        <v>45972</v>
      </c>
      <c r="B1090" s="80">
        <v>0.53629629629629627</v>
      </c>
      <c r="C1090" s="76" t="s">
        <v>184</v>
      </c>
      <c r="D1090" s="210" t="s">
        <v>922</v>
      </c>
      <c r="E1090" s="79"/>
      <c r="F1090" s="79"/>
    </row>
    <row r="1091" spans="1:7">
      <c r="A1091" s="77">
        <f t="shared" ca="1" si="90"/>
        <v>45972</v>
      </c>
      <c r="B1091" s="80">
        <f t="shared" ca="1" si="91"/>
        <v>45972.611134143517</v>
      </c>
      <c r="C1091" s="76" t="s">
        <v>188</v>
      </c>
      <c r="D1091" s="76" t="s">
        <v>902</v>
      </c>
      <c r="E1091" s="79" t="s">
        <v>952</v>
      </c>
      <c r="F1091" s="79"/>
    </row>
    <row r="1092" spans="1:7">
      <c r="A1092" s="77">
        <f t="shared" ca="1" si="90"/>
        <v>45972</v>
      </c>
      <c r="B1092" s="80">
        <v>0.61398148148148146</v>
      </c>
      <c r="C1092" s="76" t="s">
        <v>188</v>
      </c>
      <c r="D1092" s="210" t="s">
        <v>909</v>
      </c>
      <c r="E1092" s="79"/>
      <c r="F1092" s="79"/>
    </row>
    <row r="1093" spans="1:7">
      <c r="A1093" s="77">
        <f t="shared" ca="1" si="90"/>
        <v>45972</v>
      </c>
      <c r="B1093" s="80">
        <f t="shared" ca="1" si="91"/>
        <v>45972.621227777781</v>
      </c>
      <c r="C1093" s="76" t="s">
        <v>188</v>
      </c>
      <c r="D1093" s="76" t="s">
        <v>902</v>
      </c>
      <c r="E1093" s="79" t="s">
        <v>1462</v>
      </c>
      <c r="F1093" s="79"/>
    </row>
    <row r="1094" spans="1:7">
      <c r="A1094" s="77">
        <f t="shared" ca="1" si="90"/>
        <v>45972</v>
      </c>
      <c r="B1094" s="80">
        <f t="shared" ca="1" si="91"/>
        <v>45972.631379050923</v>
      </c>
      <c r="C1094" s="76" t="s">
        <v>188</v>
      </c>
      <c r="D1094" s="76" t="s">
        <v>902</v>
      </c>
      <c r="E1094" s="79" t="s">
        <v>1463</v>
      </c>
      <c r="F1094" s="79"/>
    </row>
    <row r="1095" spans="1:7">
      <c r="A1095" s="77">
        <f t="shared" ca="1" si="90"/>
        <v>45972</v>
      </c>
      <c r="B1095" s="80">
        <f t="shared" ca="1" si="91"/>
        <v>45972.643681018519</v>
      </c>
      <c r="C1095" s="76" t="s">
        <v>188</v>
      </c>
      <c r="D1095" s="150" t="s">
        <v>1007</v>
      </c>
      <c r="E1095" s="79" t="s">
        <v>1464</v>
      </c>
      <c r="F1095" s="79"/>
      <c r="G1095" s="76" t="s">
        <v>1465</v>
      </c>
    </row>
    <row r="1096" spans="1:7">
      <c r="A1096" s="77">
        <f t="shared" ca="1" si="90"/>
        <v>45972</v>
      </c>
      <c r="B1096" s="80">
        <f t="shared" ca="1" si="91"/>
        <v>45972.646749421299</v>
      </c>
      <c r="C1096" s="76" t="s">
        <v>188</v>
      </c>
      <c r="D1096" s="76" t="s">
        <v>902</v>
      </c>
      <c r="E1096" s="79" t="s">
        <v>955</v>
      </c>
      <c r="F1096" s="79"/>
    </row>
    <row r="1097" spans="1:7">
      <c r="A1097" s="77">
        <f t="shared" ca="1" si="90"/>
        <v>45972</v>
      </c>
      <c r="B1097" s="80">
        <f t="shared" ca="1" si="91"/>
        <v>45972.646827430559</v>
      </c>
      <c r="C1097" s="76" t="s">
        <v>188</v>
      </c>
      <c r="D1097" s="76" t="s">
        <v>902</v>
      </c>
      <c r="E1097" s="79" t="s">
        <v>1387</v>
      </c>
      <c r="F1097" s="79"/>
    </row>
    <row r="1098" spans="1:7">
      <c r="A1098" s="77">
        <f t="shared" ca="1" si="90"/>
        <v>45972</v>
      </c>
      <c r="B1098" s="80">
        <f t="shared" ca="1" si="91"/>
        <v>45972.649636689814</v>
      </c>
      <c r="C1098" s="76" t="s">
        <v>188</v>
      </c>
      <c r="D1098" s="76" t="s">
        <v>902</v>
      </c>
      <c r="E1098" s="79" t="s">
        <v>1466</v>
      </c>
      <c r="F1098" s="79"/>
    </row>
    <row r="1099" spans="1:7">
      <c r="A1099" s="77">
        <f t="shared" ca="1" si="90"/>
        <v>45972</v>
      </c>
      <c r="B1099" s="80">
        <f t="shared" ca="1" si="91"/>
        <v>45972.653352546295</v>
      </c>
      <c r="C1099" s="76" t="s">
        <v>188</v>
      </c>
      <c r="D1099" s="76" t="s">
        <v>902</v>
      </c>
      <c r="E1099" s="79" t="s">
        <v>1456</v>
      </c>
      <c r="F1099" s="79"/>
    </row>
    <row r="1100" spans="1:7">
      <c r="A1100" s="77">
        <f t="shared" ca="1" si="90"/>
        <v>45972</v>
      </c>
      <c r="B1100" s="80">
        <f t="shared" ca="1" si="91"/>
        <v>45972.656527662039</v>
      </c>
      <c r="C1100" s="76" t="s">
        <v>188</v>
      </c>
      <c r="D1100" s="76" t="s">
        <v>902</v>
      </c>
      <c r="E1100" s="79" t="s">
        <v>1467</v>
      </c>
      <c r="F1100" s="79"/>
    </row>
    <row r="1101" spans="1:7">
      <c r="A1101" s="77">
        <f t="shared" ca="1" si="90"/>
        <v>45972</v>
      </c>
      <c r="B1101" s="80">
        <f t="shared" ca="1" si="91"/>
        <v>45972.665042592591</v>
      </c>
      <c r="C1101" s="76" t="s">
        <v>188</v>
      </c>
      <c r="D1101" s="76" t="s">
        <v>902</v>
      </c>
      <c r="E1101" s="79" t="s">
        <v>1468</v>
      </c>
      <c r="F1101" s="79"/>
    </row>
    <row r="1102" spans="1:7">
      <c r="A1102" s="77">
        <f t="shared" ca="1" si="90"/>
        <v>45972</v>
      </c>
      <c r="B1102" s="80">
        <f t="shared" ca="1" si="91"/>
        <v>45972.678966898151</v>
      </c>
      <c r="C1102" s="76" t="s">
        <v>188</v>
      </c>
      <c r="D1102" s="210" t="s">
        <v>922</v>
      </c>
      <c r="E1102" s="79"/>
      <c r="F1102" s="79"/>
    </row>
    <row r="1103" spans="1:7">
      <c r="A1103" s="77">
        <f t="shared" ca="1" si="90"/>
        <v>45972</v>
      </c>
      <c r="B1103" s="80">
        <f t="shared" ca="1" si="91"/>
        <v>45972.74169166667</v>
      </c>
      <c r="C1103" s="76" t="s">
        <v>192</v>
      </c>
      <c r="D1103" s="210" t="s">
        <v>906</v>
      </c>
      <c r="E1103" s="79"/>
      <c r="F1103" s="79"/>
    </row>
    <row r="1104" spans="1:7">
      <c r="A1104" s="77">
        <f t="shared" ca="1" si="90"/>
        <v>45972</v>
      </c>
      <c r="B1104" s="80">
        <f t="shared" ca="1" si="91"/>
        <v>45972.768942361108</v>
      </c>
      <c r="C1104" s="76" t="s">
        <v>192</v>
      </c>
      <c r="D1104" s="210" t="s">
        <v>909</v>
      </c>
      <c r="E1104" s="79"/>
      <c r="F1104" s="79"/>
      <c r="G1104" s="76" t="s">
        <v>1469</v>
      </c>
    </row>
    <row r="1105" spans="1:6">
      <c r="A1105" s="77">
        <f t="shared" ca="1" si="90"/>
        <v>45972</v>
      </c>
      <c r="B1105" s="80">
        <f t="shared" ca="1" si="91"/>
        <v>45972.771114120369</v>
      </c>
      <c r="C1105" s="76" t="s">
        <v>192</v>
      </c>
      <c r="D1105" s="76" t="s">
        <v>902</v>
      </c>
      <c r="E1105" s="79" t="s">
        <v>1470</v>
      </c>
      <c r="F1105" s="79"/>
    </row>
    <row r="1106" spans="1:6">
      <c r="A1106" s="77">
        <f t="shared" ca="1" si="90"/>
        <v>45972</v>
      </c>
      <c r="B1106" s="80">
        <v>0.77569444444444446</v>
      </c>
      <c r="C1106" s="76" t="s">
        <v>192</v>
      </c>
      <c r="D1106" s="76" t="s">
        <v>902</v>
      </c>
      <c r="E1106" s="79" t="s">
        <v>1471</v>
      </c>
      <c r="F1106" s="79"/>
    </row>
    <row r="1107" spans="1:6">
      <c r="A1107" s="77">
        <f t="shared" ca="1" si="90"/>
        <v>45972</v>
      </c>
      <c r="B1107" s="80">
        <f t="shared" ca="1" si="91"/>
        <v>45972.778811458331</v>
      </c>
      <c r="C1107" s="76" t="s">
        <v>192</v>
      </c>
      <c r="D1107" s="76" t="s">
        <v>902</v>
      </c>
      <c r="E1107" s="79" t="s">
        <v>1422</v>
      </c>
      <c r="F1107" s="79" t="s">
        <v>1280</v>
      </c>
    </row>
    <row r="1108" spans="1:6">
      <c r="A1108" s="77">
        <f t="shared" ca="1" si="90"/>
        <v>45972</v>
      </c>
      <c r="B1108" s="80">
        <f t="shared" ca="1" si="91"/>
        <v>45972.779649537035</v>
      </c>
      <c r="C1108" s="76" t="s">
        <v>192</v>
      </c>
      <c r="D1108" s="76" t="s">
        <v>902</v>
      </c>
      <c r="E1108" s="79" t="s">
        <v>1470</v>
      </c>
      <c r="F1108" s="79"/>
    </row>
    <row r="1109" spans="1:6">
      <c r="A1109" s="77">
        <f t="shared" ca="1" si="90"/>
        <v>45972</v>
      </c>
      <c r="B1109" s="80">
        <f t="shared" ca="1" si="91"/>
        <v>45972.781262268516</v>
      </c>
      <c r="C1109" s="76" t="s">
        <v>192</v>
      </c>
      <c r="D1109" s="76" t="s">
        <v>902</v>
      </c>
      <c r="E1109" s="79" t="s">
        <v>1472</v>
      </c>
      <c r="F1109" s="79" t="s">
        <v>1473</v>
      </c>
    </row>
    <row r="1110" spans="1:6">
      <c r="A1110" s="77">
        <f t="shared" ca="1" si="90"/>
        <v>45972</v>
      </c>
      <c r="B1110" s="80">
        <f t="shared" ca="1" si="91"/>
        <v>45972.786385995372</v>
      </c>
      <c r="C1110" s="76" t="s">
        <v>192</v>
      </c>
      <c r="D1110" s="76" t="s">
        <v>902</v>
      </c>
      <c r="E1110" s="79" t="s">
        <v>1470</v>
      </c>
      <c r="F1110" s="79"/>
    </row>
    <row r="1111" spans="1:6">
      <c r="A1111" s="77">
        <f t="shared" ca="1" si="90"/>
        <v>45972</v>
      </c>
      <c r="B1111" s="80">
        <f t="shared" ca="1" si="91"/>
        <v>45972.789752546298</v>
      </c>
      <c r="C1111" s="76" t="s">
        <v>192</v>
      </c>
      <c r="D1111" s="76" t="s">
        <v>902</v>
      </c>
      <c r="E1111" s="79" t="s">
        <v>1474</v>
      </c>
      <c r="F1111" s="79" t="s">
        <v>1233</v>
      </c>
    </row>
    <row r="1112" spans="1:6">
      <c r="A1112" s="77">
        <f t="shared" ca="1" si="90"/>
        <v>45972</v>
      </c>
      <c r="B1112" s="80">
        <f t="shared" ca="1" si="91"/>
        <v>45972.794078009261</v>
      </c>
      <c r="C1112" s="76" t="s">
        <v>192</v>
      </c>
      <c r="D1112" s="76" t="s">
        <v>902</v>
      </c>
      <c r="E1112" s="79" t="s">
        <v>1475</v>
      </c>
      <c r="F1112" s="79" t="s">
        <v>1435</v>
      </c>
    </row>
    <row r="1113" spans="1:6">
      <c r="A1113" s="77">
        <f t="shared" ca="1" si="90"/>
        <v>45972</v>
      </c>
      <c r="B1113" s="80">
        <v>0.79861111111111116</v>
      </c>
      <c r="C1113" s="76" t="s">
        <v>192</v>
      </c>
      <c r="D1113" s="76" t="s">
        <v>902</v>
      </c>
      <c r="E1113" s="79" t="s">
        <v>1476</v>
      </c>
      <c r="F1113" s="79"/>
    </row>
    <row r="1114" spans="1:6">
      <c r="A1114" s="77">
        <f t="shared" ca="1" si="90"/>
        <v>45972</v>
      </c>
      <c r="B1114" s="80">
        <v>0.8</v>
      </c>
      <c r="C1114" s="76" t="s">
        <v>192</v>
      </c>
      <c r="D1114" s="76" t="s">
        <v>902</v>
      </c>
      <c r="E1114" s="79" t="s">
        <v>1477</v>
      </c>
      <c r="F1114" s="79"/>
    </row>
    <row r="1115" spans="1:6">
      <c r="A1115" s="77">
        <f t="shared" ca="1" si="90"/>
        <v>45972</v>
      </c>
      <c r="B1115" s="80">
        <v>0.80138888888888893</v>
      </c>
      <c r="C1115" s="76" t="s">
        <v>192</v>
      </c>
      <c r="D1115" s="76" t="s">
        <v>902</v>
      </c>
      <c r="E1115" s="79" t="s">
        <v>1477</v>
      </c>
      <c r="F1115" s="79"/>
    </row>
    <row r="1116" spans="1:6">
      <c r="A1116" s="77">
        <f t="shared" ca="1" si="90"/>
        <v>45972</v>
      </c>
      <c r="B1116" s="80">
        <v>0.80208333333333337</v>
      </c>
      <c r="C1116" s="76" t="s">
        <v>192</v>
      </c>
      <c r="D1116" s="76" t="s">
        <v>902</v>
      </c>
      <c r="E1116" s="79" t="s">
        <v>1470</v>
      </c>
      <c r="F1116" s="79"/>
    </row>
    <row r="1117" spans="1:6">
      <c r="A1117" s="77">
        <f t="shared" ca="1" si="90"/>
        <v>45972</v>
      </c>
      <c r="B1117" s="80">
        <v>0.80277777777777781</v>
      </c>
      <c r="C1117" s="76" t="s">
        <v>192</v>
      </c>
      <c r="D1117" s="76" t="s">
        <v>902</v>
      </c>
      <c r="E1117" s="79" t="s">
        <v>1478</v>
      </c>
      <c r="F1117" s="79" t="s">
        <v>1014</v>
      </c>
    </row>
    <row r="1118" spans="1:6">
      <c r="A1118" s="77">
        <f t="shared" ca="1" si="90"/>
        <v>45972</v>
      </c>
      <c r="B1118" s="80">
        <f t="shared" ca="1" si="91"/>
        <v>45972.806253472219</v>
      </c>
      <c r="C1118" s="76" t="s">
        <v>192</v>
      </c>
      <c r="D1118" s="76" t="s">
        <v>902</v>
      </c>
      <c r="E1118" s="79" t="s">
        <v>1470</v>
      </c>
      <c r="F1118" s="79"/>
    </row>
    <row r="1119" spans="1:6">
      <c r="A1119" s="77">
        <f t="shared" ca="1" si="90"/>
        <v>45972</v>
      </c>
      <c r="B1119" s="80">
        <f t="shared" ca="1" si="91"/>
        <v>45972.809842708331</v>
      </c>
      <c r="C1119" s="76" t="s">
        <v>192</v>
      </c>
      <c r="D1119" s="76" t="s">
        <v>902</v>
      </c>
      <c r="E1119" s="79" t="s">
        <v>1479</v>
      </c>
      <c r="F1119" s="79"/>
    </row>
    <row r="1120" spans="1:6">
      <c r="A1120" s="77">
        <f t="shared" ca="1" si="90"/>
        <v>45972</v>
      </c>
      <c r="B1120" s="80">
        <f t="shared" ca="1" si="91"/>
        <v>45972.809867824071</v>
      </c>
      <c r="C1120" s="76" t="s">
        <v>192</v>
      </c>
      <c r="D1120" s="76" t="s">
        <v>902</v>
      </c>
      <c r="E1120" s="79" t="s">
        <v>1470</v>
      </c>
      <c r="F1120" s="79"/>
    </row>
    <row r="1121" spans="1:6">
      <c r="A1121" s="77">
        <f t="shared" ca="1" si="90"/>
        <v>45972</v>
      </c>
      <c r="B1121" s="80">
        <f t="shared" ca="1" si="91"/>
        <v>45972.810776620368</v>
      </c>
      <c r="C1121" s="76" t="s">
        <v>192</v>
      </c>
      <c r="D1121" s="76" t="s">
        <v>902</v>
      </c>
      <c r="E1121" s="79" t="s">
        <v>1479</v>
      </c>
      <c r="F1121" s="79"/>
    </row>
    <row r="1122" spans="1:6">
      <c r="A1122" s="77">
        <f t="shared" ca="1" si="90"/>
        <v>45972</v>
      </c>
      <c r="B1122" s="80">
        <f t="shared" ca="1" si="91"/>
        <v>45972.813024305557</v>
      </c>
      <c r="C1122" s="76" t="s">
        <v>192</v>
      </c>
      <c r="D1122" s="76" t="s">
        <v>902</v>
      </c>
      <c r="E1122" s="79" t="s">
        <v>1470</v>
      </c>
      <c r="F1122" s="79"/>
    </row>
    <row r="1123" spans="1:6">
      <c r="A1123" s="77">
        <f t="shared" ca="1" si="90"/>
        <v>45972</v>
      </c>
      <c r="B1123" s="80">
        <f t="shared" ca="1" si="91"/>
        <v>45972.813973958335</v>
      </c>
      <c r="C1123" s="76" t="s">
        <v>192</v>
      </c>
      <c r="D1123" s="76" t="s">
        <v>902</v>
      </c>
      <c r="E1123" s="79" t="s">
        <v>1470</v>
      </c>
      <c r="F1123" s="79"/>
    </row>
    <row r="1124" spans="1:6">
      <c r="A1124" s="77">
        <f t="shared" ca="1" si="90"/>
        <v>45972</v>
      </c>
      <c r="B1124" s="80">
        <f t="shared" ca="1" si="91"/>
        <v>45972.818066782405</v>
      </c>
      <c r="C1124" s="76" t="s">
        <v>192</v>
      </c>
      <c r="D1124" s="76" t="s">
        <v>902</v>
      </c>
      <c r="E1124" s="79" t="s">
        <v>1470</v>
      </c>
      <c r="F1124" s="79"/>
    </row>
    <row r="1125" spans="1:6">
      <c r="A1125" s="77">
        <f t="shared" ref="A1125:A1188" ca="1" si="92">IF(C1125&lt;&gt;0,IF(A1125=0,TODAY(),A1125),)</f>
        <v>45972</v>
      </c>
      <c r="B1125" s="80">
        <f t="shared" ref="B1125:B1188" ca="1" si="93">IF(C1125&lt;&gt;0,IF(B1125=0,NOW(),B1125),)</f>
        <v>45972.819888541664</v>
      </c>
      <c r="C1125" s="76" t="s">
        <v>192</v>
      </c>
      <c r="D1125" s="76" t="s">
        <v>902</v>
      </c>
      <c r="E1125" s="79" t="s">
        <v>1480</v>
      </c>
      <c r="F1125" s="79"/>
    </row>
    <row r="1126" spans="1:6">
      <c r="A1126" s="77">
        <f t="shared" ca="1" si="92"/>
        <v>45972</v>
      </c>
      <c r="B1126" s="80">
        <f t="shared" ca="1" si="93"/>
        <v>45972.820858333333</v>
      </c>
      <c r="C1126" s="76" t="s">
        <v>192</v>
      </c>
      <c r="D1126" s="210" t="s">
        <v>922</v>
      </c>
      <c r="E1126" s="79"/>
      <c r="F1126" s="79"/>
    </row>
    <row r="1127" spans="1:6">
      <c r="A1127" s="77">
        <f t="shared" ca="1" si="92"/>
        <v>45972</v>
      </c>
      <c r="B1127" s="80">
        <f t="shared" ca="1" si="93"/>
        <v>45972.941899884259</v>
      </c>
      <c r="C1127" s="76" t="s">
        <v>196</v>
      </c>
      <c r="D1127" s="210" t="s">
        <v>906</v>
      </c>
      <c r="E1127" s="79"/>
      <c r="F1127" s="79"/>
    </row>
    <row r="1128" spans="1:6">
      <c r="A1128" s="77">
        <f t="shared" ca="1" si="92"/>
        <v>45972</v>
      </c>
      <c r="B1128" s="80">
        <f t="shared" ca="1" si="93"/>
        <v>45972.970279861111</v>
      </c>
      <c r="C1128" s="76" t="s">
        <v>196</v>
      </c>
      <c r="D1128" s="210" t="s">
        <v>909</v>
      </c>
      <c r="E1128" s="79"/>
      <c r="F1128" s="79"/>
    </row>
    <row r="1129" spans="1:6">
      <c r="A1129" s="77">
        <f t="shared" ca="1" si="92"/>
        <v>45972</v>
      </c>
      <c r="B1129" s="80">
        <f t="shared" ca="1" si="93"/>
        <v>45972.977012268515</v>
      </c>
      <c r="C1129" s="76" t="s">
        <v>196</v>
      </c>
      <c r="D1129" s="76" t="s">
        <v>902</v>
      </c>
      <c r="E1129" s="79" t="s">
        <v>1370</v>
      </c>
      <c r="F1129" s="79"/>
    </row>
    <row r="1130" spans="1:6">
      <c r="A1130" s="77">
        <f t="shared" ca="1" si="92"/>
        <v>45972</v>
      </c>
      <c r="B1130" s="80">
        <f t="shared" ca="1" si="93"/>
        <v>45972.979024421293</v>
      </c>
      <c r="C1130" s="76" t="s">
        <v>196</v>
      </c>
      <c r="D1130" s="76" t="s">
        <v>902</v>
      </c>
      <c r="E1130" s="79" t="s">
        <v>1481</v>
      </c>
      <c r="F1130" s="79"/>
    </row>
    <row r="1131" spans="1:6">
      <c r="A1131" s="77">
        <f t="shared" ca="1" si="92"/>
        <v>45972</v>
      </c>
      <c r="B1131" s="80">
        <f t="shared" ca="1" si="93"/>
        <v>45972.989212615743</v>
      </c>
      <c r="C1131" s="76" t="s">
        <v>196</v>
      </c>
      <c r="D1131" s="76" t="s">
        <v>902</v>
      </c>
      <c r="E1131" s="79" t="s">
        <v>1370</v>
      </c>
      <c r="F1131" s="79"/>
    </row>
    <row r="1132" spans="1:6">
      <c r="A1132" s="77">
        <f t="shared" ca="1" si="92"/>
        <v>45972</v>
      </c>
      <c r="B1132" s="80">
        <f t="shared" ca="1" si="93"/>
        <v>45972.992325347223</v>
      </c>
      <c r="C1132" s="76" t="s">
        <v>196</v>
      </c>
      <c r="D1132" s="76" t="s">
        <v>902</v>
      </c>
      <c r="E1132" s="79" t="s">
        <v>1482</v>
      </c>
      <c r="F1132" s="79"/>
    </row>
    <row r="1133" spans="1:6">
      <c r="A1133" s="77">
        <f t="shared" ca="1" si="92"/>
        <v>45972</v>
      </c>
      <c r="B1133" s="80">
        <f t="shared" ca="1" si="93"/>
        <v>45972.996544560185</v>
      </c>
      <c r="C1133" s="76" t="s">
        <v>196</v>
      </c>
      <c r="D1133" s="76" t="s">
        <v>902</v>
      </c>
      <c r="E1133" s="79" t="s">
        <v>1483</v>
      </c>
      <c r="F1133" s="79" t="s">
        <v>1435</v>
      </c>
    </row>
    <row r="1134" spans="1:6">
      <c r="A1134" s="77">
        <f t="shared" ca="1" si="92"/>
        <v>45973</v>
      </c>
      <c r="B1134" s="80">
        <f t="shared" ca="1" si="93"/>
        <v>45973.001573611109</v>
      </c>
      <c r="C1134" s="76" t="s">
        <v>196</v>
      </c>
      <c r="D1134" s="76" t="s">
        <v>902</v>
      </c>
      <c r="E1134" s="79" t="s">
        <v>1446</v>
      </c>
      <c r="F1134" s="79"/>
    </row>
    <row r="1135" spans="1:6">
      <c r="A1135" s="77">
        <f t="shared" ca="1" si="92"/>
        <v>45973</v>
      </c>
      <c r="B1135" s="80">
        <f t="shared" ca="1" si="93"/>
        <v>45973.003317708331</v>
      </c>
      <c r="C1135" s="76" t="s">
        <v>196</v>
      </c>
      <c r="D1135" s="76" t="s">
        <v>902</v>
      </c>
      <c r="E1135" s="79" t="s">
        <v>1484</v>
      </c>
      <c r="F1135" s="79"/>
    </row>
    <row r="1136" spans="1:6">
      <c r="A1136" s="77">
        <f t="shared" ca="1" si="92"/>
        <v>45973</v>
      </c>
      <c r="B1136" s="80">
        <f t="shared" ca="1" si="93"/>
        <v>45973.004853009261</v>
      </c>
      <c r="C1136" s="76" t="s">
        <v>196</v>
      </c>
      <c r="D1136" s="76" t="s">
        <v>902</v>
      </c>
      <c r="E1136" s="79" t="s">
        <v>1484</v>
      </c>
      <c r="F1136" s="79"/>
    </row>
    <row r="1137" spans="1:6">
      <c r="A1137" s="77">
        <f t="shared" ca="1" si="92"/>
        <v>45973</v>
      </c>
      <c r="B1137" s="80">
        <f t="shared" ca="1" si="93"/>
        <v>45973.010706134257</v>
      </c>
      <c r="C1137" s="76" t="s">
        <v>196</v>
      </c>
      <c r="D1137" s="76" t="s">
        <v>902</v>
      </c>
      <c r="E1137" s="79" t="s">
        <v>1485</v>
      </c>
      <c r="F1137" s="79"/>
    </row>
    <row r="1138" spans="1:6">
      <c r="A1138" s="77">
        <f t="shared" ca="1" si="92"/>
        <v>45973</v>
      </c>
      <c r="B1138" s="80">
        <f t="shared" ca="1" si="93"/>
        <v>45973.012543750003</v>
      </c>
      <c r="C1138" s="76" t="s">
        <v>196</v>
      </c>
      <c r="D1138" s="76" t="s">
        <v>902</v>
      </c>
      <c r="E1138" s="79" t="s">
        <v>1484</v>
      </c>
      <c r="F1138" s="79"/>
    </row>
    <row r="1139" spans="1:6">
      <c r="A1139" s="77">
        <f t="shared" ca="1" si="92"/>
        <v>45973</v>
      </c>
      <c r="B1139" s="80">
        <f t="shared" ca="1" si="93"/>
        <v>45973.013259722225</v>
      </c>
      <c r="C1139" s="76" t="s">
        <v>196</v>
      </c>
      <c r="D1139" s="76" t="s">
        <v>902</v>
      </c>
      <c r="E1139" s="79" t="s">
        <v>1484</v>
      </c>
      <c r="F1139" s="79"/>
    </row>
    <row r="1140" spans="1:6">
      <c r="A1140" s="77">
        <f t="shared" ca="1" si="92"/>
        <v>45973</v>
      </c>
      <c r="B1140" s="80">
        <f t="shared" ca="1" si="93"/>
        <v>45973.016518865741</v>
      </c>
      <c r="C1140" s="76" t="s">
        <v>196</v>
      </c>
      <c r="D1140" s="210" t="s">
        <v>922</v>
      </c>
      <c r="E1140" s="79"/>
      <c r="F1140" s="79"/>
    </row>
    <row r="1141" spans="1:6">
      <c r="A1141" s="77">
        <f t="shared" ca="1" si="92"/>
        <v>45973</v>
      </c>
      <c r="B1141" s="80">
        <f t="shared" ca="1" si="93"/>
        <v>45973.068228819444</v>
      </c>
      <c r="C1141" s="76" t="s">
        <v>200</v>
      </c>
      <c r="D1141" s="210" t="s">
        <v>909</v>
      </c>
      <c r="E1141" s="79"/>
      <c r="F1141" s="79"/>
    </row>
    <row r="1142" spans="1:6">
      <c r="A1142" s="77">
        <f t="shared" ca="1" si="92"/>
        <v>45973</v>
      </c>
      <c r="B1142" s="80">
        <f t="shared" ca="1" si="93"/>
        <v>45973.072618518519</v>
      </c>
      <c r="C1142" s="76" t="s">
        <v>200</v>
      </c>
      <c r="D1142" s="76" t="s">
        <v>902</v>
      </c>
      <c r="E1142" s="79" t="s">
        <v>1410</v>
      </c>
      <c r="F1142" s="79" t="s">
        <v>1010</v>
      </c>
    </row>
    <row r="1143" spans="1:6">
      <c r="A1143" s="77">
        <f t="shared" ca="1" si="92"/>
        <v>45973</v>
      </c>
      <c r="B1143" s="80">
        <f t="shared" ca="1" si="93"/>
        <v>45973.074821527778</v>
      </c>
      <c r="C1143" s="76" t="s">
        <v>200</v>
      </c>
      <c r="D1143" s="76" t="s">
        <v>902</v>
      </c>
      <c r="E1143" s="79" t="s">
        <v>931</v>
      </c>
      <c r="F1143" s="79" t="s">
        <v>1435</v>
      </c>
    </row>
    <row r="1144" spans="1:6">
      <c r="A1144" s="77">
        <f t="shared" ca="1" si="92"/>
        <v>45973</v>
      </c>
      <c r="B1144" s="80">
        <f t="shared" ca="1" si="93"/>
        <v>45973.076934027777</v>
      </c>
      <c r="C1144" s="76" t="s">
        <v>200</v>
      </c>
      <c r="D1144" s="76" t="s">
        <v>902</v>
      </c>
      <c r="E1144" s="79" t="s">
        <v>1486</v>
      </c>
      <c r="F1144" s="79"/>
    </row>
    <row r="1145" spans="1:6">
      <c r="A1145" s="77">
        <f t="shared" ca="1" si="92"/>
        <v>45973</v>
      </c>
      <c r="B1145" s="80">
        <f t="shared" ca="1" si="93"/>
        <v>45973.077871527777</v>
      </c>
      <c r="C1145" s="76" t="s">
        <v>200</v>
      </c>
      <c r="D1145" s="76" t="s">
        <v>902</v>
      </c>
      <c r="E1145" s="79" t="s">
        <v>931</v>
      </c>
      <c r="F1145" s="79" t="s">
        <v>1435</v>
      </c>
    </row>
    <row r="1146" spans="1:6">
      <c r="A1146" s="77">
        <f t="shared" ca="1" si="92"/>
        <v>45973</v>
      </c>
      <c r="B1146" s="80">
        <f t="shared" ca="1" si="93"/>
        <v>45973.084252777779</v>
      </c>
      <c r="C1146" s="76" t="s">
        <v>200</v>
      </c>
      <c r="D1146" s="76" t="s">
        <v>902</v>
      </c>
      <c r="E1146" s="79" t="s">
        <v>1374</v>
      </c>
      <c r="F1146" s="79"/>
    </row>
    <row r="1147" spans="1:6">
      <c r="A1147" s="77">
        <f t="shared" ca="1" si="92"/>
        <v>45973</v>
      </c>
      <c r="B1147" s="80">
        <f t="shared" ca="1" si="93"/>
        <v>45973.084484837964</v>
      </c>
      <c r="C1147" s="76" t="s">
        <v>200</v>
      </c>
      <c r="D1147" s="76" t="s">
        <v>902</v>
      </c>
      <c r="E1147" s="79" t="s">
        <v>1374</v>
      </c>
      <c r="F1147" s="79"/>
    </row>
    <row r="1148" spans="1:6">
      <c r="A1148" s="77">
        <f t="shared" ca="1" si="92"/>
        <v>45973</v>
      </c>
      <c r="B1148" s="80">
        <f t="shared" ca="1" si="93"/>
        <v>45973.089897106482</v>
      </c>
      <c r="C1148" s="76" t="s">
        <v>200</v>
      </c>
      <c r="D1148" s="76" t="s">
        <v>902</v>
      </c>
      <c r="E1148" s="79" t="s">
        <v>1374</v>
      </c>
      <c r="F1148" s="79"/>
    </row>
    <row r="1149" spans="1:6">
      <c r="A1149" s="77">
        <f t="shared" ca="1" si="92"/>
        <v>45973</v>
      </c>
      <c r="B1149" s="80">
        <f t="shared" ca="1" si="93"/>
        <v>45973.092957986111</v>
      </c>
      <c r="C1149" s="76" t="s">
        <v>200</v>
      </c>
      <c r="D1149" s="76" t="s">
        <v>902</v>
      </c>
      <c r="E1149" s="79" t="s">
        <v>1374</v>
      </c>
      <c r="F1149" s="79"/>
    </row>
    <row r="1150" spans="1:6">
      <c r="A1150" s="77">
        <f t="shared" ca="1" si="92"/>
        <v>45973</v>
      </c>
      <c r="B1150" s="80">
        <f t="shared" ca="1" si="93"/>
        <v>45973.094910532411</v>
      </c>
      <c r="C1150" s="76" t="s">
        <v>200</v>
      </c>
      <c r="D1150" s="76" t="s">
        <v>902</v>
      </c>
      <c r="E1150" s="79" t="s">
        <v>1374</v>
      </c>
      <c r="F1150" s="79"/>
    </row>
    <row r="1151" spans="1:6">
      <c r="A1151" s="77">
        <f t="shared" ca="1" si="92"/>
        <v>45973</v>
      </c>
      <c r="B1151" s="80">
        <f t="shared" ca="1" si="93"/>
        <v>45973.095186458333</v>
      </c>
      <c r="C1151" s="76" t="s">
        <v>200</v>
      </c>
      <c r="D1151" s="76" t="s">
        <v>902</v>
      </c>
      <c r="E1151" s="79" t="s">
        <v>1374</v>
      </c>
      <c r="F1151" s="79"/>
    </row>
    <row r="1152" spans="1:6">
      <c r="A1152" s="77">
        <f t="shared" ca="1" si="92"/>
        <v>45973</v>
      </c>
      <c r="B1152" s="80">
        <f t="shared" ca="1" si="93"/>
        <v>45973.096156018517</v>
      </c>
      <c r="C1152" s="76" t="s">
        <v>200</v>
      </c>
      <c r="D1152" s="76" t="s">
        <v>902</v>
      </c>
      <c r="E1152" s="79" t="s">
        <v>1374</v>
      </c>
      <c r="F1152" s="79"/>
    </row>
    <row r="1153" spans="1:7">
      <c r="A1153" s="77">
        <f t="shared" ca="1" si="92"/>
        <v>45973</v>
      </c>
      <c r="B1153" s="80">
        <f t="shared" ca="1" si="93"/>
        <v>45973.099421296298</v>
      </c>
      <c r="C1153" s="76" t="s">
        <v>200</v>
      </c>
      <c r="D1153" s="76" t="s">
        <v>902</v>
      </c>
      <c r="E1153" s="79" t="s">
        <v>1374</v>
      </c>
      <c r="F1153" s="79"/>
    </row>
    <row r="1154" spans="1:7">
      <c r="A1154" s="77">
        <f t="shared" ca="1" si="92"/>
        <v>45973</v>
      </c>
      <c r="B1154" s="80">
        <f t="shared" ca="1" si="93"/>
        <v>45973.118772222224</v>
      </c>
      <c r="C1154" s="76" t="s">
        <v>200</v>
      </c>
      <c r="D1154" s="76" t="s">
        <v>902</v>
      </c>
      <c r="E1154" s="79" t="s">
        <v>1374</v>
      </c>
      <c r="F1154" s="79"/>
    </row>
    <row r="1155" spans="1:7">
      <c r="A1155" s="77">
        <f t="shared" ca="1" si="92"/>
        <v>45973</v>
      </c>
      <c r="B1155" s="80">
        <f t="shared" ca="1" si="93"/>
        <v>45973.120093518519</v>
      </c>
      <c r="C1155" s="76" t="s">
        <v>200</v>
      </c>
      <c r="D1155" s="76" t="s">
        <v>902</v>
      </c>
      <c r="E1155" s="79" t="s">
        <v>1067</v>
      </c>
      <c r="F1155" s="79"/>
    </row>
    <row r="1156" spans="1:7">
      <c r="A1156" s="77">
        <f t="shared" ca="1" si="92"/>
        <v>45973</v>
      </c>
      <c r="B1156" s="80">
        <f t="shared" ca="1" si="93"/>
        <v>45973.138485185184</v>
      </c>
      <c r="C1156" s="76" t="s">
        <v>200</v>
      </c>
      <c r="D1156" s="210" t="s">
        <v>922</v>
      </c>
      <c r="E1156" s="79"/>
      <c r="F1156" s="79"/>
    </row>
    <row r="1157" spans="1:7">
      <c r="A1157" s="77">
        <f t="shared" ca="1" si="92"/>
        <v>45973</v>
      </c>
      <c r="B1157" s="80">
        <f t="shared" ca="1" si="93"/>
        <v>45973.270020717595</v>
      </c>
      <c r="C1157" s="76" t="s">
        <v>206</v>
      </c>
      <c r="D1157" s="210" t="s">
        <v>906</v>
      </c>
      <c r="E1157" s="79"/>
      <c r="F1157" s="79"/>
    </row>
    <row r="1158" spans="1:7">
      <c r="A1158" s="77">
        <f t="shared" ca="1" si="92"/>
        <v>45973</v>
      </c>
      <c r="B1158" s="80">
        <f t="shared" ca="1" si="93"/>
        <v>45973.272724652779</v>
      </c>
      <c r="C1158" s="76" t="s">
        <v>206</v>
      </c>
      <c r="D1158" s="76" t="s">
        <v>902</v>
      </c>
      <c r="E1158" s="79" t="s">
        <v>1340</v>
      </c>
      <c r="F1158" s="79"/>
    </row>
    <row r="1159" spans="1:7">
      <c r="A1159" s="77">
        <f t="shared" ca="1" si="92"/>
        <v>45973</v>
      </c>
      <c r="B1159" s="80">
        <f t="shared" ca="1" si="93"/>
        <v>45973.299942129626</v>
      </c>
      <c r="C1159" s="76" t="s">
        <v>206</v>
      </c>
      <c r="D1159" s="210" t="s">
        <v>909</v>
      </c>
      <c r="E1159" s="79"/>
      <c r="F1159" s="79"/>
    </row>
    <row r="1160" spans="1:7">
      <c r="A1160" s="77">
        <f t="shared" ca="1" si="92"/>
        <v>45973</v>
      </c>
      <c r="B1160" s="80">
        <f t="shared" ca="1" si="93"/>
        <v>45973.302021875003</v>
      </c>
      <c r="C1160" s="76" t="s">
        <v>206</v>
      </c>
      <c r="D1160" s="76" t="s">
        <v>902</v>
      </c>
      <c r="E1160" s="79" t="s">
        <v>1487</v>
      </c>
      <c r="F1160" s="79"/>
    </row>
    <row r="1161" spans="1:7">
      <c r="A1161" s="77">
        <f t="shared" ca="1" si="92"/>
        <v>45973</v>
      </c>
      <c r="B1161" s="80">
        <f t="shared" ca="1" si="93"/>
        <v>45973.302106828705</v>
      </c>
      <c r="C1161" s="76" t="s">
        <v>206</v>
      </c>
      <c r="D1161" s="76" t="s">
        <v>902</v>
      </c>
      <c r="E1161" s="79" t="s">
        <v>1488</v>
      </c>
      <c r="F1161" s="79"/>
    </row>
    <row r="1162" spans="1:7">
      <c r="A1162" s="77">
        <f t="shared" ca="1" si="92"/>
        <v>45973</v>
      </c>
      <c r="B1162" s="80">
        <f t="shared" ca="1" si="93"/>
        <v>45973.303829398152</v>
      </c>
      <c r="C1162" s="76" t="s">
        <v>206</v>
      </c>
      <c r="D1162" s="76" t="s">
        <v>902</v>
      </c>
      <c r="E1162" s="79" t="s">
        <v>1488</v>
      </c>
      <c r="F1162" s="79"/>
    </row>
    <row r="1163" spans="1:7">
      <c r="A1163" s="77">
        <f t="shared" ca="1" si="92"/>
        <v>45973</v>
      </c>
      <c r="B1163" s="80">
        <f t="shared" ca="1" si="93"/>
        <v>45973.305643634259</v>
      </c>
      <c r="C1163" s="76" t="s">
        <v>206</v>
      </c>
      <c r="D1163" s="76" t="s">
        <v>902</v>
      </c>
      <c r="E1163" s="79" t="s">
        <v>1488</v>
      </c>
      <c r="F1163" s="79"/>
    </row>
    <row r="1164" spans="1:7">
      <c r="A1164" s="77">
        <f t="shared" ca="1" si="92"/>
        <v>45973</v>
      </c>
      <c r="B1164" s="80">
        <f t="shared" ca="1" si="93"/>
        <v>45973.306204282409</v>
      </c>
      <c r="C1164" s="76" t="s">
        <v>206</v>
      </c>
      <c r="D1164" s="76" t="s">
        <v>902</v>
      </c>
      <c r="E1164" s="79" t="s">
        <v>1489</v>
      </c>
      <c r="F1164" s="79"/>
    </row>
    <row r="1165" spans="1:7">
      <c r="A1165" s="77">
        <f t="shared" ca="1" si="92"/>
        <v>45973</v>
      </c>
      <c r="B1165" s="80">
        <f t="shared" ca="1" si="93"/>
        <v>45973.308049421299</v>
      </c>
      <c r="C1165" s="76" t="s">
        <v>206</v>
      </c>
      <c r="D1165" s="76" t="s">
        <v>902</v>
      </c>
      <c r="E1165" s="79" t="s">
        <v>1490</v>
      </c>
      <c r="F1165" s="79" t="s">
        <v>1010</v>
      </c>
    </row>
    <row r="1166" spans="1:7">
      <c r="A1166" s="77">
        <f t="shared" ca="1" si="92"/>
        <v>45973</v>
      </c>
      <c r="B1166" s="80">
        <f t="shared" ca="1" si="93"/>
        <v>45973.312197569445</v>
      </c>
      <c r="C1166" s="76" t="s">
        <v>206</v>
      </c>
      <c r="D1166" s="76" t="s">
        <v>902</v>
      </c>
      <c r="E1166" s="79" t="s">
        <v>1491</v>
      </c>
      <c r="F1166" s="79"/>
    </row>
    <row r="1167" spans="1:7">
      <c r="A1167" s="77">
        <f t="shared" ca="1" si="92"/>
        <v>45973</v>
      </c>
      <c r="B1167" s="80">
        <f t="shared" ca="1" si="93"/>
        <v>45973.314248842595</v>
      </c>
      <c r="C1167" s="76" t="s">
        <v>206</v>
      </c>
      <c r="D1167" s="76" t="s">
        <v>902</v>
      </c>
      <c r="E1167" s="79"/>
      <c r="F1167" s="79" t="s">
        <v>1492</v>
      </c>
    </row>
    <row r="1168" spans="1:7">
      <c r="A1168" s="77">
        <f t="shared" ca="1" si="92"/>
        <v>45973</v>
      </c>
      <c r="B1168" s="80">
        <f t="shared" ca="1" si="93"/>
        <v>45973.319035879627</v>
      </c>
      <c r="C1168" s="76" t="s">
        <v>206</v>
      </c>
      <c r="D1168" s="76" t="s">
        <v>902</v>
      </c>
      <c r="E1168" s="79" t="s">
        <v>1493</v>
      </c>
      <c r="F1168" s="79"/>
      <c r="G1168" s="76" t="s">
        <v>1494</v>
      </c>
    </row>
    <row r="1169" spans="1:7">
      <c r="A1169" s="77">
        <f t="shared" ca="1" si="92"/>
        <v>45973</v>
      </c>
      <c r="B1169" s="80">
        <v>0.32534722222222223</v>
      </c>
      <c r="C1169" s="76" t="s">
        <v>206</v>
      </c>
      <c r="D1169" s="150" t="s">
        <v>1007</v>
      </c>
      <c r="E1169" s="79" t="s">
        <v>1493</v>
      </c>
      <c r="F1169" s="79"/>
      <c r="G1169" s="76" t="s">
        <v>1495</v>
      </c>
    </row>
    <row r="1170" spans="1:7">
      <c r="A1170" s="77">
        <f t="shared" ca="1" si="92"/>
        <v>45973</v>
      </c>
      <c r="B1170" s="80">
        <f t="shared" ca="1" si="93"/>
        <v>45973.327768750001</v>
      </c>
      <c r="C1170" s="76" t="s">
        <v>206</v>
      </c>
      <c r="D1170" s="76" t="s">
        <v>902</v>
      </c>
      <c r="E1170" s="79" t="s">
        <v>1496</v>
      </c>
      <c r="F1170" s="79"/>
    </row>
    <row r="1171" spans="1:7">
      <c r="A1171" s="77">
        <f t="shared" ca="1" si="92"/>
        <v>45973</v>
      </c>
      <c r="B1171" s="80">
        <f t="shared" ca="1" si="93"/>
        <v>45973.328195023147</v>
      </c>
      <c r="C1171" s="76" t="s">
        <v>206</v>
      </c>
      <c r="D1171" s="76" t="s">
        <v>902</v>
      </c>
      <c r="E1171" s="79" t="s">
        <v>1493</v>
      </c>
      <c r="F1171" s="79"/>
    </row>
    <row r="1172" spans="1:7">
      <c r="A1172" s="77">
        <f t="shared" ca="1" si="92"/>
        <v>45973</v>
      </c>
      <c r="B1172" s="80">
        <f t="shared" ca="1" si="93"/>
        <v>45973.33121689815</v>
      </c>
      <c r="C1172" s="76" t="s">
        <v>206</v>
      </c>
      <c r="D1172" s="76" t="s">
        <v>902</v>
      </c>
      <c r="E1172" s="79" t="s">
        <v>1497</v>
      </c>
      <c r="F1172" s="79"/>
    </row>
    <row r="1173" spans="1:7">
      <c r="A1173" s="77">
        <f t="shared" ca="1" si="92"/>
        <v>45973</v>
      </c>
      <c r="B1173" s="80">
        <f t="shared" ca="1" si="93"/>
        <v>45973.332129629627</v>
      </c>
      <c r="C1173" s="76" t="s">
        <v>206</v>
      </c>
      <c r="D1173" s="76" t="s">
        <v>902</v>
      </c>
      <c r="E1173" s="79" t="s">
        <v>1498</v>
      </c>
      <c r="F1173" s="79"/>
    </row>
    <row r="1174" spans="1:7">
      <c r="A1174" s="77">
        <f t="shared" ca="1" si="92"/>
        <v>45973</v>
      </c>
      <c r="B1174" s="80">
        <f t="shared" ca="1" si="93"/>
        <v>45973.341335069446</v>
      </c>
      <c r="C1174" s="76" t="s">
        <v>206</v>
      </c>
      <c r="D1174" s="76" t="s">
        <v>902</v>
      </c>
      <c r="E1174" s="79" t="s">
        <v>1499</v>
      </c>
      <c r="F1174" s="79" t="s">
        <v>1500</v>
      </c>
    </row>
    <row r="1175" spans="1:7">
      <c r="A1175" s="77">
        <f t="shared" ca="1" si="92"/>
        <v>45973</v>
      </c>
      <c r="B1175" s="80">
        <f t="shared" ca="1" si="93"/>
        <v>45973.346812384261</v>
      </c>
      <c r="C1175" s="76" t="s">
        <v>206</v>
      </c>
      <c r="D1175" s="76" t="s">
        <v>902</v>
      </c>
      <c r="E1175" s="79" t="s">
        <v>1488</v>
      </c>
      <c r="F1175" s="79"/>
    </row>
    <row r="1176" spans="1:7">
      <c r="A1176" s="77">
        <f t="shared" ca="1" si="92"/>
        <v>45973</v>
      </c>
      <c r="B1176" s="80">
        <f t="shared" ca="1" si="93"/>
        <v>45973.350588310183</v>
      </c>
      <c r="C1176" s="76" t="s">
        <v>206</v>
      </c>
      <c r="D1176" s="210" t="s">
        <v>922</v>
      </c>
      <c r="E1176" s="79"/>
      <c r="F1176" s="79"/>
    </row>
    <row r="1177" spans="1:7" ht="16.5" customHeight="1">
      <c r="A1177" s="77">
        <f t="shared" ca="1" si="92"/>
        <v>45973</v>
      </c>
      <c r="B1177" s="80">
        <f t="shared" ca="1" si="93"/>
        <v>45973.448589930558</v>
      </c>
      <c r="C1177" s="76" t="s">
        <v>211</v>
      </c>
      <c r="D1177" s="210" t="s">
        <v>906</v>
      </c>
      <c r="E1177" s="79"/>
      <c r="F1177" s="79"/>
    </row>
    <row r="1178" spans="1:7" ht="16.5" customHeight="1">
      <c r="A1178" s="77">
        <f t="shared" ca="1" si="92"/>
        <v>45973</v>
      </c>
      <c r="B1178" s="80">
        <f t="shared" ca="1" si="93"/>
        <v>45973.478945833333</v>
      </c>
      <c r="C1178" s="76" t="s">
        <v>211</v>
      </c>
      <c r="D1178" s="150" t="s">
        <v>1084</v>
      </c>
      <c r="E1178" s="79"/>
      <c r="F1178" s="79"/>
      <c r="G1178" s="76" t="s">
        <v>1501</v>
      </c>
    </row>
    <row r="1179" spans="1:7" ht="16.5" customHeight="1">
      <c r="A1179" s="77">
        <f t="shared" ca="1" si="92"/>
        <v>45973</v>
      </c>
      <c r="B1179" s="80">
        <f t="shared" ca="1" si="93"/>
        <v>45973.588209027781</v>
      </c>
      <c r="C1179" s="76" t="s">
        <v>211</v>
      </c>
      <c r="D1179" s="210" t="s">
        <v>1098</v>
      </c>
      <c r="E1179" s="79"/>
      <c r="F1179" s="79"/>
    </row>
    <row r="1180" spans="1:7">
      <c r="A1180" s="77">
        <f t="shared" ca="1" si="92"/>
        <v>45974</v>
      </c>
      <c r="B1180" s="80">
        <f t="shared" ca="1" si="93"/>
        <v>45974.963683796297</v>
      </c>
      <c r="C1180" s="76" t="s">
        <v>215</v>
      </c>
      <c r="D1180" s="210" t="s">
        <v>906</v>
      </c>
      <c r="E1180" s="79"/>
      <c r="F1180" s="79"/>
    </row>
    <row r="1181" spans="1:7">
      <c r="A1181" s="77">
        <f t="shared" ca="1" si="92"/>
        <v>45975</v>
      </c>
      <c r="B1181" s="80">
        <f t="shared" ca="1" si="93"/>
        <v>45975.001834606483</v>
      </c>
      <c r="C1181" s="76" t="s">
        <v>215</v>
      </c>
      <c r="D1181" s="150" t="s">
        <v>1059</v>
      </c>
      <c r="E1181" s="79" t="s">
        <v>1502</v>
      </c>
      <c r="F1181" s="79"/>
    </row>
    <row r="1182" spans="1:7">
      <c r="A1182" s="77">
        <f t="shared" ca="1" si="92"/>
        <v>45975</v>
      </c>
      <c r="B1182" s="80">
        <f t="shared" ca="1" si="93"/>
        <v>45975.001860416669</v>
      </c>
      <c r="C1182" s="76" t="s">
        <v>215</v>
      </c>
      <c r="D1182" s="210" t="s">
        <v>909</v>
      </c>
      <c r="E1182" s="79"/>
      <c r="F1182" s="79"/>
    </row>
    <row r="1183" spans="1:7">
      <c r="A1183" s="77">
        <f t="shared" ca="1" si="92"/>
        <v>45975</v>
      </c>
      <c r="B1183" s="80">
        <f t="shared" ca="1" si="93"/>
        <v>45975.003621875003</v>
      </c>
      <c r="C1183" s="76" t="s">
        <v>215</v>
      </c>
      <c r="D1183" s="76" t="s">
        <v>902</v>
      </c>
      <c r="E1183" s="79" t="s">
        <v>1464</v>
      </c>
      <c r="F1183" s="79"/>
      <c r="G1183" s="76" t="s">
        <v>1503</v>
      </c>
    </row>
    <row r="1184" spans="1:7">
      <c r="A1184" s="77">
        <f t="shared" ca="1" si="92"/>
        <v>45975</v>
      </c>
      <c r="B1184" s="80">
        <f t="shared" ca="1" si="93"/>
        <v>45975.010558333335</v>
      </c>
      <c r="C1184" s="76" t="s">
        <v>215</v>
      </c>
      <c r="D1184" s="76" t="s">
        <v>902</v>
      </c>
      <c r="E1184" s="79" t="s">
        <v>1062</v>
      </c>
      <c r="F1184" s="79"/>
    </row>
    <row r="1185" spans="1:7">
      <c r="A1185" s="77">
        <f t="shared" ca="1" si="92"/>
        <v>45975</v>
      </c>
      <c r="B1185" s="80">
        <f t="shared" ca="1" si="93"/>
        <v>45975.013762847222</v>
      </c>
      <c r="C1185" s="76" t="s">
        <v>215</v>
      </c>
      <c r="D1185" s="76" t="s">
        <v>902</v>
      </c>
      <c r="E1185" s="79" t="s">
        <v>1504</v>
      </c>
      <c r="F1185" s="79"/>
    </row>
    <row r="1186" spans="1:7">
      <c r="A1186" s="77">
        <f t="shared" ca="1" si="92"/>
        <v>45975</v>
      </c>
      <c r="B1186" s="80">
        <f t="shared" ca="1" si="93"/>
        <v>45975.015272337965</v>
      </c>
      <c r="C1186" s="76" t="s">
        <v>215</v>
      </c>
      <c r="D1186" s="76" t="s">
        <v>902</v>
      </c>
      <c r="E1186" s="79" t="s">
        <v>1062</v>
      </c>
      <c r="F1186" s="79"/>
    </row>
    <row r="1187" spans="1:7">
      <c r="A1187" s="77">
        <f t="shared" ca="1" si="92"/>
        <v>45975</v>
      </c>
      <c r="B1187" s="80">
        <f t="shared" ca="1" si="93"/>
        <v>45975.016122106485</v>
      </c>
      <c r="C1187" s="76" t="s">
        <v>215</v>
      </c>
      <c r="D1187" s="76" t="s">
        <v>902</v>
      </c>
      <c r="E1187" s="79" t="s">
        <v>1505</v>
      </c>
      <c r="F1187" s="79"/>
    </row>
    <row r="1188" spans="1:7">
      <c r="A1188" s="77">
        <f t="shared" ca="1" si="92"/>
        <v>45975</v>
      </c>
      <c r="B1188" s="80">
        <f t="shared" ca="1" si="93"/>
        <v>45975.016972106481</v>
      </c>
      <c r="C1188" s="76" t="s">
        <v>215</v>
      </c>
      <c r="D1188" s="76" t="s">
        <v>902</v>
      </c>
      <c r="E1188" s="79" t="s">
        <v>1504</v>
      </c>
      <c r="F1188" s="79"/>
    </row>
    <row r="1189" spans="1:7">
      <c r="A1189" s="77">
        <f t="shared" ref="A1189:A1253" ca="1" si="94">IF(C1189&lt;&gt;0,IF(A1189=0,TODAY(),A1189),)</f>
        <v>45975</v>
      </c>
      <c r="B1189" s="80">
        <f t="shared" ref="B1189:B1251" ca="1" si="95">IF(C1189&lt;&gt;0,IF(B1189=0,NOW(),B1189),)</f>
        <v>45975.017231712962</v>
      </c>
      <c r="C1189" s="76" t="s">
        <v>215</v>
      </c>
      <c r="D1189" s="76" t="s">
        <v>902</v>
      </c>
      <c r="E1189" s="79" t="s">
        <v>1504</v>
      </c>
      <c r="F1189" s="79"/>
    </row>
    <row r="1190" spans="1:7">
      <c r="A1190" s="77">
        <f t="shared" ca="1" si="94"/>
        <v>45975</v>
      </c>
      <c r="B1190" s="80">
        <f t="shared" ca="1" si="95"/>
        <v>45975.017723032404</v>
      </c>
      <c r="C1190" s="76" t="s">
        <v>215</v>
      </c>
      <c r="D1190" s="76" t="s">
        <v>902</v>
      </c>
      <c r="E1190" s="79" t="s">
        <v>1504</v>
      </c>
      <c r="F1190" s="79"/>
    </row>
    <row r="1191" spans="1:7">
      <c r="A1191" s="77">
        <f t="shared" ca="1" si="94"/>
        <v>45975</v>
      </c>
      <c r="B1191" s="80">
        <f t="shared" ca="1" si="95"/>
        <v>45975.021459143521</v>
      </c>
      <c r="C1191" s="76" t="s">
        <v>215</v>
      </c>
      <c r="D1191" s="76" t="s">
        <v>902</v>
      </c>
      <c r="E1191" s="79" t="s">
        <v>1062</v>
      </c>
      <c r="F1191" s="79"/>
    </row>
    <row r="1192" spans="1:7">
      <c r="A1192" s="77">
        <f t="shared" ca="1" si="94"/>
        <v>45975</v>
      </c>
      <c r="B1192" s="80">
        <f t="shared" ca="1" si="95"/>
        <v>45975.021699999998</v>
      </c>
      <c r="C1192" s="76" t="s">
        <v>215</v>
      </c>
      <c r="D1192" s="76" t="s">
        <v>902</v>
      </c>
      <c r="E1192" s="79" t="s">
        <v>1505</v>
      </c>
      <c r="F1192" s="79"/>
    </row>
    <row r="1193" spans="1:7">
      <c r="A1193" s="77">
        <f t="shared" ca="1" si="94"/>
        <v>45975</v>
      </c>
      <c r="B1193" s="80">
        <f t="shared" ca="1" si="95"/>
        <v>45975.026400578703</v>
      </c>
      <c r="C1193" s="76" t="s">
        <v>215</v>
      </c>
      <c r="D1193" s="76" t="s">
        <v>902</v>
      </c>
      <c r="E1193" s="79" t="s">
        <v>1505</v>
      </c>
      <c r="F1193" s="79"/>
    </row>
    <row r="1194" spans="1:7">
      <c r="A1194" s="77">
        <f t="shared" ca="1" si="94"/>
        <v>45975</v>
      </c>
      <c r="B1194" s="80">
        <f t="shared" ca="1" si="95"/>
        <v>45975.02871608796</v>
      </c>
      <c r="C1194" s="76" t="s">
        <v>215</v>
      </c>
      <c r="D1194" s="76" t="s">
        <v>902</v>
      </c>
      <c r="E1194" s="79" t="s">
        <v>1062</v>
      </c>
      <c r="F1194" s="79"/>
    </row>
    <row r="1195" spans="1:7">
      <c r="A1195" s="77">
        <f t="shared" ca="1" si="94"/>
        <v>45975</v>
      </c>
      <c r="B1195" s="80">
        <f t="shared" ca="1" si="95"/>
        <v>45975.028945949074</v>
      </c>
      <c r="C1195" s="76" t="s">
        <v>215</v>
      </c>
      <c r="D1195" s="76" t="s">
        <v>902</v>
      </c>
      <c r="E1195" s="79" t="s">
        <v>1196</v>
      </c>
      <c r="F1195" s="79"/>
    </row>
    <row r="1196" spans="1:7">
      <c r="A1196" s="77">
        <f t="shared" ca="1" si="94"/>
        <v>45975</v>
      </c>
      <c r="B1196" s="80">
        <v>3.4027777777777775E-2</v>
      </c>
      <c r="C1196" s="76" t="s">
        <v>215</v>
      </c>
      <c r="D1196" s="76" t="s">
        <v>902</v>
      </c>
      <c r="E1196" s="79"/>
      <c r="F1196" s="79"/>
      <c r="G1196" s="76" t="s">
        <v>1506</v>
      </c>
    </row>
    <row r="1197" spans="1:7">
      <c r="A1197" s="77">
        <f t="shared" ca="1" si="94"/>
        <v>45975</v>
      </c>
      <c r="B1197" s="80">
        <f t="shared" ca="1" si="95"/>
        <v>45975.042600925924</v>
      </c>
      <c r="C1197" s="76" t="s">
        <v>215</v>
      </c>
      <c r="D1197" s="150" t="s">
        <v>1007</v>
      </c>
      <c r="E1197" s="79" t="s">
        <v>1507</v>
      </c>
      <c r="F1197" s="79"/>
    </row>
    <row r="1198" spans="1:7">
      <c r="A1198" s="77">
        <f t="shared" ca="1" si="94"/>
        <v>45975</v>
      </c>
      <c r="B1198" s="80">
        <f t="shared" ca="1" si="95"/>
        <v>45975.051034490738</v>
      </c>
      <c r="C1198" s="76" t="s">
        <v>215</v>
      </c>
      <c r="D1198" s="150" t="s">
        <v>1007</v>
      </c>
      <c r="E1198" s="79" t="s">
        <v>1508</v>
      </c>
      <c r="F1198" s="79"/>
    </row>
    <row r="1199" spans="1:7">
      <c r="A1199" s="77">
        <f t="shared" ca="1" si="94"/>
        <v>45975</v>
      </c>
      <c r="B1199" s="80">
        <f t="shared" ca="1" si="95"/>
        <v>45975.05429641204</v>
      </c>
      <c r="C1199" s="76" t="s">
        <v>215</v>
      </c>
      <c r="D1199" s="76" t="s">
        <v>902</v>
      </c>
      <c r="E1199" s="79" t="s">
        <v>1063</v>
      </c>
      <c r="F1199" s="79"/>
    </row>
    <row r="1200" spans="1:7">
      <c r="A1200" s="77">
        <f t="shared" ca="1" si="94"/>
        <v>45975</v>
      </c>
      <c r="B1200" s="80">
        <f t="shared" ca="1" si="95"/>
        <v>45975.054555787035</v>
      </c>
      <c r="C1200" s="76" t="s">
        <v>215</v>
      </c>
      <c r="D1200" s="76" t="s">
        <v>902</v>
      </c>
      <c r="E1200" s="79" t="s">
        <v>1063</v>
      </c>
      <c r="F1200" s="79"/>
    </row>
    <row r="1201" spans="1:7">
      <c r="A1201" s="77">
        <f t="shared" ca="1" si="94"/>
        <v>45975</v>
      </c>
      <c r="B1201" s="80">
        <f t="shared" ca="1" si="95"/>
        <v>45975.05745335648</v>
      </c>
      <c r="C1201" s="76" t="s">
        <v>215</v>
      </c>
      <c r="D1201" s="76" t="s">
        <v>902</v>
      </c>
      <c r="E1201" s="79" t="s">
        <v>1062</v>
      </c>
      <c r="F1201" s="79"/>
    </row>
    <row r="1202" spans="1:7">
      <c r="A1202" s="77">
        <f t="shared" ca="1" si="94"/>
        <v>45975</v>
      </c>
      <c r="B1202" s="80">
        <f t="shared" ca="1" si="95"/>
        <v>45975.061755787036</v>
      </c>
      <c r="C1202" s="76" t="s">
        <v>215</v>
      </c>
      <c r="D1202" s="76" t="s">
        <v>902</v>
      </c>
      <c r="E1202" s="79" t="s">
        <v>1509</v>
      </c>
      <c r="F1202" s="79"/>
      <c r="G1202" s="76" t="s">
        <v>1510</v>
      </c>
    </row>
    <row r="1203" spans="1:7">
      <c r="A1203" s="77">
        <f t="shared" ca="1" si="94"/>
        <v>45975</v>
      </c>
      <c r="B1203" s="80">
        <f t="shared" ca="1" si="95"/>
        <v>45975.074829050929</v>
      </c>
      <c r="C1203" s="76" t="s">
        <v>215</v>
      </c>
      <c r="D1203" s="76" t="s">
        <v>902</v>
      </c>
      <c r="E1203" s="79" t="s">
        <v>1508</v>
      </c>
      <c r="F1203" s="79"/>
      <c r="G1203" s="76" t="s">
        <v>1511</v>
      </c>
    </row>
    <row r="1204" spans="1:7">
      <c r="A1204" s="77">
        <f t="shared" ca="1" si="94"/>
        <v>45975</v>
      </c>
      <c r="B1204" s="80">
        <f t="shared" ca="1" si="95"/>
        <v>45975.076949652779</v>
      </c>
      <c r="C1204" s="76" t="s">
        <v>215</v>
      </c>
      <c r="D1204" s="76" t="s">
        <v>902</v>
      </c>
      <c r="E1204" s="79" t="s">
        <v>1062</v>
      </c>
      <c r="F1204" s="79"/>
    </row>
    <row r="1205" spans="1:7">
      <c r="A1205" s="77">
        <f t="shared" ca="1" si="94"/>
        <v>45975</v>
      </c>
      <c r="B1205" s="80">
        <f t="shared" ca="1" si="95"/>
        <v>45975.077133564817</v>
      </c>
      <c r="C1205" s="76" t="s">
        <v>215</v>
      </c>
      <c r="D1205" s="76" t="s">
        <v>902</v>
      </c>
      <c r="E1205" s="79" t="s">
        <v>1062</v>
      </c>
      <c r="F1205" s="79"/>
    </row>
    <row r="1206" spans="1:7">
      <c r="A1206" s="77">
        <f t="shared" ca="1" si="94"/>
        <v>45975</v>
      </c>
      <c r="B1206" s="80">
        <f t="shared" ca="1" si="95"/>
        <v>45975.086237037038</v>
      </c>
      <c r="C1206" s="76" t="s">
        <v>215</v>
      </c>
      <c r="D1206" s="76" t="s">
        <v>902</v>
      </c>
      <c r="E1206" s="79" t="s">
        <v>1062</v>
      </c>
      <c r="F1206" s="79"/>
    </row>
    <row r="1207" spans="1:7">
      <c r="A1207" s="77">
        <f t="shared" ca="1" si="94"/>
        <v>45975</v>
      </c>
      <c r="B1207" s="80">
        <f t="shared" ca="1" si="95"/>
        <v>45975.086409027776</v>
      </c>
      <c r="C1207" s="76" t="s">
        <v>215</v>
      </c>
      <c r="D1207" s="76" t="s">
        <v>902</v>
      </c>
      <c r="E1207" s="79" t="s">
        <v>1504</v>
      </c>
      <c r="F1207" s="79"/>
    </row>
    <row r="1208" spans="1:7">
      <c r="A1208" s="77">
        <f t="shared" ca="1" si="94"/>
        <v>45975</v>
      </c>
      <c r="B1208" s="80">
        <f t="shared" ca="1" si="95"/>
        <v>45975.091153935187</v>
      </c>
      <c r="C1208" s="76" t="s">
        <v>215</v>
      </c>
      <c r="D1208" s="76" t="s">
        <v>902</v>
      </c>
      <c r="E1208" s="79" t="s">
        <v>1512</v>
      </c>
      <c r="F1208" s="79"/>
    </row>
    <row r="1209" spans="1:7">
      <c r="A1209" s="77">
        <f t="shared" ca="1" si="94"/>
        <v>45975</v>
      </c>
      <c r="B1209" s="80">
        <f t="shared" ca="1" si="95"/>
        <v>45975.093466550927</v>
      </c>
      <c r="C1209" s="76" t="s">
        <v>215</v>
      </c>
      <c r="D1209" s="76" t="s">
        <v>902</v>
      </c>
      <c r="E1209" s="79" t="s">
        <v>1513</v>
      </c>
      <c r="F1209" s="79"/>
      <c r="G1209" s="76" t="s">
        <v>1514</v>
      </c>
    </row>
    <row r="1210" spans="1:7">
      <c r="A1210" s="77">
        <f t="shared" ca="1" si="94"/>
        <v>45975</v>
      </c>
      <c r="B1210" s="80">
        <f t="shared" ca="1" si="95"/>
        <v>45975.097400578707</v>
      </c>
      <c r="C1210" s="76" t="s">
        <v>215</v>
      </c>
      <c r="D1210" s="76" t="s">
        <v>902</v>
      </c>
      <c r="E1210" s="79"/>
      <c r="F1210" s="79"/>
      <c r="G1210" s="76" t="s">
        <v>1515</v>
      </c>
    </row>
    <row r="1211" spans="1:7">
      <c r="A1211" s="77">
        <f t="shared" ca="1" si="94"/>
        <v>45975</v>
      </c>
      <c r="B1211" s="80">
        <f t="shared" ca="1" si="95"/>
        <v>45975.098315162038</v>
      </c>
      <c r="C1211" s="76" t="s">
        <v>215</v>
      </c>
      <c r="D1211" s="76" t="s">
        <v>902</v>
      </c>
      <c r="E1211" s="79" t="s">
        <v>1062</v>
      </c>
      <c r="F1211" s="79"/>
    </row>
    <row r="1212" spans="1:7">
      <c r="A1212" s="77">
        <f t="shared" ca="1" si="94"/>
        <v>45975</v>
      </c>
      <c r="B1212" s="80">
        <f t="shared" ca="1" si="95"/>
        <v>45975.105990046293</v>
      </c>
      <c r="C1212" s="76" t="s">
        <v>215</v>
      </c>
      <c r="D1212" s="76" t="s">
        <v>902</v>
      </c>
      <c r="E1212" s="79"/>
      <c r="F1212" s="79"/>
      <c r="G1212" s="76" t="s">
        <v>1516</v>
      </c>
    </row>
    <row r="1213" spans="1:7">
      <c r="A1213" s="77">
        <f t="shared" ca="1" si="94"/>
        <v>45975</v>
      </c>
      <c r="B1213" s="80">
        <f t="shared" ca="1" si="95"/>
        <v>45975.106421759258</v>
      </c>
      <c r="C1213" s="76" t="s">
        <v>215</v>
      </c>
      <c r="D1213" s="76" t="s">
        <v>902</v>
      </c>
      <c r="E1213" s="79" t="s">
        <v>1517</v>
      </c>
      <c r="F1213" s="79"/>
      <c r="G1213" s="76" t="s">
        <v>1518</v>
      </c>
    </row>
    <row r="1214" spans="1:7">
      <c r="A1214" s="77">
        <f t="shared" ca="1" si="94"/>
        <v>45975</v>
      </c>
      <c r="B1214" s="80">
        <f t="shared" ca="1" si="95"/>
        <v>45975.110955208336</v>
      </c>
      <c r="C1214" s="76" t="s">
        <v>215</v>
      </c>
      <c r="D1214" s="76" t="s">
        <v>902</v>
      </c>
      <c r="E1214" s="79"/>
      <c r="F1214" s="79"/>
      <c r="G1214" s="76" t="s">
        <v>1519</v>
      </c>
    </row>
    <row r="1215" spans="1:7">
      <c r="A1215" s="77">
        <f t="shared" ca="1" si="94"/>
        <v>45975</v>
      </c>
      <c r="B1215" s="80">
        <f t="shared" ca="1" si="95"/>
        <v>45975.111841203703</v>
      </c>
      <c r="C1215" s="76" t="s">
        <v>215</v>
      </c>
      <c r="D1215" s="76" t="s">
        <v>902</v>
      </c>
      <c r="E1215" s="79" t="s">
        <v>1505</v>
      </c>
      <c r="F1215" s="79"/>
    </row>
    <row r="1216" spans="1:7">
      <c r="A1216" s="77">
        <f t="shared" ca="1" si="94"/>
        <v>45975</v>
      </c>
      <c r="B1216" s="80">
        <f t="shared" ca="1" si="95"/>
        <v>45975.117549537033</v>
      </c>
      <c r="C1216" s="76" t="s">
        <v>215</v>
      </c>
      <c r="D1216" s="210" t="s">
        <v>922</v>
      </c>
      <c r="E1216" s="79"/>
      <c r="F1216" s="79"/>
      <c r="G1216" s="76" t="s">
        <v>1520</v>
      </c>
    </row>
    <row r="1217" spans="1:7">
      <c r="A1217" s="77">
        <f t="shared" ca="1" si="94"/>
        <v>45975</v>
      </c>
      <c r="B1217" s="80">
        <f t="shared" ca="1" si="95"/>
        <v>45975.151589120367</v>
      </c>
      <c r="C1217" s="76" t="s">
        <v>215</v>
      </c>
      <c r="D1217" s="210" t="s">
        <v>1098</v>
      </c>
      <c r="E1217" s="79"/>
      <c r="F1217" s="79"/>
    </row>
    <row r="1218" spans="1:7">
      <c r="A1218" s="77">
        <f t="shared" ca="1" si="94"/>
        <v>45975</v>
      </c>
      <c r="B1218" s="80">
        <f t="shared" ca="1" si="95"/>
        <v>45975.200546990738</v>
      </c>
      <c r="C1218" s="76" t="s">
        <v>220</v>
      </c>
      <c r="D1218" s="210" t="s">
        <v>906</v>
      </c>
      <c r="E1218" s="79"/>
      <c r="F1218" s="79"/>
    </row>
    <row r="1219" spans="1:7">
      <c r="A1219" s="77">
        <f t="shared" ca="1" si="94"/>
        <v>45975</v>
      </c>
      <c r="B1219" s="80">
        <f t="shared" ca="1" si="95"/>
        <v>45975.244854629629</v>
      </c>
      <c r="C1219" s="76" t="s">
        <v>220</v>
      </c>
      <c r="D1219" s="210" t="s">
        <v>909</v>
      </c>
      <c r="E1219" s="79"/>
      <c r="F1219" s="79"/>
    </row>
    <row r="1220" spans="1:7">
      <c r="A1220" s="77">
        <f t="shared" ca="1" si="94"/>
        <v>45975</v>
      </c>
      <c r="B1220" s="80">
        <f t="shared" ca="1" si="95"/>
        <v>45975.240295370371</v>
      </c>
      <c r="C1220" s="76" t="s">
        <v>220</v>
      </c>
      <c r="D1220" s="76" t="s">
        <v>902</v>
      </c>
      <c r="E1220" s="79" t="s">
        <v>1521</v>
      </c>
      <c r="F1220" s="79"/>
    </row>
    <row r="1221" spans="1:7">
      <c r="A1221" s="77">
        <f t="shared" ca="1" si="94"/>
        <v>45975</v>
      </c>
      <c r="B1221" s="80">
        <f t="shared" ca="1" si="95"/>
        <v>45975.241444212967</v>
      </c>
      <c r="C1221" s="76" t="s">
        <v>220</v>
      </c>
      <c r="D1221" s="76" t="s">
        <v>902</v>
      </c>
      <c r="E1221" s="79" t="s">
        <v>1062</v>
      </c>
      <c r="F1221" s="79"/>
    </row>
    <row r="1222" spans="1:7">
      <c r="A1222" s="77">
        <f t="shared" ca="1" si="94"/>
        <v>45975</v>
      </c>
      <c r="B1222" s="80">
        <f t="shared" ca="1" si="95"/>
        <v>45975.242230208336</v>
      </c>
      <c r="C1222" s="76" t="s">
        <v>220</v>
      </c>
      <c r="D1222" s="76" t="s">
        <v>902</v>
      </c>
      <c r="E1222" s="79" t="s">
        <v>1522</v>
      </c>
      <c r="F1222" s="79"/>
    </row>
    <row r="1223" spans="1:7">
      <c r="A1223" s="77">
        <f t="shared" ca="1" si="94"/>
        <v>45975</v>
      </c>
      <c r="B1223" s="80">
        <f t="shared" ca="1" si="95"/>
        <v>45975.242618171294</v>
      </c>
      <c r="C1223" s="76" t="s">
        <v>220</v>
      </c>
      <c r="D1223" s="76" t="s">
        <v>902</v>
      </c>
      <c r="E1223" s="79" t="s">
        <v>1521</v>
      </c>
      <c r="F1223" s="79"/>
    </row>
    <row r="1224" spans="1:7">
      <c r="A1224" s="77">
        <f t="shared" ca="1" si="94"/>
        <v>45975</v>
      </c>
      <c r="B1224" s="80">
        <f t="shared" ca="1" si="95"/>
        <v>45975.243084837966</v>
      </c>
      <c r="C1224" s="76" t="s">
        <v>220</v>
      </c>
      <c r="D1224" s="76" t="s">
        <v>902</v>
      </c>
      <c r="E1224" s="79" t="s">
        <v>1523</v>
      </c>
      <c r="F1224" s="79"/>
    </row>
    <row r="1225" spans="1:7">
      <c r="A1225" s="77">
        <f t="shared" ca="1" si="94"/>
        <v>45975</v>
      </c>
      <c r="B1225" s="80">
        <f t="shared" ca="1" si="95"/>
        <v>45975.243724884262</v>
      </c>
      <c r="C1225" s="76" t="s">
        <v>220</v>
      </c>
      <c r="D1225" s="76" t="s">
        <v>902</v>
      </c>
      <c r="E1225" s="79" t="s">
        <v>1062</v>
      </c>
      <c r="F1225" s="79"/>
    </row>
    <row r="1226" spans="1:7">
      <c r="A1226" s="77">
        <f t="shared" ca="1" si="94"/>
        <v>45975</v>
      </c>
      <c r="B1226" s="80">
        <f t="shared" ca="1" si="95"/>
        <v>45975.245321527778</v>
      </c>
      <c r="C1226" s="76" t="s">
        <v>220</v>
      </c>
      <c r="D1226" s="76" t="s">
        <v>902</v>
      </c>
      <c r="E1226" s="79"/>
      <c r="F1226" s="79"/>
    </row>
    <row r="1227" spans="1:7">
      <c r="A1227" s="77">
        <f t="shared" ca="1" si="94"/>
        <v>45975</v>
      </c>
      <c r="B1227" s="80">
        <f t="shared" ca="1" si="95"/>
        <v>45975.247536226852</v>
      </c>
      <c r="C1227" s="76" t="s">
        <v>220</v>
      </c>
      <c r="D1227" s="76" t="s">
        <v>902</v>
      </c>
      <c r="E1227" s="79" t="s">
        <v>1524</v>
      </c>
      <c r="F1227" s="79"/>
    </row>
    <row r="1228" spans="1:7">
      <c r="A1228" s="77">
        <f t="shared" ca="1" si="94"/>
        <v>45975</v>
      </c>
      <c r="B1228" s="80">
        <f t="shared" ca="1" si="95"/>
        <v>45975.248126620369</v>
      </c>
      <c r="C1228" s="76" t="s">
        <v>220</v>
      </c>
      <c r="D1228" s="76" t="s">
        <v>902</v>
      </c>
      <c r="E1228" s="79" t="s">
        <v>1062</v>
      </c>
      <c r="F1228" s="79"/>
    </row>
    <row r="1229" spans="1:7">
      <c r="A1229" s="77">
        <f t="shared" ca="1" si="94"/>
        <v>45975</v>
      </c>
      <c r="B1229" s="80">
        <f t="shared" ca="1" si="95"/>
        <v>45975.251386226853</v>
      </c>
      <c r="C1229" s="76" t="s">
        <v>220</v>
      </c>
      <c r="D1229" s="76" t="s">
        <v>902</v>
      </c>
      <c r="E1229" s="79"/>
      <c r="F1229" s="79" t="s">
        <v>1280</v>
      </c>
      <c r="G1229" s="76" t="s">
        <v>1525</v>
      </c>
    </row>
    <row r="1230" spans="1:7">
      <c r="A1230" s="77">
        <f t="shared" ca="1" si="94"/>
        <v>45975</v>
      </c>
      <c r="B1230" s="80">
        <f t="shared" ca="1" si="95"/>
        <v>45975.253182175926</v>
      </c>
      <c r="C1230" s="76" t="s">
        <v>220</v>
      </c>
      <c r="D1230" s="76" t="s">
        <v>902</v>
      </c>
      <c r="E1230" s="79" t="s">
        <v>1526</v>
      </c>
      <c r="F1230" s="79"/>
    </row>
    <row r="1231" spans="1:7">
      <c r="A1231" s="77">
        <f t="shared" ca="1" si="94"/>
        <v>45975</v>
      </c>
      <c r="B1231" s="80">
        <f t="shared" ca="1" si="95"/>
        <v>45975.254624421294</v>
      </c>
      <c r="C1231" s="76" t="s">
        <v>220</v>
      </c>
      <c r="D1231" s="76" t="s">
        <v>902</v>
      </c>
      <c r="E1231" s="79" t="s">
        <v>1505</v>
      </c>
      <c r="F1231" s="79"/>
    </row>
    <row r="1232" spans="1:7">
      <c r="A1232" s="77">
        <f t="shared" ca="1" si="94"/>
        <v>45975</v>
      </c>
      <c r="B1232" s="80">
        <f t="shared" ca="1" si="95"/>
        <v>45975.257328935186</v>
      </c>
      <c r="C1232" s="76" t="s">
        <v>220</v>
      </c>
      <c r="D1232" s="76" t="s">
        <v>902</v>
      </c>
      <c r="E1232" s="79" t="s">
        <v>1505</v>
      </c>
      <c r="F1232" s="79"/>
    </row>
    <row r="1233" spans="1:6">
      <c r="A1233" s="77">
        <f t="shared" ca="1" si="94"/>
        <v>45975</v>
      </c>
      <c r="B1233" s="80">
        <f t="shared" ca="1" si="95"/>
        <v>45975.258810763888</v>
      </c>
      <c r="C1233" s="76" t="s">
        <v>220</v>
      </c>
      <c r="D1233" s="76" t="s">
        <v>902</v>
      </c>
      <c r="E1233" s="79" t="s">
        <v>1505</v>
      </c>
      <c r="F1233" s="79"/>
    </row>
    <row r="1234" spans="1:6">
      <c r="A1234" s="77">
        <f t="shared" ca="1" si="94"/>
        <v>45975</v>
      </c>
      <c r="B1234" s="80">
        <f t="shared" ca="1" si="95"/>
        <v>45975.25938599537</v>
      </c>
      <c r="C1234" s="76" t="s">
        <v>220</v>
      </c>
      <c r="D1234" s="76" t="s">
        <v>902</v>
      </c>
      <c r="E1234" s="79" t="s">
        <v>1062</v>
      </c>
      <c r="F1234" s="79"/>
    </row>
    <row r="1235" spans="1:6">
      <c r="A1235" s="77">
        <f t="shared" ca="1" si="94"/>
        <v>45975</v>
      </c>
      <c r="B1235" s="80">
        <f t="shared" ca="1" si="95"/>
        <v>45975.264688425923</v>
      </c>
      <c r="C1235" s="76" t="s">
        <v>220</v>
      </c>
      <c r="D1235" s="76" t="s">
        <v>902</v>
      </c>
      <c r="E1235" s="79"/>
      <c r="F1235" s="79" t="s">
        <v>1527</v>
      </c>
    </row>
    <row r="1236" spans="1:6">
      <c r="A1236" s="77">
        <f t="shared" ca="1" si="94"/>
        <v>45975</v>
      </c>
      <c r="B1236" s="80">
        <f t="shared" ca="1" si="95"/>
        <v>45975.267573263889</v>
      </c>
      <c r="C1236" s="76" t="s">
        <v>220</v>
      </c>
      <c r="D1236" s="76" t="s">
        <v>902</v>
      </c>
      <c r="E1236" s="79" t="s">
        <v>931</v>
      </c>
      <c r="F1236" s="79"/>
    </row>
    <row r="1237" spans="1:6">
      <c r="A1237" s="77">
        <f t="shared" ca="1" si="94"/>
        <v>45975</v>
      </c>
      <c r="B1237" s="80">
        <f t="shared" ca="1" si="95"/>
        <v>45975.277391087962</v>
      </c>
      <c r="C1237" s="76" t="s">
        <v>220</v>
      </c>
      <c r="D1237" s="76" t="s">
        <v>902</v>
      </c>
      <c r="E1237" s="79" t="s">
        <v>1528</v>
      </c>
      <c r="F1237" s="79"/>
    </row>
    <row r="1238" spans="1:6">
      <c r="A1238" s="77">
        <f t="shared" ca="1" si="94"/>
        <v>45975</v>
      </c>
      <c r="B1238" s="80">
        <f t="shared" ca="1" si="95"/>
        <v>45975.278778587963</v>
      </c>
      <c r="C1238" s="76" t="s">
        <v>220</v>
      </c>
      <c r="D1238" s="76" t="s">
        <v>902</v>
      </c>
      <c r="E1238" s="79" t="s">
        <v>1504</v>
      </c>
      <c r="F1238" s="79"/>
    </row>
    <row r="1239" spans="1:6">
      <c r="A1239" s="77">
        <f t="shared" ca="1" si="94"/>
        <v>45975</v>
      </c>
      <c r="B1239" s="80">
        <f t="shared" ca="1" si="95"/>
        <v>45975.279442245374</v>
      </c>
      <c r="C1239" s="76" t="s">
        <v>220</v>
      </c>
      <c r="D1239" s="76" t="s">
        <v>902</v>
      </c>
      <c r="E1239" s="79" t="s">
        <v>1524</v>
      </c>
      <c r="F1239" s="79"/>
    </row>
    <row r="1240" spans="1:6">
      <c r="A1240" s="77">
        <f t="shared" ca="1" si="94"/>
        <v>45975</v>
      </c>
      <c r="B1240" s="80">
        <f t="shared" ca="1" si="95"/>
        <v>45975.288435300929</v>
      </c>
      <c r="C1240" s="76" t="s">
        <v>220</v>
      </c>
      <c r="D1240" s="76" t="s">
        <v>902</v>
      </c>
      <c r="E1240" s="79" t="s">
        <v>1062</v>
      </c>
      <c r="F1240" s="79"/>
    </row>
    <row r="1241" spans="1:6">
      <c r="A1241" s="77">
        <f t="shared" ca="1" si="94"/>
        <v>45975</v>
      </c>
      <c r="B1241" s="80">
        <f t="shared" ca="1" si="95"/>
        <v>45975.28973611111</v>
      </c>
      <c r="C1241" s="76" t="s">
        <v>220</v>
      </c>
      <c r="D1241" s="76" t="s">
        <v>902</v>
      </c>
      <c r="E1241" s="79" t="s">
        <v>1524</v>
      </c>
      <c r="F1241" s="79"/>
    </row>
    <row r="1242" spans="1:6">
      <c r="A1242" s="77">
        <f t="shared" ca="1" si="94"/>
        <v>45975</v>
      </c>
      <c r="B1242" s="80">
        <f t="shared" ca="1" si="95"/>
        <v>45975.292173032409</v>
      </c>
      <c r="C1242" s="76" t="s">
        <v>220</v>
      </c>
      <c r="D1242" s="76" t="s">
        <v>902</v>
      </c>
      <c r="E1242" s="79" t="s">
        <v>1524</v>
      </c>
      <c r="F1242" s="79"/>
    </row>
    <row r="1243" spans="1:6">
      <c r="A1243" s="77">
        <f t="shared" ca="1" si="94"/>
        <v>45975</v>
      </c>
      <c r="B1243" s="80">
        <f t="shared" ca="1" si="95"/>
        <v>45975.299541898145</v>
      </c>
      <c r="C1243" s="76" t="s">
        <v>220</v>
      </c>
      <c r="D1243" s="76" t="s">
        <v>902</v>
      </c>
      <c r="E1243" s="79" t="s">
        <v>1062</v>
      </c>
      <c r="F1243" s="79"/>
    </row>
    <row r="1244" spans="1:6">
      <c r="A1244" s="77">
        <f t="shared" ca="1" si="94"/>
        <v>45975</v>
      </c>
      <c r="B1244" s="80">
        <f t="shared" ca="1" si="95"/>
        <v>45975.310986689816</v>
      </c>
      <c r="C1244" s="76" t="s">
        <v>220</v>
      </c>
      <c r="D1244" s="76" t="s">
        <v>902</v>
      </c>
      <c r="E1244" s="79" t="s">
        <v>1504</v>
      </c>
      <c r="F1244" s="79"/>
    </row>
    <row r="1245" spans="1:6">
      <c r="A1245" s="77">
        <f t="shared" ca="1" si="94"/>
        <v>45975</v>
      </c>
      <c r="B1245" s="80">
        <f t="shared" ca="1" si="95"/>
        <v>45975.325007407409</v>
      </c>
      <c r="C1245" s="76" t="s">
        <v>220</v>
      </c>
      <c r="D1245" s="76" t="s">
        <v>902</v>
      </c>
      <c r="E1245" s="79" t="s">
        <v>1062</v>
      </c>
      <c r="F1245" s="79"/>
    </row>
    <row r="1246" spans="1:6">
      <c r="A1246" s="77">
        <f t="shared" ca="1" si="94"/>
        <v>45975</v>
      </c>
      <c r="B1246" s="80">
        <f t="shared" ca="1" si="95"/>
        <v>45975.325201273146</v>
      </c>
      <c r="C1246" s="76" t="s">
        <v>220</v>
      </c>
      <c r="D1246" s="76" t="s">
        <v>902</v>
      </c>
      <c r="E1246" s="79" t="s">
        <v>1504</v>
      </c>
      <c r="F1246" s="79"/>
    </row>
    <row r="1247" spans="1:6">
      <c r="A1247" s="77">
        <f t="shared" ca="1" si="94"/>
        <v>45975</v>
      </c>
      <c r="B1247" s="80">
        <f t="shared" ca="1" si="95"/>
        <v>45975.327840740742</v>
      </c>
      <c r="C1247" s="76" t="s">
        <v>220</v>
      </c>
      <c r="D1247" s="76" t="s">
        <v>902</v>
      </c>
      <c r="E1247" s="79" t="s">
        <v>1062</v>
      </c>
      <c r="F1247" s="79"/>
    </row>
    <row r="1248" spans="1:6">
      <c r="A1248" s="77">
        <f t="shared" ca="1" si="94"/>
        <v>45975</v>
      </c>
      <c r="B1248" s="80">
        <f t="shared" ca="1" si="95"/>
        <v>45975.328259490743</v>
      </c>
      <c r="C1248" s="76" t="s">
        <v>220</v>
      </c>
      <c r="D1248" s="76" t="s">
        <v>902</v>
      </c>
      <c r="E1248" s="79" t="s">
        <v>1062</v>
      </c>
      <c r="F1248" s="79"/>
    </row>
    <row r="1249" spans="1:7">
      <c r="A1249" s="77">
        <f t="shared" ca="1" si="94"/>
        <v>45975</v>
      </c>
      <c r="B1249" s="80">
        <f t="shared" ca="1" si="95"/>
        <v>45975.333482291666</v>
      </c>
      <c r="C1249" s="76" t="s">
        <v>220</v>
      </c>
      <c r="D1249" s="76" t="s">
        <v>902</v>
      </c>
      <c r="E1249" s="79" t="s">
        <v>1524</v>
      </c>
      <c r="F1249" s="79"/>
    </row>
    <row r="1250" spans="1:7">
      <c r="A1250" s="77">
        <f ca="1">IF(D1250&lt;&gt;0,IF(A1250=0,TODAY(),A1250),)</f>
        <v>45975</v>
      </c>
      <c r="B1250" s="80">
        <f ca="1">IF(D1250&lt;&gt;0,IF(B1250=0,NOW(),B1250),)</f>
        <v>45975.338617013891</v>
      </c>
      <c r="C1250" s="76" t="s">
        <v>220</v>
      </c>
      <c r="D1250" s="76" t="s">
        <v>902</v>
      </c>
      <c r="E1250" s="79" t="s">
        <v>1352</v>
      </c>
      <c r="F1250" s="79" t="s">
        <v>931</v>
      </c>
      <c r="G1250" s="79" t="s">
        <v>1529</v>
      </c>
    </row>
    <row r="1251" spans="1:7">
      <c r="A1251" s="77">
        <f t="shared" ca="1" si="94"/>
        <v>45975</v>
      </c>
      <c r="B1251" s="80">
        <f t="shared" ca="1" si="95"/>
        <v>45975.340614004628</v>
      </c>
      <c r="C1251" s="76" t="s">
        <v>220</v>
      </c>
      <c r="D1251" s="76" t="s">
        <v>902</v>
      </c>
      <c r="E1251" s="79" t="s">
        <v>1530</v>
      </c>
      <c r="F1251" s="79"/>
    </row>
    <row r="1252" spans="1:7">
      <c r="A1252" s="77">
        <f t="shared" ca="1" si="94"/>
        <v>45975</v>
      </c>
      <c r="B1252" s="80">
        <f t="shared" ref="B1252:B1253" ca="1" si="96">IF(C1252&lt;&gt;0,IF(B1252=0,NOW(),B1252),)</f>
        <v>45975.359819675927</v>
      </c>
      <c r="C1252" s="76" t="s">
        <v>220</v>
      </c>
      <c r="D1252" s="210" t="s">
        <v>922</v>
      </c>
      <c r="E1252" s="79" t="s">
        <v>922</v>
      </c>
      <c r="F1252" s="79"/>
      <c r="G1252" s="76" t="s">
        <v>1531</v>
      </c>
    </row>
    <row r="1253" spans="1:7">
      <c r="A1253" s="77">
        <f t="shared" ca="1" si="94"/>
        <v>45975</v>
      </c>
      <c r="B1253" s="80">
        <f t="shared" ca="1" si="96"/>
        <v>45975.361756134262</v>
      </c>
      <c r="C1253" s="76" t="s">
        <v>220</v>
      </c>
      <c r="D1253" s="210" t="s">
        <v>1098</v>
      </c>
      <c r="E1253" s="79" t="s">
        <v>1532</v>
      </c>
      <c r="F1253" s="79"/>
    </row>
    <row r="1254" spans="1:7">
      <c r="A1254" s="77">
        <f ca="1">IF(C1254&lt;&gt;0,IF(A1254=0,TODAY(),A1254),)</f>
        <v>45975</v>
      </c>
      <c r="B1254" s="80">
        <f ca="1">IF(C1254&lt;&gt;0,IF(B1254=0,NOW(),B1254),)</f>
        <v>45975.378980555557</v>
      </c>
      <c r="C1254" s="76" t="s">
        <v>220</v>
      </c>
      <c r="D1254" s="210" t="s">
        <v>1098</v>
      </c>
      <c r="E1254" s="79" t="s">
        <v>1533</v>
      </c>
      <c r="F1254" s="79"/>
      <c r="G1254" s="76" t="s">
        <v>1534</v>
      </c>
    </row>
    <row r="1255" spans="1:7">
      <c r="A1255" s="77">
        <f t="shared" ref="A1255:A1274" ca="1" si="97">IF(C1255&lt;&gt;0,IF(A1255=0,TODAY(),A1255),)</f>
        <v>45975</v>
      </c>
      <c r="B1255" s="80">
        <f t="shared" ref="B1255:B1274" ca="1" si="98">IF(C1255&lt;&gt;0,IF(B1255=0,NOW(),B1255),)</f>
        <v>45975.444819097225</v>
      </c>
      <c r="C1255" s="76" t="s">
        <v>225</v>
      </c>
      <c r="D1255" s="210" t="s">
        <v>906</v>
      </c>
      <c r="E1255" s="79"/>
      <c r="F1255" s="79"/>
    </row>
    <row r="1256" spans="1:7">
      <c r="A1256" s="77">
        <f t="shared" ca="1" si="97"/>
        <v>45975</v>
      </c>
      <c r="B1256" s="80">
        <f t="shared" ca="1" si="98"/>
        <v>45975.484614120367</v>
      </c>
      <c r="C1256" s="76" t="s">
        <v>225</v>
      </c>
      <c r="D1256" s="210" t="s">
        <v>909</v>
      </c>
      <c r="E1256" s="79"/>
      <c r="F1256" s="79"/>
    </row>
    <row r="1257" spans="1:7">
      <c r="A1257" s="77">
        <f t="shared" ca="1" si="97"/>
        <v>45975</v>
      </c>
      <c r="B1257" s="80">
        <f t="shared" ca="1" si="98"/>
        <v>45975.485255671294</v>
      </c>
      <c r="C1257" s="76" t="s">
        <v>225</v>
      </c>
      <c r="D1257" s="76" t="s">
        <v>902</v>
      </c>
      <c r="E1257" s="79" t="s">
        <v>1535</v>
      </c>
      <c r="F1257" s="79"/>
    </row>
    <row r="1258" spans="1:7">
      <c r="A1258" s="77">
        <f t="shared" ca="1" si="97"/>
        <v>45975</v>
      </c>
      <c r="B1258" s="80">
        <f t="shared" ca="1" si="98"/>
        <v>45975.488640393516</v>
      </c>
      <c r="C1258" s="76" t="s">
        <v>225</v>
      </c>
      <c r="D1258" s="76" t="s">
        <v>902</v>
      </c>
      <c r="E1258" s="79" t="s">
        <v>1535</v>
      </c>
      <c r="F1258" s="79"/>
    </row>
    <row r="1259" spans="1:7">
      <c r="A1259" s="77">
        <f t="shared" ca="1" si="97"/>
        <v>45975</v>
      </c>
      <c r="B1259" s="80">
        <f t="shared" ca="1" si="98"/>
        <v>45975.492402430558</v>
      </c>
      <c r="C1259" s="76" t="s">
        <v>225</v>
      </c>
      <c r="D1259" s="76" t="s">
        <v>902</v>
      </c>
      <c r="E1259" s="79" t="s">
        <v>1062</v>
      </c>
      <c r="F1259" s="79"/>
    </row>
    <row r="1260" spans="1:7">
      <c r="A1260" s="77">
        <f t="shared" ca="1" si="97"/>
        <v>45975</v>
      </c>
      <c r="B1260" s="80">
        <f t="shared" ca="1" si="98"/>
        <v>45975.507906712963</v>
      </c>
      <c r="C1260" s="76" t="s">
        <v>225</v>
      </c>
      <c r="D1260" s="76" t="s">
        <v>902</v>
      </c>
      <c r="E1260" s="79" t="s">
        <v>1504</v>
      </c>
      <c r="F1260" s="79"/>
    </row>
    <row r="1261" spans="1:7">
      <c r="A1261" s="77">
        <f t="shared" ca="1" si="97"/>
        <v>45975</v>
      </c>
      <c r="B1261" s="80">
        <f t="shared" ca="1" si="98"/>
        <v>45975.51042233796</v>
      </c>
      <c r="C1261" s="76" t="s">
        <v>225</v>
      </c>
      <c r="D1261" s="76" t="s">
        <v>902</v>
      </c>
      <c r="E1261" s="79" t="s">
        <v>1504</v>
      </c>
      <c r="F1261" s="79"/>
    </row>
    <row r="1262" spans="1:7">
      <c r="A1262" s="77">
        <f t="shared" ca="1" si="97"/>
        <v>45975</v>
      </c>
      <c r="B1262" s="80">
        <f t="shared" ca="1" si="98"/>
        <v>45975.514459953702</v>
      </c>
      <c r="C1262" s="76" t="s">
        <v>225</v>
      </c>
      <c r="D1262" s="76" t="s">
        <v>902</v>
      </c>
      <c r="E1262" s="79" t="s">
        <v>1535</v>
      </c>
      <c r="F1262" s="79"/>
    </row>
    <row r="1263" spans="1:7">
      <c r="A1263" s="77">
        <f t="shared" ca="1" si="97"/>
        <v>45975</v>
      </c>
      <c r="B1263" s="80">
        <f t="shared" ca="1" si="98"/>
        <v>45975.516808796296</v>
      </c>
      <c r="C1263" s="76" t="s">
        <v>225</v>
      </c>
      <c r="D1263" s="76" t="s">
        <v>902</v>
      </c>
      <c r="E1263" s="79" t="s">
        <v>1504</v>
      </c>
      <c r="F1263" s="79"/>
    </row>
    <row r="1264" spans="1:7">
      <c r="A1264" s="77">
        <f t="shared" ca="1" si="97"/>
        <v>45975</v>
      </c>
      <c r="B1264" s="80">
        <f t="shared" ca="1" si="98"/>
        <v>45975.518631481478</v>
      </c>
      <c r="C1264" s="76" t="s">
        <v>225</v>
      </c>
      <c r="D1264" s="76" t="s">
        <v>902</v>
      </c>
      <c r="E1264" s="79" t="s">
        <v>1504</v>
      </c>
      <c r="F1264" s="79"/>
    </row>
    <row r="1265" spans="1:7">
      <c r="A1265" s="77">
        <f t="shared" ca="1" si="97"/>
        <v>45975</v>
      </c>
      <c r="B1265" s="80">
        <f t="shared" ca="1" si="98"/>
        <v>45975.519125462961</v>
      </c>
      <c r="C1265" s="76" t="s">
        <v>220</v>
      </c>
      <c r="D1265" s="76" t="s">
        <v>902</v>
      </c>
      <c r="E1265" s="79" t="s">
        <v>1524</v>
      </c>
      <c r="F1265" s="79"/>
    </row>
    <row r="1266" spans="1:7">
      <c r="A1266" s="77">
        <f t="shared" ca="1" si="97"/>
        <v>45975</v>
      </c>
      <c r="B1266" s="80">
        <f t="shared" ca="1" si="98"/>
        <v>45975.519726620369</v>
      </c>
      <c r="C1266" s="76" t="s">
        <v>225</v>
      </c>
      <c r="D1266" s="76" t="s">
        <v>902</v>
      </c>
      <c r="E1266" s="79" t="s">
        <v>1504</v>
      </c>
      <c r="F1266" s="79"/>
    </row>
    <row r="1267" spans="1:7">
      <c r="A1267" s="77">
        <f t="shared" ca="1" si="97"/>
        <v>45975</v>
      </c>
      <c r="B1267" s="80">
        <f t="shared" ca="1" si="98"/>
        <v>45975.524732060185</v>
      </c>
      <c r="C1267" s="76" t="s">
        <v>225</v>
      </c>
      <c r="D1267" s="76" t="s">
        <v>902</v>
      </c>
      <c r="E1267" s="79" t="s">
        <v>1535</v>
      </c>
      <c r="F1267" s="79"/>
    </row>
    <row r="1268" spans="1:7">
      <c r="A1268" s="77">
        <f t="shared" ca="1" si="97"/>
        <v>45975</v>
      </c>
      <c r="B1268" s="80">
        <f t="shared" ca="1" si="98"/>
        <v>45975.525379050923</v>
      </c>
      <c r="C1268" s="76" t="s">
        <v>225</v>
      </c>
      <c r="D1268" s="76" t="s">
        <v>902</v>
      </c>
      <c r="E1268" s="79" t="s">
        <v>1535</v>
      </c>
      <c r="F1268" s="79"/>
    </row>
    <row r="1269" spans="1:7">
      <c r="A1269" s="77">
        <f t="shared" ca="1" si="97"/>
        <v>45975</v>
      </c>
      <c r="B1269" s="80">
        <f t="shared" ca="1" si="98"/>
        <v>45975.526071412038</v>
      </c>
      <c r="C1269" s="76" t="s">
        <v>225</v>
      </c>
      <c r="D1269" s="76" t="s">
        <v>902</v>
      </c>
      <c r="E1269" s="79" t="s">
        <v>1504</v>
      </c>
      <c r="F1269" s="79"/>
    </row>
    <row r="1270" spans="1:7">
      <c r="A1270" s="77">
        <f t="shared" ca="1" si="97"/>
        <v>45975</v>
      </c>
      <c r="B1270" s="80">
        <f t="shared" ca="1" si="98"/>
        <v>45975.526660185184</v>
      </c>
      <c r="C1270" s="76" t="s">
        <v>225</v>
      </c>
      <c r="D1270" s="76" t="s">
        <v>902</v>
      </c>
      <c r="E1270" s="79" t="s">
        <v>1524</v>
      </c>
      <c r="F1270" s="79"/>
    </row>
    <row r="1271" spans="1:7">
      <c r="A1271" s="77">
        <f t="shared" ca="1" si="97"/>
        <v>45975</v>
      </c>
      <c r="B1271" s="80">
        <f t="shared" ca="1" si="98"/>
        <v>45975.528589699075</v>
      </c>
      <c r="C1271" s="76" t="s">
        <v>225</v>
      </c>
      <c r="D1271" s="76" t="s">
        <v>902</v>
      </c>
      <c r="E1271" s="79" t="s">
        <v>1535</v>
      </c>
      <c r="F1271" s="79"/>
    </row>
    <row r="1272" spans="1:7">
      <c r="A1272" s="77">
        <f t="shared" ca="1" si="97"/>
        <v>45975</v>
      </c>
      <c r="B1272" s="80">
        <f t="shared" ca="1" si="98"/>
        <v>45975.53656458333</v>
      </c>
      <c r="C1272" s="76" t="s">
        <v>225</v>
      </c>
      <c r="D1272" s="76" t="s">
        <v>902</v>
      </c>
      <c r="E1272" s="79" t="s">
        <v>1062</v>
      </c>
      <c r="F1272" s="79"/>
    </row>
    <row r="1273" spans="1:7">
      <c r="A1273" s="77">
        <f t="shared" ca="1" si="97"/>
        <v>45975</v>
      </c>
      <c r="B1273" s="80">
        <f t="shared" ca="1" si="98"/>
        <v>45975.536879513886</v>
      </c>
      <c r="C1273" s="76" t="s">
        <v>225</v>
      </c>
      <c r="D1273" s="76" t="s">
        <v>902</v>
      </c>
      <c r="E1273" s="79" t="s">
        <v>1524</v>
      </c>
      <c r="F1273" s="79"/>
    </row>
    <row r="1274" spans="1:7">
      <c r="A1274" s="77">
        <f t="shared" ca="1" si="97"/>
        <v>45975</v>
      </c>
      <c r="B1274" s="80">
        <f t="shared" ca="1" si="98"/>
        <v>45975.537996527775</v>
      </c>
      <c r="C1274" s="76" t="s">
        <v>225</v>
      </c>
      <c r="D1274" s="76" t="s">
        <v>902</v>
      </c>
      <c r="E1274" s="79" t="s">
        <v>1535</v>
      </c>
      <c r="F1274" s="79"/>
    </row>
    <row r="1275" spans="1:7">
      <c r="A1275" s="77">
        <f t="shared" ref="A1275:A1296" ca="1" si="99">IF(C1275&lt;&gt;0,IF(A1275=0,TODAY(),A1275),)</f>
        <v>45975</v>
      </c>
      <c r="B1275" s="80">
        <f t="shared" ref="B1275:B1296" ca="1" si="100">IF(C1275&lt;&gt;0,IF(B1275=0,NOW(),B1275),)</f>
        <v>45975.55458171296</v>
      </c>
      <c r="C1275" s="76" t="s">
        <v>225</v>
      </c>
      <c r="D1275" s="210" t="s">
        <v>922</v>
      </c>
      <c r="E1275" s="79"/>
      <c r="F1275" s="79"/>
      <c r="G1275" s="76" t="s">
        <v>1536</v>
      </c>
    </row>
    <row r="1276" spans="1:7">
      <c r="A1276" s="77">
        <f t="shared" ca="1" si="99"/>
        <v>45975</v>
      </c>
      <c r="B1276" s="80">
        <f t="shared" ca="1" si="100"/>
        <v>45975.600784722221</v>
      </c>
      <c r="C1276" s="76" t="s">
        <v>229</v>
      </c>
      <c r="D1276" s="210" t="s">
        <v>906</v>
      </c>
      <c r="E1276" s="79"/>
      <c r="F1276" s="79"/>
    </row>
    <row r="1277" spans="1:7">
      <c r="A1277" s="77">
        <f t="shared" ca="1" si="99"/>
        <v>45975</v>
      </c>
      <c r="B1277" s="80">
        <f t="shared" ca="1" si="100"/>
        <v>45975.625397337964</v>
      </c>
      <c r="C1277" s="76" t="s">
        <v>229</v>
      </c>
      <c r="D1277" s="210" t="s">
        <v>909</v>
      </c>
      <c r="E1277" s="79"/>
      <c r="F1277" s="79"/>
      <c r="G1277" s="76" t="s">
        <v>1537</v>
      </c>
    </row>
    <row r="1278" spans="1:7">
      <c r="A1278" s="77">
        <f t="shared" ca="1" si="99"/>
        <v>45975</v>
      </c>
      <c r="B1278" s="80">
        <f t="shared" ca="1" si="100"/>
        <v>45975.629070833333</v>
      </c>
      <c r="C1278" s="76" t="s">
        <v>229</v>
      </c>
      <c r="D1278" s="76" t="s">
        <v>902</v>
      </c>
      <c r="E1278" s="79" t="s">
        <v>1538</v>
      </c>
      <c r="F1278" s="79"/>
    </row>
    <row r="1279" spans="1:7">
      <c r="A1279" s="77">
        <f t="shared" ca="1" si="99"/>
        <v>45975</v>
      </c>
      <c r="B1279" s="80">
        <f t="shared" ca="1" si="100"/>
        <v>45975.630636574075</v>
      </c>
      <c r="C1279" s="76" t="s">
        <v>229</v>
      </c>
      <c r="D1279" s="76" t="s">
        <v>902</v>
      </c>
      <c r="E1279" s="79" t="s">
        <v>1062</v>
      </c>
      <c r="F1279" s="79"/>
    </row>
    <row r="1280" spans="1:7">
      <c r="A1280" s="77">
        <f t="shared" ca="1" si="99"/>
        <v>45975</v>
      </c>
      <c r="B1280" s="80">
        <f t="shared" ca="1" si="100"/>
        <v>45975.63084351852</v>
      </c>
      <c r="C1280" s="76" t="s">
        <v>229</v>
      </c>
      <c r="D1280" s="76" t="s">
        <v>902</v>
      </c>
      <c r="E1280" s="79" t="s">
        <v>1539</v>
      </c>
      <c r="F1280" s="79"/>
    </row>
    <row r="1281" spans="1:7">
      <c r="A1281" s="77">
        <f t="shared" ca="1" si="99"/>
        <v>45975</v>
      </c>
      <c r="B1281" s="80">
        <f t="shared" ca="1" si="100"/>
        <v>45975.636663425925</v>
      </c>
      <c r="C1281" s="76" t="s">
        <v>229</v>
      </c>
      <c r="D1281" s="76" t="s">
        <v>902</v>
      </c>
      <c r="E1281" s="79" t="s">
        <v>1504</v>
      </c>
      <c r="F1281" s="79"/>
    </row>
    <row r="1282" spans="1:7">
      <c r="A1282" s="77">
        <f t="shared" ca="1" si="99"/>
        <v>45975</v>
      </c>
      <c r="B1282" s="80">
        <f t="shared" ca="1" si="100"/>
        <v>45975.638699421295</v>
      </c>
      <c r="C1282" s="76" t="s">
        <v>229</v>
      </c>
      <c r="D1282" s="76" t="s">
        <v>902</v>
      </c>
      <c r="E1282" s="79" t="s">
        <v>1540</v>
      </c>
      <c r="F1282" s="79"/>
    </row>
    <row r="1283" spans="1:7">
      <c r="A1283" s="77">
        <f t="shared" ca="1" si="99"/>
        <v>45975</v>
      </c>
      <c r="B1283" s="80">
        <f t="shared" ca="1" si="100"/>
        <v>45975.646154050926</v>
      </c>
      <c r="C1283" s="76" t="s">
        <v>229</v>
      </c>
      <c r="D1283" s="150" t="s">
        <v>1007</v>
      </c>
      <c r="E1283" s="79" t="s">
        <v>1541</v>
      </c>
      <c r="F1283" s="79"/>
    </row>
    <row r="1284" spans="1:7">
      <c r="A1284" s="77">
        <f t="shared" ca="1" si="99"/>
        <v>45975</v>
      </c>
      <c r="B1284" s="80">
        <f t="shared" ca="1" si="100"/>
        <v>45975.649839699072</v>
      </c>
      <c r="C1284" s="76" t="s">
        <v>229</v>
      </c>
      <c r="D1284" s="76" t="s">
        <v>902</v>
      </c>
      <c r="E1284" s="79" t="s">
        <v>1062</v>
      </c>
      <c r="F1284" s="79"/>
    </row>
    <row r="1285" spans="1:7">
      <c r="A1285" s="77">
        <f t="shared" ca="1" si="99"/>
        <v>45975</v>
      </c>
      <c r="B1285" s="80">
        <f t="shared" ca="1" si="100"/>
        <v>45975.658945138886</v>
      </c>
      <c r="C1285" s="76" t="s">
        <v>229</v>
      </c>
      <c r="D1285" s="76" t="s">
        <v>902</v>
      </c>
      <c r="E1285" s="79" t="s">
        <v>1542</v>
      </c>
      <c r="F1285" s="79"/>
    </row>
    <row r="1286" spans="1:7">
      <c r="A1286" s="77">
        <f t="shared" ca="1" si="99"/>
        <v>45975</v>
      </c>
      <c r="B1286" s="80">
        <f t="shared" ca="1" si="100"/>
        <v>45975.659967245374</v>
      </c>
      <c r="C1286" s="76" t="s">
        <v>229</v>
      </c>
      <c r="D1286" s="76" t="s">
        <v>902</v>
      </c>
      <c r="E1286" s="79" t="s">
        <v>1543</v>
      </c>
      <c r="F1286" s="79"/>
    </row>
    <row r="1287" spans="1:7">
      <c r="A1287" s="77">
        <f t="shared" ca="1" si="99"/>
        <v>45975</v>
      </c>
      <c r="B1287" s="80">
        <f t="shared" ca="1" si="100"/>
        <v>45975.661571875004</v>
      </c>
      <c r="C1287" s="76" t="s">
        <v>229</v>
      </c>
      <c r="D1287" s="76" t="s">
        <v>902</v>
      </c>
      <c r="E1287" s="79" t="s">
        <v>1544</v>
      </c>
      <c r="F1287" s="79"/>
    </row>
    <row r="1288" spans="1:7">
      <c r="A1288" s="77">
        <f t="shared" ca="1" si="99"/>
        <v>45975</v>
      </c>
      <c r="B1288" s="80">
        <f t="shared" ca="1" si="100"/>
        <v>45975.662986805553</v>
      </c>
      <c r="C1288" s="76" t="s">
        <v>229</v>
      </c>
      <c r="D1288" s="76" t="s">
        <v>902</v>
      </c>
      <c r="E1288" s="79" t="s">
        <v>1545</v>
      </c>
      <c r="F1288" s="79"/>
    </row>
    <row r="1289" spans="1:7">
      <c r="A1289" s="77">
        <f t="shared" ca="1" si="99"/>
        <v>45975</v>
      </c>
      <c r="B1289" s="80">
        <f t="shared" ca="1" si="100"/>
        <v>45975.672387384257</v>
      </c>
      <c r="C1289" s="76" t="s">
        <v>229</v>
      </c>
      <c r="D1289" s="76" t="s">
        <v>902</v>
      </c>
      <c r="E1289" s="79" t="s">
        <v>932</v>
      </c>
      <c r="F1289" s="79"/>
    </row>
    <row r="1290" spans="1:7">
      <c r="A1290" s="77">
        <f t="shared" ca="1" si="99"/>
        <v>45975</v>
      </c>
      <c r="B1290" s="80">
        <f t="shared" ca="1" si="100"/>
        <v>45975.699281018518</v>
      </c>
      <c r="C1290" s="76" t="s">
        <v>229</v>
      </c>
      <c r="D1290" s="76" t="s">
        <v>902</v>
      </c>
      <c r="E1290" s="79" t="s">
        <v>1546</v>
      </c>
      <c r="F1290" s="79"/>
    </row>
    <row r="1291" spans="1:7">
      <c r="A1291" s="77">
        <f t="shared" ca="1" si="99"/>
        <v>45975</v>
      </c>
      <c r="B1291" s="80">
        <f t="shared" ca="1" si="100"/>
        <v>45975.708515740742</v>
      </c>
      <c r="C1291" s="76" t="s">
        <v>229</v>
      </c>
      <c r="D1291" s="76" t="s">
        <v>902</v>
      </c>
      <c r="E1291" s="79" t="s">
        <v>1062</v>
      </c>
      <c r="F1291" s="79"/>
    </row>
    <row r="1292" spans="1:7">
      <c r="A1292" s="77">
        <f t="shared" ca="1" si="99"/>
        <v>45975</v>
      </c>
      <c r="B1292" s="80">
        <f t="shared" ca="1" si="100"/>
        <v>45975.740006597225</v>
      </c>
      <c r="C1292" s="76" t="s">
        <v>229</v>
      </c>
      <c r="D1292" s="76" t="s">
        <v>902</v>
      </c>
      <c r="E1292" s="79" t="s">
        <v>1547</v>
      </c>
      <c r="F1292" s="79"/>
    </row>
    <row r="1293" spans="1:7">
      <c r="A1293" s="77">
        <f t="shared" ca="1" si="99"/>
        <v>45975</v>
      </c>
      <c r="B1293" s="80">
        <f t="shared" ca="1" si="100"/>
        <v>45975.740418518515</v>
      </c>
      <c r="C1293" s="76" t="s">
        <v>229</v>
      </c>
      <c r="D1293" s="210" t="s">
        <v>922</v>
      </c>
      <c r="E1293" s="79"/>
      <c r="F1293" s="79"/>
    </row>
    <row r="1294" spans="1:7">
      <c r="A1294" s="77">
        <f t="shared" ca="1" si="99"/>
        <v>45975</v>
      </c>
      <c r="B1294" s="80">
        <f t="shared" ca="1" si="100"/>
        <v>45975.754808912039</v>
      </c>
      <c r="C1294" s="76" t="s">
        <v>229</v>
      </c>
      <c r="D1294" s="210" t="s">
        <v>1098</v>
      </c>
      <c r="E1294" s="79"/>
      <c r="F1294" s="79"/>
    </row>
    <row r="1295" spans="1:7">
      <c r="A1295" s="77">
        <f t="shared" ca="1" si="99"/>
        <v>45975</v>
      </c>
      <c r="B1295" s="80">
        <f t="shared" ca="1" si="100"/>
        <v>45975.797777662039</v>
      </c>
      <c r="C1295" s="76" t="s">
        <v>233</v>
      </c>
      <c r="D1295" s="210" t="s">
        <v>906</v>
      </c>
      <c r="E1295" s="79"/>
      <c r="F1295" s="79"/>
    </row>
    <row r="1296" spans="1:7" ht="15.75">
      <c r="A1296" s="77">
        <f t="shared" ca="1" si="99"/>
        <v>45975</v>
      </c>
      <c r="B1296" s="80">
        <f t="shared" ca="1" si="100"/>
        <v>45975.822518749999</v>
      </c>
      <c r="C1296" s="76" t="s">
        <v>233</v>
      </c>
      <c r="D1296" s="210" t="s">
        <v>909</v>
      </c>
      <c r="E1296" s="79"/>
      <c r="F1296" s="91"/>
      <c r="G1296" s="79"/>
    </row>
    <row r="1297" spans="1:7">
      <c r="A1297" s="77">
        <f t="shared" ref="A1297:A1335" ca="1" si="101">IF(C1297&lt;&gt;0,IF(A1297=0,TODAY(),A1297),)</f>
        <v>45975</v>
      </c>
      <c r="B1297" s="80">
        <f t="shared" ref="B1297:B1335" ca="1" si="102">IF(C1297&lt;&gt;0,IF(B1297=0,NOW(),B1297),)</f>
        <v>45975.82474733796</v>
      </c>
      <c r="C1297" s="76" t="s">
        <v>233</v>
      </c>
      <c r="D1297" s="76" t="s">
        <v>902</v>
      </c>
      <c r="E1297" s="79" t="s">
        <v>1548</v>
      </c>
      <c r="F1297" s="79"/>
    </row>
    <row r="1298" spans="1:7">
      <c r="A1298" s="77">
        <f t="shared" ca="1" si="101"/>
        <v>45975</v>
      </c>
      <c r="B1298" s="80">
        <f t="shared" ca="1" si="102"/>
        <v>45975.82843587963</v>
      </c>
      <c r="C1298" s="76" t="s">
        <v>233</v>
      </c>
      <c r="D1298" s="76" t="s">
        <v>902</v>
      </c>
      <c r="E1298" s="79" t="s">
        <v>1549</v>
      </c>
      <c r="F1298" s="79"/>
    </row>
    <row r="1299" spans="1:7">
      <c r="A1299" s="77">
        <f t="shared" ca="1" si="101"/>
        <v>45975</v>
      </c>
      <c r="B1299" s="80">
        <f t="shared" ca="1" si="102"/>
        <v>45975.832042824077</v>
      </c>
      <c r="C1299" s="76" t="s">
        <v>233</v>
      </c>
      <c r="D1299" s="76" t="s">
        <v>902</v>
      </c>
      <c r="E1299" s="79" t="s">
        <v>1062</v>
      </c>
      <c r="F1299" s="79"/>
    </row>
    <row r="1300" spans="1:7">
      <c r="A1300" s="77">
        <f t="shared" ca="1" si="101"/>
        <v>45975</v>
      </c>
      <c r="B1300" s="80">
        <f t="shared" ca="1" si="102"/>
        <v>45975.835461921299</v>
      </c>
      <c r="C1300" s="76" t="s">
        <v>233</v>
      </c>
      <c r="D1300" s="76" t="s">
        <v>902</v>
      </c>
      <c r="E1300" s="79" t="s">
        <v>1550</v>
      </c>
      <c r="F1300" s="79"/>
    </row>
    <row r="1301" spans="1:7">
      <c r="A1301" s="77">
        <f t="shared" ca="1" si="101"/>
        <v>45975</v>
      </c>
      <c r="B1301" s="80">
        <f t="shared" ca="1" si="102"/>
        <v>45975.836742361113</v>
      </c>
      <c r="C1301" s="76" t="s">
        <v>233</v>
      </c>
      <c r="D1301" s="76" t="s">
        <v>902</v>
      </c>
      <c r="E1301" s="79" t="s">
        <v>1551</v>
      </c>
      <c r="F1301" s="79"/>
    </row>
    <row r="1302" spans="1:7">
      <c r="A1302" s="77">
        <f t="shared" ca="1" si="101"/>
        <v>45975</v>
      </c>
      <c r="B1302" s="80">
        <f t="shared" ca="1" si="102"/>
        <v>45975.841041087966</v>
      </c>
      <c r="C1302" s="76" t="s">
        <v>233</v>
      </c>
      <c r="D1302" s="76" t="s">
        <v>902</v>
      </c>
      <c r="E1302" s="79" t="s">
        <v>1552</v>
      </c>
      <c r="F1302" s="79"/>
    </row>
    <row r="1303" spans="1:7">
      <c r="A1303" s="77">
        <f t="shared" ca="1" si="101"/>
        <v>45975</v>
      </c>
      <c r="B1303" s="80">
        <f t="shared" ca="1" si="102"/>
        <v>45975.850348148146</v>
      </c>
      <c r="C1303" s="76" t="s">
        <v>233</v>
      </c>
      <c r="D1303" s="150" t="s">
        <v>1007</v>
      </c>
      <c r="E1303" s="79" t="s">
        <v>1553</v>
      </c>
      <c r="F1303" s="79"/>
    </row>
    <row r="1304" spans="1:7">
      <c r="A1304" s="77">
        <f t="shared" ca="1" si="101"/>
        <v>45975</v>
      </c>
      <c r="B1304" s="80">
        <f t="shared" ca="1" si="102"/>
        <v>45975.856064930558</v>
      </c>
      <c r="C1304" s="76" t="s">
        <v>233</v>
      </c>
      <c r="D1304" s="76" t="s">
        <v>902</v>
      </c>
      <c r="E1304" s="79" t="s">
        <v>1554</v>
      </c>
      <c r="F1304" s="79"/>
    </row>
    <row r="1305" spans="1:7">
      <c r="A1305" s="77">
        <f t="shared" ca="1" si="101"/>
        <v>45975</v>
      </c>
      <c r="B1305" s="80">
        <f t="shared" ca="1" si="102"/>
        <v>45975.86239884259</v>
      </c>
      <c r="C1305" s="76" t="s">
        <v>233</v>
      </c>
      <c r="D1305" s="76" t="s">
        <v>902</v>
      </c>
      <c r="E1305" s="79"/>
      <c r="F1305" s="79"/>
      <c r="G1305" s="76" t="s">
        <v>1555</v>
      </c>
    </row>
    <row r="1306" spans="1:7">
      <c r="A1306" s="77">
        <f t="shared" ca="1" si="101"/>
        <v>45975</v>
      </c>
      <c r="B1306" s="80">
        <f t="shared" ca="1" si="102"/>
        <v>45975.868062847221</v>
      </c>
      <c r="C1306" s="76" t="s">
        <v>233</v>
      </c>
      <c r="D1306" s="150" t="s">
        <v>1007</v>
      </c>
      <c r="E1306" s="79" t="s">
        <v>1507</v>
      </c>
      <c r="F1306" s="79"/>
    </row>
    <row r="1307" spans="1:7">
      <c r="A1307" s="77">
        <f t="shared" ca="1" si="101"/>
        <v>45975</v>
      </c>
      <c r="B1307" s="80">
        <f t="shared" ca="1" si="102"/>
        <v>45975.883131481482</v>
      </c>
      <c r="C1307" s="76" t="s">
        <v>233</v>
      </c>
      <c r="D1307" s="76" t="s">
        <v>902</v>
      </c>
      <c r="E1307" s="79" t="s">
        <v>1556</v>
      </c>
      <c r="F1307" s="79"/>
    </row>
    <row r="1308" spans="1:7">
      <c r="A1308" s="77">
        <f t="shared" ca="1" si="101"/>
        <v>45975</v>
      </c>
      <c r="B1308" s="80">
        <f t="shared" ca="1" si="102"/>
        <v>45975.88515509259</v>
      </c>
      <c r="C1308" s="76" t="s">
        <v>233</v>
      </c>
      <c r="D1308" s="76" t="s">
        <v>902</v>
      </c>
      <c r="E1308" s="79" t="s">
        <v>1357</v>
      </c>
      <c r="F1308" s="79"/>
    </row>
    <row r="1309" spans="1:7">
      <c r="A1309" s="77">
        <f t="shared" ca="1" si="101"/>
        <v>45975</v>
      </c>
      <c r="B1309" s="80">
        <f t="shared" ca="1" si="102"/>
        <v>45975.886056481482</v>
      </c>
      <c r="C1309" s="76" t="s">
        <v>233</v>
      </c>
      <c r="D1309" s="76" t="s">
        <v>902</v>
      </c>
      <c r="E1309" s="79" t="s">
        <v>1557</v>
      </c>
      <c r="F1309" s="79"/>
    </row>
    <row r="1310" spans="1:7">
      <c r="A1310" s="77">
        <f t="shared" ca="1" si="101"/>
        <v>45975</v>
      </c>
      <c r="B1310" s="80">
        <f t="shared" ca="1" si="102"/>
        <v>45975.889832986111</v>
      </c>
      <c r="C1310" s="76" t="s">
        <v>233</v>
      </c>
      <c r="D1310" s="76" t="s">
        <v>902</v>
      </c>
      <c r="E1310" s="79" t="s">
        <v>1558</v>
      </c>
      <c r="F1310" s="79"/>
    </row>
    <row r="1311" spans="1:7">
      <c r="A1311" s="77">
        <f t="shared" ca="1" si="101"/>
        <v>45975</v>
      </c>
      <c r="B1311" s="80">
        <f t="shared" ca="1" si="102"/>
        <v>45975.889842592595</v>
      </c>
      <c r="C1311" s="76" t="s">
        <v>233</v>
      </c>
      <c r="D1311" s="76" t="s">
        <v>902</v>
      </c>
      <c r="E1311" s="79" t="s">
        <v>1559</v>
      </c>
      <c r="F1311" s="79"/>
    </row>
    <row r="1312" spans="1:7">
      <c r="A1312" s="77">
        <f t="shared" ca="1" si="101"/>
        <v>45975</v>
      </c>
      <c r="B1312" s="80">
        <f t="shared" ca="1" si="102"/>
        <v>45975.896052314813</v>
      </c>
      <c r="C1312" s="76" t="s">
        <v>233</v>
      </c>
      <c r="D1312" s="76" t="s">
        <v>902</v>
      </c>
      <c r="E1312" s="79" t="s">
        <v>1560</v>
      </c>
      <c r="F1312" s="79"/>
    </row>
    <row r="1313" spans="1:7">
      <c r="A1313" s="77">
        <f t="shared" ca="1" si="101"/>
        <v>45975</v>
      </c>
      <c r="B1313" s="80">
        <f t="shared" ca="1" si="102"/>
        <v>45975.89676747685</v>
      </c>
      <c r="C1313" s="76" t="s">
        <v>233</v>
      </c>
      <c r="D1313" s="76" t="s">
        <v>902</v>
      </c>
      <c r="E1313" s="79" t="s">
        <v>1557</v>
      </c>
      <c r="F1313" s="79"/>
    </row>
    <row r="1314" spans="1:7">
      <c r="A1314" s="77">
        <f t="shared" ca="1" si="101"/>
        <v>45975</v>
      </c>
      <c r="B1314" s="80">
        <f t="shared" ca="1" si="102"/>
        <v>45975.90815844907</v>
      </c>
      <c r="C1314" s="76" t="s">
        <v>233</v>
      </c>
      <c r="D1314" s="76" t="s">
        <v>902</v>
      </c>
      <c r="E1314" s="79" t="s">
        <v>1062</v>
      </c>
      <c r="F1314" s="79"/>
    </row>
    <row r="1315" spans="1:7">
      <c r="A1315" s="77">
        <f t="shared" ca="1" si="101"/>
        <v>45975</v>
      </c>
      <c r="B1315" s="80">
        <f t="shared" ca="1" si="102"/>
        <v>45975.909176273148</v>
      </c>
      <c r="C1315" s="76" t="s">
        <v>233</v>
      </c>
      <c r="D1315" s="210" t="s">
        <v>922</v>
      </c>
      <c r="E1315" s="79"/>
      <c r="F1315" s="79"/>
    </row>
    <row r="1316" spans="1:7">
      <c r="A1316" s="77">
        <f t="shared" ca="1" si="101"/>
        <v>45975</v>
      </c>
      <c r="B1316" s="80">
        <f t="shared" ca="1" si="102"/>
        <v>45975.938567013887</v>
      </c>
      <c r="C1316" s="76" t="s">
        <v>233</v>
      </c>
      <c r="D1316" s="210" t="s">
        <v>1098</v>
      </c>
      <c r="E1316" s="79"/>
      <c r="F1316" s="79"/>
    </row>
    <row r="1317" spans="1:7">
      <c r="A1317" s="77">
        <f t="shared" ca="1" si="101"/>
        <v>45975</v>
      </c>
      <c r="B1317" s="80">
        <f t="shared" ca="1" si="102"/>
        <v>45975.965184606481</v>
      </c>
      <c r="C1317" s="76" t="s">
        <v>237</v>
      </c>
      <c r="D1317" s="210" t="s">
        <v>906</v>
      </c>
      <c r="E1317" s="79"/>
      <c r="F1317" s="79"/>
    </row>
    <row r="1318" spans="1:7">
      <c r="A1318" s="77">
        <f t="shared" ca="1" si="101"/>
        <v>45975</v>
      </c>
      <c r="B1318" s="80">
        <f t="shared" ca="1" si="102"/>
        <v>45975.99550636574</v>
      </c>
      <c r="C1318" s="76" t="s">
        <v>237</v>
      </c>
      <c r="D1318" s="210" t="s">
        <v>909</v>
      </c>
      <c r="E1318" s="79"/>
      <c r="F1318" s="79"/>
    </row>
    <row r="1319" spans="1:7">
      <c r="A1319" s="77">
        <f t="shared" ca="1" si="101"/>
        <v>45976</v>
      </c>
      <c r="B1319" s="80">
        <f t="shared" ca="1" si="102"/>
        <v>45976.003200925923</v>
      </c>
      <c r="C1319" s="76" t="s">
        <v>237</v>
      </c>
      <c r="D1319" s="76" t="s">
        <v>902</v>
      </c>
      <c r="E1319" s="79" t="s">
        <v>1561</v>
      </c>
      <c r="F1319" s="79"/>
    </row>
    <row r="1320" spans="1:7">
      <c r="A1320" s="77">
        <f t="shared" ca="1" si="101"/>
        <v>45976</v>
      </c>
      <c r="B1320" s="80">
        <f t="shared" ca="1" si="102"/>
        <v>45976.003215393517</v>
      </c>
      <c r="C1320" s="76" t="s">
        <v>237</v>
      </c>
      <c r="D1320" s="76" t="s">
        <v>902</v>
      </c>
      <c r="E1320" s="79" t="s">
        <v>1562</v>
      </c>
      <c r="F1320" s="79"/>
    </row>
    <row r="1321" spans="1:7">
      <c r="A1321" s="77">
        <f t="shared" ca="1" si="101"/>
        <v>45976</v>
      </c>
      <c r="B1321" s="80">
        <f t="shared" ca="1" si="102"/>
        <v>45976.003911921296</v>
      </c>
      <c r="C1321" s="76" t="s">
        <v>237</v>
      </c>
      <c r="D1321" s="76" t="s">
        <v>902</v>
      </c>
      <c r="E1321" s="79" t="s">
        <v>1562</v>
      </c>
      <c r="F1321" s="79"/>
    </row>
    <row r="1322" spans="1:7">
      <c r="A1322" s="77">
        <f t="shared" ca="1" si="101"/>
        <v>45976</v>
      </c>
      <c r="B1322" s="80">
        <f t="shared" ca="1" si="102"/>
        <v>45976.007020717596</v>
      </c>
      <c r="C1322" s="76" t="s">
        <v>237</v>
      </c>
      <c r="D1322" s="76" t="s">
        <v>902</v>
      </c>
      <c r="E1322" s="79"/>
      <c r="F1322" s="79"/>
      <c r="G1322" s="76" t="s">
        <v>1563</v>
      </c>
    </row>
    <row r="1323" spans="1:7">
      <c r="A1323" s="77">
        <f t="shared" ca="1" si="101"/>
        <v>45976</v>
      </c>
      <c r="B1323" s="80">
        <f t="shared" ca="1" si="102"/>
        <v>45976.007456018517</v>
      </c>
      <c r="C1323" s="76" t="s">
        <v>237</v>
      </c>
      <c r="D1323" s="76" t="s">
        <v>902</v>
      </c>
      <c r="E1323" s="79" t="s">
        <v>1062</v>
      </c>
      <c r="F1323" s="79"/>
    </row>
    <row r="1324" spans="1:7">
      <c r="A1324" s="77">
        <f t="shared" ca="1" si="101"/>
        <v>45976</v>
      </c>
      <c r="B1324" s="80">
        <f t="shared" ca="1" si="102"/>
        <v>45976.011693055552</v>
      </c>
      <c r="C1324" s="76" t="s">
        <v>237</v>
      </c>
      <c r="D1324" s="76" t="s">
        <v>902</v>
      </c>
      <c r="E1324" s="79" t="s">
        <v>1564</v>
      </c>
      <c r="F1324" s="79"/>
    </row>
    <row r="1325" spans="1:7">
      <c r="A1325" s="77">
        <f t="shared" ca="1" si="101"/>
        <v>45976</v>
      </c>
      <c r="B1325" s="80">
        <f t="shared" ca="1" si="102"/>
        <v>45976.018731249998</v>
      </c>
      <c r="C1325" s="76" t="s">
        <v>237</v>
      </c>
      <c r="D1325" s="76" t="s">
        <v>902</v>
      </c>
      <c r="E1325" s="79" t="s">
        <v>1062</v>
      </c>
      <c r="F1325" s="79"/>
    </row>
    <row r="1326" spans="1:7">
      <c r="A1326" s="77">
        <f t="shared" ca="1" si="101"/>
        <v>45976</v>
      </c>
      <c r="B1326" s="80">
        <f t="shared" ca="1" si="102"/>
        <v>45976.018928703706</v>
      </c>
      <c r="C1326" s="76" t="s">
        <v>237</v>
      </c>
      <c r="D1326" s="76" t="s">
        <v>902</v>
      </c>
      <c r="E1326" s="79"/>
      <c r="F1326" s="79"/>
      <c r="G1326" s="76" t="s">
        <v>1515</v>
      </c>
    </row>
    <row r="1327" spans="1:7">
      <c r="A1327" s="77">
        <f t="shared" ca="1" si="101"/>
        <v>45976</v>
      </c>
      <c r="B1327" s="80">
        <f t="shared" ca="1" si="102"/>
        <v>45976.02199814815</v>
      </c>
      <c r="C1327" s="76" t="s">
        <v>237</v>
      </c>
      <c r="D1327" s="76" t="s">
        <v>902</v>
      </c>
      <c r="E1327" s="79" t="s">
        <v>1062</v>
      </c>
      <c r="F1327" s="79"/>
    </row>
    <row r="1328" spans="1:7">
      <c r="A1328" s="77">
        <f t="shared" ca="1" si="101"/>
        <v>45976</v>
      </c>
      <c r="B1328" s="80">
        <f t="shared" ca="1" si="102"/>
        <v>45976.02351550926</v>
      </c>
      <c r="C1328" s="76" t="s">
        <v>237</v>
      </c>
      <c r="D1328" s="210" t="s">
        <v>922</v>
      </c>
      <c r="E1328" s="79"/>
      <c r="F1328" s="79"/>
      <c r="G1328" s="76" t="s">
        <v>1565</v>
      </c>
    </row>
    <row r="1329" spans="1:7">
      <c r="A1329" s="77">
        <f t="shared" ca="1" si="101"/>
        <v>45976</v>
      </c>
      <c r="B1329" s="80">
        <f t="shared" ca="1" si="102"/>
        <v>45976.048501736113</v>
      </c>
      <c r="C1329" s="76" t="s">
        <v>237</v>
      </c>
      <c r="D1329" s="210" t="s">
        <v>1098</v>
      </c>
      <c r="E1329" s="79"/>
      <c r="F1329" s="79"/>
    </row>
    <row r="1330" spans="1:7">
      <c r="A1330" s="77">
        <f t="shared" ca="1" si="101"/>
        <v>45976</v>
      </c>
      <c r="B1330" s="80">
        <f t="shared" ca="1" si="102"/>
        <v>45976.095543518517</v>
      </c>
      <c r="C1330" s="76" t="s">
        <v>241</v>
      </c>
      <c r="D1330" s="210" t="s">
        <v>906</v>
      </c>
      <c r="E1330" s="79"/>
      <c r="F1330" s="79"/>
    </row>
    <row r="1331" spans="1:7">
      <c r="A1331" s="77">
        <f t="shared" ca="1" si="101"/>
        <v>45976</v>
      </c>
      <c r="B1331" s="80">
        <f t="shared" ca="1" si="102"/>
        <v>45976.134758217595</v>
      </c>
      <c r="C1331" s="76" t="s">
        <v>241</v>
      </c>
      <c r="D1331" s="210" t="s">
        <v>909</v>
      </c>
      <c r="E1331" s="79" t="s">
        <v>1566</v>
      </c>
      <c r="F1331" s="79"/>
    </row>
    <row r="1332" spans="1:7">
      <c r="A1332" s="77">
        <f t="shared" ca="1" si="101"/>
        <v>45976</v>
      </c>
      <c r="B1332" s="80">
        <f t="shared" ca="1" si="102"/>
        <v>45976.13619409722</v>
      </c>
      <c r="C1332" s="76" t="s">
        <v>241</v>
      </c>
      <c r="D1332" s="76" t="s">
        <v>902</v>
      </c>
      <c r="E1332" s="79" t="s">
        <v>1062</v>
      </c>
      <c r="F1332" s="79"/>
    </row>
    <row r="1333" spans="1:7">
      <c r="A1333" s="77">
        <f t="shared" ca="1" si="101"/>
        <v>45976</v>
      </c>
      <c r="B1333" s="80">
        <f t="shared" ca="1" si="102"/>
        <v>45976.139766435183</v>
      </c>
      <c r="C1333" s="76" t="s">
        <v>241</v>
      </c>
      <c r="D1333" s="76" t="s">
        <v>902</v>
      </c>
      <c r="E1333" s="79" t="s">
        <v>1062</v>
      </c>
      <c r="F1333" s="79"/>
    </row>
    <row r="1334" spans="1:7">
      <c r="A1334" s="77">
        <f t="shared" ca="1" si="101"/>
        <v>45976</v>
      </c>
      <c r="B1334" s="80">
        <f t="shared" ca="1" si="102"/>
        <v>45976.144121874997</v>
      </c>
      <c r="C1334" s="76" t="s">
        <v>241</v>
      </c>
      <c r="D1334" s="76" t="s">
        <v>902</v>
      </c>
      <c r="E1334" s="79" t="s">
        <v>1505</v>
      </c>
      <c r="F1334" s="79"/>
    </row>
    <row r="1335" spans="1:7">
      <c r="A1335" s="77">
        <f t="shared" ca="1" si="101"/>
        <v>45976</v>
      </c>
      <c r="B1335" s="80">
        <f t="shared" ca="1" si="102"/>
        <v>45976.146389930553</v>
      </c>
      <c r="C1335" s="76" t="s">
        <v>241</v>
      </c>
      <c r="D1335" s="76" t="s">
        <v>902</v>
      </c>
      <c r="E1335" s="79" t="s">
        <v>1505</v>
      </c>
      <c r="F1335" s="79"/>
    </row>
    <row r="1336" spans="1:7">
      <c r="A1336" s="77">
        <f t="shared" ref="A1336:A1357" ca="1" si="103">IF(C1336&lt;&gt;0,IF(A1336=0,TODAY(),A1336),)</f>
        <v>45976</v>
      </c>
      <c r="B1336" s="80">
        <f t="shared" ref="B1336:B1357" ca="1" si="104">IF(C1336&lt;&gt;0,IF(B1336=0,NOW(),B1336),)</f>
        <v>45976.146414351853</v>
      </c>
      <c r="C1336" s="76" t="s">
        <v>241</v>
      </c>
      <c r="D1336" s="76" t="s">
        <v>902</v>
      </c>
      <c r="E1336" s="79" t="s">
        <v>1505</v>
      </c>
      <c r="F1336" s="79"/>
    </row>
    <row r="1337" spans="1:7">
      <c r="A1337" s="77">
        <f t="shared" ca="1" si="103"/>
        <v>45976</v>
      </c>
      <c r="B1337" s="80">
        <f t="shared" ca="1" si="104"/>
        <v>45976.15568113426</v>
      </c>
      <c r="C1337" s="76" t="s">
        <v>241</v>
      </c>
      <c r="D1337" s="76" t="s">
        <v>902</v>
      </c>
      <c r="E1337" s="79" t="s">
        <v>1535</v>
      </c>
      <c r="F1337" s="79"/>
    </row>
    <row r="1338" spans="1:7">
      <c r="A1338" s="77">
        <f t="shared" ca="1" si="103"/>
        <v>45976</v>
      </c>
      <c r="B1338" s="80">
        <f t="shared" ca="1" si="104"/>
        <v>45976.156343402778</v>
      </c>
      <c r="C1338" s="76" t="s">
        <v>241</v>
      </c>
      <c r="D1338" s="76" t="s">
        <v>902</v>
      </c>
      <c r="E1338" s="79" t="s">
        <v>1535</v>
      </c>
      <c r="F1338" s="79"/>
    </row>
    <row r="1339" spans="1:7">
      <c r="A1339" s="77">
        <f t="shared" ca="1" si="103"/>
        <v>45976</v>
      </c>
      <c r="B1339" s="80">
        <f t="shared" ca="1" si="104"/>
        <v>45976.156439930557</v>
      </c>
      <c r="C1339" s="76" t="s">
        <v>241</v>
      </c>
      <c r="D1339" s="76" t="s">
        <v>902</v>
      </c>
      <c r="E1339" s="79" t="s">
        <v>1062</v>
      </c>
      <c r="F1339" s="79"/>
    </row>
    <row r="1340" spans="1:7">
      <c r="A1340" s="77">
        <f t="shared" ca="1" si="103"/>
        <v>45976</v>
      </c>
      <c r="B1340" s="80">
        <f t="shared" ca="1" si="104"/>
        <v>45976.158220717596</v>
      </c>
      <c r="C1340" s="76" t="s">
        <v>241</v>
      </c>
      <c r="D1340" s="76" t="s">
        <v>902</v>
      </c>
      <c r="E1340" s="79" t="s">
        <v>1567</v>
      </c>
      <c r="F1340" s="79"/>
    </row>
    <row r="1341" spans="1:7">
      <c r="A1341" s="77">
        <f t="shared" ca="1" si="103"/>
        <v>45976</v>
      </c>
      <c r="B1341" s="80">
        <f t="shared" ca="1" si="104"/>
        <v>45976.15963101852</v>
      </c>
      <c r="C1341" s="76" t="s">
        <v>241</v>
      </c>
      <c r="D1341" s="76" t="s">
        <v>902</v>
      </c>
      <c r="E1341" s="79" t="s">
        <v>1568</v>
      </c>
      <c r="F1341" s="79"/>
    </row>
    <row r="1342" spans="1:7">
      <c r="A1342" s="77">
        <f t="shared" ca="1" si="103"/>
        <v>45976</v>
      </c>
      <c r="B1342" s="80">
        <f t="shared" ca="1" si="104"/>
        <v>45976.161353356481</v>
      </c>
      <c r="C1342" s="76" t="s">
        <v>241</v>
      </c>
      <c r="D1342" s="76" t="s">
        <v>902</v>
      </c>
      <c r="E1342" s="79" t="s">
        <v>1505</v>
      </c>
      <c r="F1342" s="79"/>
    </row>
    <row r="1343" spans="1:7">
      <c r="A1343" s="77">
        <f t="shared" ca="1" si="103"/>
        <v>45976</v>
      </c>
      <c r="B1343" s="80">
        <f t="shared" ca="1" si="104"/>
        <v>45976.180841319445</v>
      </c>
      <c r="C1343" s="76" t="s">
        <v>241</v>
      </c>
      <c r="D1343" s="76" t="s">
        <v>902</v>
      </c>
      <c r="E1343" s="79" t="s">
        <v>1062</v>
      </c>
      <c r="F1343" s="79"/>
    </row>
    <row r="1344" spans="1:7">
      <c r="A1344" s="77">
        <f t="shared" ca="1" si="103"/>
        <v>45976</v>
      </c>
      <c r="B1344" s="80">
        <f t="shared" ca="1" si="104"/>
        <v>45976.185272337963</v>
      </c>
      <c r="C1344" s="76" t="s">
        <v>241</v>
      </c>
      <c r="D1344" s="210" t="s">
        <v>922</v>
      </c>
      <c r="E1344" s="79" t="s">
        <v>1569</v>
      </c>
      <c r="F1344" s="79"/>
      <c r="G1344" s="76" t="s">
        <v>1570</v>
      </c>
    </row>
    <row r="1345" spans="1:7">
      <c r="A1345" s="77">
        <f t="shared" ca="1" si="103"/>
        <v>45976</v>
      </c>
      <c r="B1345" s="80">
        <f t="shared" ca="1" si="104"/>
        <v>45976.190772453701</v>
      </c>
      <c r="C1345" s="76" t="s">
        <v>241</v>
      </c>
      <c r="D1345" s="210" t="s">
        <v>1098</v>
      </c>
      <c r="E1345" s="79"/>
      <c r="F1345" s="79"/>
    </row>
    <row r="1346" spans="1:7">
      <c r="A1346" s="77">
        <f t="shared" ca="1" si="103"/>
        <v>45976</v>
      </c>
      <c r="B1346" s="80">
        <f t="shared" ca="1" si="104"/>
        <v>45976.236254398151</v>
      </c>
      <c r="C1346" s="76" t="s">
        <v>245</v>
      </c>
      <c r="D1346" s="210" t="s">
        <v>906</v>
      </c>
      <c r="E1346" s="79"/>
      <c r="F1346" s="79"/>
      <c r="G1346" s="76" t="s">
        <v>1571</v>
      </c>
    </row>
    <row r="1347" spans="1:7">
      <c r="A1347" s="77">
        <f t="shared" ca="1" si="103"/>
        <v>45976</v>
      </c>
      <c r="B1347" s="80">
        <f t="shared" ca="1" si="104"/>
        <v>45976.23634560185</v>
      </c>
      <c r="C1347" s="76" t="s">
        <v>245</v>
      </c>
      <c r="D1347" s="210" t="s">
        <v>909</v>
      </c>
      <c r="E1347" s="79"/>
      <c r="F1347" s="79"/>
    </row>
    <row r="1348" spans="1:7">
      <c r="A1348" s="77">
        <f t="shared" ca="1" si="103"/>
        <v>45976</v>
      </c>
      <c r="B1348" s="80">
        <f t="shared" ca="1" si="104"/>
        <v>45976.237245717595</v>
      </c>
      <c r="C1348" s="76" t="s">
        <v>245</v>
      </c>
      <c r="D1348" s="76" t="s">
        <v>902</v>
      </c>
      <c r="E1348" s="79"/>
      <c r="F1348" s="79"/>
      <c r="G1348" s="76" t="s">
        <v>1572</v>
      </c>
    </row>
    <row r="1349" spans="1:7">
      <c r="A1349" s="77">
        <f t="shared" ca="1" si="103"/>
        <v>45976</v>
      </c>
      <c r="B1349" s="80">
        <f t="shared" ca="1" si="104"/>
        <v>45976.239015740743</v>
      </c>
      <c r="C1349" s="76" t="s">
        <v>245</v>
      </c>
      <c r="D1349" s="76" t="s">
        <v>902</v>
      </c>
      <c r="E1349" s="79"/>
      <c r="F1349" s="79"/>
      <c r="G1349" s="76" t="s">
        <v>1535</v>
      </c>
    </row>
    <row r="1350" spans="1:7">
      <c r="A1350" s="77">
        <f t="shared" ca="1" si="103"/>
        <v>45976</v>
      </c>
      <c r="B1350" s="80">
        <f t="shared" ca="1" si="104"/>
        <v>45976.241428125002</v>
      </c>
      <c r="C1350" s="76" t="s">
        <v>245</v>
      </c>
      <c r="D1350" s="76" t="s">
        <v>902</v>
      </c>
      <c r="E1350" s="79" t="s">
        <v>1062</v>
      </c>
      <c r="F1350" s="79"/>
    </row>
    <row r="1351" spans="1:7">
      <c r="A1351" s="77">
        <f t="shared" ca="1" si="103"/>
        <v>45976</v>
      </c>
      <c r="B1351" s="80">
        <f t="shared" ca="1" si="104"/>
        <v>45976.26662141204</v>
      </c>
      <c r="C1351" s="76" t="s">
        <v>245</v>
      </c>
      <c r="D1351" s="76" t="s">
        <v>902</v>
      </c>
      <c r="E1351" s="79" t="s">
        <v>1573</v>
      </c>
      <c r="F1351" s="79"/>
    </row>
    <row r="1352" spans="1:7">
      <c r="A1352" s="77">
        <f t="shared" ca="1" si="103"/>
        <v>45976</v>
      </c>
      <c r="B1352" s="80">
        <f t="shared" ca="1" si="104"/>
        <v>45976.268768287038</v>
      </c>
      <c r="C1352" s="76" t="s">
        <v>245</v>
      </c>
      <c r="D1352" s="76" t="s">
        <v>902</v>
      </c>
      <c r="E1352" s="79" t="s">
        <v>1062</v>
      </c>
      <c r="F1352" s="79"/>
    </row>
    <row r="1353" spans="1:7">
      <c r="A1353" s="77">
        <f t="shared" ca="1" si="103"/>
        <v>45976</v>
      </c>
      <c r="B1353" s="80">
        <f t="shared" ca="1" si="104"/>
        <v>45976.284247222226</v>
      </c>
      <c r="C1353" s="76" t="s">
        <v>245</v>
      </c>
      <c r="D1353" s="150" t="s">
        <v>1059</v>
      </c>
      <c r="E1353" s="79" t="s">
        <v>1574</v>
      </c>
      <c r="F1353" s="79"/>
      <c r="G1353" s="92" t="s">
        <v>1575</v>
      </c>
    </row>
    <row r="1354" spans="1:7">
      <c r="A1354" s="77">
        <f t="shared" ca="1" si="103"/>
        <v>45976</v>
      </c>
      <c r="B1354" s="80">
        <f t="shared" ca="1" si="104"/>
        <v>45976.298103587964</v>
      </c>
      <c r="C1354" s="76" t="s">
        <v>245</v>
      </c>
      <c r="D1354" s="76" t="s">
        <v>902</v>
      </c>
      <c r="E1354" s="79" t="s">
        <v>1576</v>
      </c>
      <c r="F1354" s="79"/>
    </row>
    <row r="1355" spans="1:7">
      <c r="A1355" s="77">
        <f t="shared" ca="1" si="103"/>
        <v>45976</v>
      </c>
      <c r="B1355" s="80">
        <f t="shared" ca="1" si="104"/>
        <v>45976.299368055559</v>
      </c>
      <c r="C1355" s="76" t="s">
        <v>245</v>
      </c>
      <c r="D1355" s="76" t="s">
        <v>902</v>
      </c>
      <c r="E1355" s="79" t="s">
        <v>1062</v>
      </c>
      <c r="F1355" s="79"/>
    </row>
    <row r="1356" spans="1:7">
      <c r="A1356" s="77">
        <f t="shared" ca="1" si="103"/>
        <v>45976</v>
      </c>
      <c r="B1356" s="80">
        <f t="shared" ca="1" si="104"/>
        <v>45976.301686458333</v>
      </c>
      <c r="C1356" s="76" t="s">
        <v>245</v>
      </c>
      <c r="D1356" s="210" t="s">
        <v>922</v>
      </c>
      <c r="E1356" s="79"/>
      <c r="F1356" s="79"/>
      <c r="G1356" s="76" t="s">
        <v>1577</v>
      </c>
    </row>
    <row r="1357" spans="1:7">
      <c r="A1357" s="77">
        <f t="shared" ca="1" si="103"/>
        <v>45976</v>
      </c>
      <c r="B1357" s="80">
        <f t="shared" ca="1" si="104"/>
        <v>45976.319218402779</v>
      </c>
      <c r="C1357" s="76" t="s">
        <v>245</v>
      </c>
      <c r="D1357" s="210" t="s">
        <v>1098</v>
      </c>
      <c r="E1357" s="79"/>
      <c r="F1357" s="79"/>
    </row>
    <row r="1358" spans="1:7">
      <c r="A1358" s="77">
        <f t="shared" ref="A1358:A1390" ca="1" si="105">IF(C1358&lt;&gt;0,IF(A1358=0,TODAY(),A1358),)</f>
        <v>45976</v>
      </c>
      <c r="B1358" s="80">
        <f t="shared" ref="B1358:B1390" ca="1" si="106">IF(C1358&lt;&gt;0,IF(B1358=0,NOW(),B1358),)</f>
        <v>45976.36853900463</v>
      </c>
      <c r="C1358" s="76" t="s">
        <v>249</v>
      </c>
      <c r="D1358" s="210" t="s">
        <v>906</v>
      </c>
      <c r="E1358" s="79"/>
      <c r="F1358" s="79"/>
      <c r="G1358" s="76" t="s">
        <v>1578</v>
      </c>
    </row>
    <row r="1359" spans="1:7">
      <c r="A1359" s="77">
        <f t="shared" ca="1" si="105"/>
        <v>45976</v>
      </c>
      <c r="B1359" s="80">
        <f t="shared" ca="1" si="106"/>
        <v>45976.393446643517</v>
      </c>
      <c r="C1359" s="76" t="s">
        <v>249</v>
      </c>
      <c r="D1359" s="210" t="s">
        <v>909</v>
      </c>
      <c r="E1359" s="79"/>
      <c r="F1359" s="79"/>
    </row>
    <row r="1360" spans="1:7">
      <c r="A1360" s="77">
        <f t="shared" ca="1" si="105"/>
        <v>45976</v>
      </c>
      <c r="B1360" s="80">
        <f t="shared" ca="1" si="106"/>
        <v>45976.393602662036</v>
      </c>
      <c r="C1360" s="76" t="s">
        <v>249</v>
      </c>
      <c r="D1360" s="76" t="s">
        <v>902</v>
      </c>
      <c r="E1360" s="79" t="s">
        <v>1062</v>
      </c>
      <c r="F1360" s="79"/>
    </row>
    <row r="1361" spans="1:7">
      <c r="A1361" s="77">
        <f t="shared" ca="1" si="105"/>
        <v>45976</v>
      </c>
      <c r="B1361" s="80">
        <f t="shared" ca="1" si="106"/>
        <v>45976.398414583331</v>
      </c>
      <c r="C1361" s="76" t="s">
        <v>249</v>
      </c>
      <c r="D1361" s="210" t="s">
        <v>922</v>
      </c>
      <c r="E1361" s="79"/>
      <c r="F1361" s="79"/>
      <c r="G1361" s="76" t="s">
        <v>1579</v>
      </c>
    </row>
    <row r="1362" spans="1:7">
      <c r="A1362" s="77">
        <f t="shared" ca="1" si="105"/>
        <v>45976</v>
      </c>
      <c r="B1362" s="80">
        <f t="shared" ca="1" si="106"/>
        <v>45976.41770810185</v>
      </c>
      <c r="C1362" s="76" t="s">
        <v>249</v>
      </c>
      <c r="D1362" s="210" t="s">
        <v>1098</v>
      </c>
      <c r="E1362" s="79"/>
      <c r="F1362" s="79"/>
    </row>
    <row r="1363" spans="1:7">
      <c r="A1363" s="77">
        <f t="shared" ca="1" si="105"/>
        <v>45976</v>
      </c>
      <c r="B1363" s="80">
        <f t="shared" ca="1" si="106"/>
        <v>45976.991283449075</v>
      </c>
      <c r="C1363" s="76" t="s">
        <v>253</v>
      </c>
      <c r="D1363" s="210" t="s">
        <v>906</v>
      </c>
      <c r="E1363" s="79"/>
      <c r="F1363" s="79"/>
    </row>
    <row r="1364" spans="1:7">
      <c r="A1364" s="77">
        <f t="shared" ca="1" si="105"/>
        <v>45977</v>
      </c>
      <c r="B1364" s="80">
        <f t="shared" ca="1" si="106"/>
        <v>45977.015265740738</v>
      </c>
      <c r="C1364" s="76" t="s">
        <v>253</v>
      </c>
      <c r="D1364" s="210" t="s">
        <v>909</v>
      </c>
      <c r="E1364" s="76" t="s">
        <v>253</v>
      </c>
      <c r="F1364" s="79"/>
    </row>
    <row r="1365" spans="1:7">
      <c r="A1365" s="77">
        <f t="shared" ca="1" si="105"/>
        <v>45977</v>
      </c>
      <c r="B1365" s="80">
        <f t="shared" ca="1" si="106"/>
        <v>45977.026493981481</v>
      </c>
      <c r="C1365" s="76" t="s">
        <v>253</v>
      </c>
      <c r="D1365" s="76" t="s">
        <v>902</v>
      </c>
      <c r="E1365" s="76" t="s">
        <v>253</v>
      </c>
      <c r="F1365" s="79"/>
      <c r="G1365" s="76" t="s">
        <v>1580</v>
      </c>
    </row>
    <row r="1366" spans="1:7">
      <c r="A1366" s="77">
        <f t="shared" ca="1" si="105"/>
        <v>45977</v>
      </c>
      <c r="B1366" s="80">
        <f t="shared" ca="1" si="106"/>
        <v>45977.080656597223</v>
      </c>
      <c r="C1366" s="76" t="s">
        <v>253</v>
      </c>
      <c r="D1366" s="210" t="s">
        <v>906</v>
      </c>
      <c r="E1366" s="79"/>
      <c r="F1366" s="79"/>
    </row>
    <row r="1367" spans="1:7">
      <c r="A1367" s="77">
        <f t="shared" ca="1" si="105"/>
        <v>45977</v>
      </c>
      <c r="B1367" s="80">
        <f t="shared" ca="1" si="106"/>
        <v>45977.100152083331</v>
      </c>
      <c r="C1367" s="76" t="s">
        <v>253</v>
      </c>
      <c r="D1367" s="210" t="s">
        <v>909</v>
      </c>
      <c r="E1367" s="79"/>
      <c r="F1367" s="79"/>
    </row>
    <row r="1368" spans="1:7">
      <c r="A1368" s="77">
        <f t="shared" ca="1" si="105"/>
        <v>45977</v>
      </c>
      <c r="B1368" s="80">
        <f t="shared" ca="1" si="106"/>
        <v>45977.106588078706</v>
      </c>
      <c r="C1368" s="76" t="s">
        <v>253</v>
      </c>
      <c r="D1368" s="76" t="s">
        <v>902</v>
      </c>
      <c r="E1368" s="76" t="s">
        <v>1581</v>
      </c>
      <c r="F1368" s="79"/>
    </row>
    <row r="1369" spans="1:7">
      <c r="A1369" s="77">
        <f t="shared" ca="1" si="105"/>
        <v>45977</v>
      </c>
      <c r="B1369" s="80">
        <f t="shared" ca="1" si="106"/>
        <v>45977.109844444443</v>
      </c>
      <c r="C1369" s="76" t="s">
        <v>253</v>
      </c>
      <c r="D1369" s="76" t="s">
        <v>902</v>
      </c>
      <c r="E1369" s="76" t="s">
        <v>956</v>
      </c>
      <c r="F1369" s="79"/>
    </row>
    <row r="1370" spans="1:7">
      <c r="A1370" s="77">
        <f t="shared" ca="1" si="105"/>
        <v>45977</v>
      </c>
      <c r="B1370" s="80">
        <f t="shared" ca="1" si="106"/>
        <v>45977.112165509257</v>
      </c>
      <c r="C1370" s="76" t="s">
        <v>253</v>
      </c>
      <c r="D1370" s="76" t="s">
        <v>902</v>
      </c>
      <c r="E1370" s="76" t="s">
        <v>1581</v>
      </c>
      <c r="F1370" s="79"/>
    </row>
    <row r="1371" spans="1:7">
      <c r="A1371" s="77">
        <f t="shared" ca="1" si="105"/>
        <v>45977</v>
      </c>
      <c r="B1371" s="80">
        <f t="shared" ca="1" si="106"/>
        <v>45977.112182523146</v>
      </c>
      <c r="C1371" s="76" t="s">
        <v>253</v>
      </c>
      <c r="D1371" s="76" t="s">
        <v>902</v>
      </c>
      <c r="E1371" s="76" t="s">
        <v>1582</v>
      </c>
      <c r="F1371" s="79"/>
    </row>
    <row r="1372" spans="1:7">
      <c r="A1372" s="77">
        <f t="shared" ca="1" si="105"/>
        <v>45977</v>
      </c>
      <c r="B1372" s="80">
        <f t="shared" ca="1" si="106"/>
        <v>45977.120039236113</v>
      </c>
      <c r="C1372" s="76" t="s">
        <v>253</v>
      </c>
      <c r="D1372" s="76" t="s">
        <v>902</v>
      </c>
      <c r="E1372" s="76" t="s">
        <v>932</v>
      </c>
      <c r="F1372" s="79"/>
    </row>
    <row r="1373" spans="1:7">
      <c r="A1373" s="77">
        <f t="shared" ca="1" si="105"/>
        <v>45977</v>
      </c>
      <c r="B1373" s="80">
        <f t="shared" ca="1" si="106"/>
        <v>45977.120914236111</v>
      </c>
      <c r="C1373" s="76" t="s">
        <v>253</v>
      </c>
      <c r="D1373" s="76" t="s">
        <v>902</v>
      </c>
      <c r="E1373" s="76" t="s">
        <v>932</v>
      </c>
      <c r="F1373" s="79"/>
    </row>
    <row r="1374" spans="1:7">
      <c r="A1374" s="77">
        <f t="shared" ca="1" si="105"/>
        <v>45977</v>
      </c>
      <c r="B1374" s="80">
        <f t="shared" ca="1" si="106"/>
        <v>45977.127101967591</v>
      </c>
      <c r="C1374" s="76" t="s">
        <v>253</v>
      </c>
      <c r="D1374" s="76" t="s">
        <v>902</v>
      </c>
      <c r="E1374" s="79"/>
      <c r="F1374" s="79"/>
      <c r="G1374" s="76" t="s">
        <v>1583</v>
      </c>
    </row>
    <row r="1375" spans="1:7">
      <c r="A1375" s="77">
        <f t="shared" ca="1" si="105"/>
        <v>45977</v>
      </c>
      <c r="B1375" s="80">
        <v>0.12743055555555555</v>
      </c>
      <c r="C1375" s="76" t="s">
        <v>253</v>
      </c>
      <c r="D1375" s="150" t="s">
        <v>1007</v>
      </c>
      <c r="E1375" s="79" t="s">
        <v>1584</v>
      </c>
      <c r="F1375" s="79"/>
      <c r="G1375" s="76" t="s">
        <v>1585</v>
      </c>
    </row>
    <row r="1376" spans="1:7">
      <c r="A1376" s="77">
        <f t="shared" ca="1" si="105"/>
        <v>45977</v>
      </c>
      <c r="B1376" s="80">
        <f t="shared" ca="1" si="106"/>
        <v>45977.127502199073</v>
      </c>
      <c r="C1376" s="76" t="s">
        <v>253</v>
      </c>
      <c r="D1376" s="76" t="s">
        <v>902</v>
      </c>
      <c r="E1376" s="76" t="s">
        <v>1586</v>
      </c>
      <c r="F1376" s="79"/>
    </row>
    <row r="1377" spans="1:7">
      <c r="A1377" s="77">
        <f t="shared" ca="1" si="105"/>
        <v>45977</v>
      </c>
      <c r="B1377" s="80">
        <f t="shared" ca="1" si="106"/>
        <v>45977.130148495373</v>
      </c>
      <c r="C1377" s="76" t="s">
        <v>253</v>
      </c>
      <c r="D1377" s="76" t="s">
        <v>902</v>
      </c>
      <c r="E1377" s="76" t="s">
        <v>1587</v>
      </c>
      <c r="F1377" s="79"/>
    </row>
    <row r="1378" spans="1:7">
      <c r="A1378" s="77">
        <f t="shared" ca="1" si="105"/>
        <v>45977</v>
      </c>
      <c r="B1378" s="80">
        <f t="shared" ca="1" si="106"/>
        <v>45977.136504513888</v>
      </c>
      <c r="C1378" s="76" t="s">
        <v>253</v>
      </c>
      <c r="D1378" s="76" t="s">
        <v>902</v>
      </c>
      <c r="E1378" s="76" t="s">
        <v>1588</v>
      </c>
      <c r="F1378" s="79"/>
    </row>
    <row r="1379" spans="1:7">
      <c r="A1379" s="77">
        <f t="shared" ca="1" si="105"/>
        <v>45977</v>
      </c>
      <c r="B1379" s="80">
        <f t="shared" ca="1" si="106"/>
        <v>45977.136589351852</v>
      </c>
      <c r="C1379" s="76" t="s">
        <v>253</v>
      </c>
      <c r="D1379" s="76" t="s">
        <v>902</v>
      </c>
      <c r="E1379" s="76" t="s">
        <v>956</v>
      </c>
      <c r="F1379" s="79"/>
    </row>
    <row r="1380" spans="1:7">
      <c r="A1380" s="77">
        <f t="shared" ca="1" si="105"/>
        <v>45977</v>
      </c>
      <c r="B1380" s="80">
        <f t="shared" ca="1" si="106"/>
        <v>45977.137200925928</v>
      </c>
      <c r="C1380" s="76" t="s">
        <v>253</v>
      </c>
      <c r="D1380" s="76" t="s">
        <v>902</v>
      </c>
      <c r="E1380" s="76" t="s">
        <v>1589</v>
      </c>
      <c r="F1380" s="79"/>
    </row>
    <row r="1381" spans="1:7">
      <c r="A1381" s="77">
        <f t="shared" ca="1" si="105"/>
        <v>45977</v>
      </c>
      <c r="B1381" s="80">
        <f t="shared" ca="1" si="106"/>
        <v>45977.143609953702</v>
      </c>
      <c r="C1381" s="76" t="s">
        <v>253</v>
      </c>
      <c r="D1381" s="76" t="s">
        <v>902</v>
      </c>
      <c r="E1381" s="79"/>
      <c r="F1381" s="79"/>
      <c r="G1381" s="76" t="s">
        <v>1590</v>
      </c>
    </row>
    <row r="1382" spans="1:7">
      <c r="A1382" s="77">
        <f t="shared" ca="1" si="105"/>
        <v>45977</v>
      </c>
      <c r="B1382" s="80">
        <f t="shared" ca="1" si="106"/>
        <v>45977.143628935184</v>
      </c>
      <c r="C1382" s="76" t="s">
        <v>253</v>
      </c>
      <c r="D1382" s="76" t="s">
        <v>902</v>
      </c>
      <c r="E1382" s="76" t="s">
        <v>1591</v>
      </c>
      <c r="F1382" s="79"/>
    </row>
    <row r="1383" spans="1:7">
      <c r="A1383" s="77">
        <f t="shared" ca="1" si="105"/>
        <v>45977</v>
      </c>
      <c r="B1383" s="80">
        <f t="shared" ca="1" si="106"/>
        <v>45977.15142141204</v>
      </c>
      <c r="C1383" s="76" t="s">
        <v>253</v>
      </c>
      <c r="D1383" s="76" t="s">
        <v>902</v>
      </c>
      <c r="E1383" s="76" t="s">
        <v>996</v>
      </c>
      <c r="F1383" s="79"/>
    </row>
    <row r="1384" spans="1:7">
      <c r="A1384" s="77">
        <f t="shared" ca="1" si="105"/>
        <v>45977</v>
      </c>
      <c r="B1384" s="80">
        <f t="shared" ca="1" si="106"/>
        <v>45977.151453240738</v>
      </c>
      <c r="C1384" s="76" t="s">
        <v>253</v>
      </c>
      <c r="D1384" s="76" t="s">
        <v>902</v>
      </c>
      <c r="E1384" s="76" t="s">
        <v>956</v>
      </c>
      <c r="F1384" s="79"/>
    </row>
    <row r="1385" spans="1:7">
      <c r="A1385" s="77">
        <f t="shared" ca="1" si="105"/>
        <v>45977</v>
      </c>
      <c r="B1385" s="80">
        <f t="shared" ca="1" si="106"/>
        <v>45977.151467361109</v>
      </c>
      <c r="C1385" s="76" t="s">
        <v>253</v>
      </c>
      <c r="D1385" s="76" t="s">
        <v>902</v>
      </c>
      <c r="E1385" s="76" t="s">
        <v>1592</v>
      </c>
      <c r="F1385" s="79"/>
    </row>
    <row r="1386" spans="1:7">
      <c r="A1386" s="77">
        <f t="shared" ca="1" si="105"/>
        <v>45977</v>
      </c>
      <c r="B1386" s="80">
        <f t="shared" ca="1" si="106"/>
        <v>45977.156001620373</v>
      </c>
      <c r="C1386" s="76" t="s">
        <v>253</v>
      </c>
      <c r="D1386" s="76" t="s">
        <v>902</v>
      </c>
      <c r="E1386" s="76" t="s">
        <v>1593</v>
      </c>
      <c r="F1386" s="79"/>
    </row>
    <row r="1387" spans="1:7">
      <c r="A1387" s="77">
        <f t="shared" ca="1" si="105"/>
        <v>45977</v>
      </c>
      <c r="B1387" s="80">
        <f t="shared" ca="1" si="106"/>
        <v>45977.158313888889</v>
      </c>
      <c r="C1387" s="76" t="s">
        <v>253</v>
      </c>
      <c r="D1387" s="76" t="s">
        <v>902</v>
      </c>
      <c r="E1387" s="76" t="s">
        <v>1594</v>
      </c>
      <c r="F1387" s="79"/>
    </row>
    <row r="1388" spans="1:7">
      <c r="A1388" s="77">
        <f t="shared" ca="1" si="105"/>
        <v>45977</v>
      </c>
      <c r="B1388" s="80">
        <f t="shared" ca="1" si="106"/>
        <v>45977.162121643516</v>
      </c>
      <c r="C1388" s="76" t="s">
        <v>253</v>
      </c>
      <c r="D1388" s="76" t="s">
        <v>902</v>
      </c>
      <c r="E1388" s="76" t="s">
        <v>1581</v>
      </c>
      <c r="F1388" s="79"/>
    </row>
    <row r="1389" spans="1:7">
      <c r="A1389" s="77">
        <f t="shared" ca="1" si="105"/>
        <v>45977</v>
      </c>
      <c r="B1389" s="80">
        <f t="shared" ca="1" si="106"/>
        <v>45977.164109490739</v>
      </c>
      <c r="C1389" s="76" t="s">
        <v>253</v>
      </c>
      <c r="D1389" s="76" t="s">
        <v>902</v>
      </c>
      <c r="E1389" s="76" t="s">
        <v>1595</v>
      </c>
      <c r="F1389" s="79"/>
    </row>
    <row r="1390" spans="1:7">
      <c r="A1390" s="77">
        <f t="shared" ca="1" si="105"/>
        <v>45977</v>
      </c>
      <c r="B1390" s="80">
        <f t="shared" ca="1" si="106"/>
        <v>45977.164294097223</v>
      </c>
      <c r="C1390" s="76" t="s">
        <v>253</v>
      </c>
      <c r="D1390" s="76" t="s">
        <v>902</v>
      </c>
      <c r="E1390" s="76" t="s">
        <v>1595</v>
      </c>
      <c r="F1390" s="79"/>
    </row>
    <row r="1391" spans="1:7">
      <c r="A1391" s="77">
        <f t="shared" ref="A1391:A1423" ca="1" si="107">IF(C1391&lt;&gt;0,IF(A1391=0,TODAY(),A1391),)</f>
        <v>45977</v>
      </c>
      <c r="B1391" s="80">
        <f t="shared" ref="B1391:B1423" ca="1" si="108">IF(C1391&lt;&gt;0,IF(B1391=0,NOW(),B1391),)</f>
        <v>45977.164299884258</v>
      </c>
      <c r="C1391" s="76" t="s">
        <v>253</v>
      </c>
      <c r="D1391" s="76" t="s">
        <v>902</v>
      </c>
      <c r="E1391" s="76" t="s">
        <v>1595</v>
      </c>
      <c r="F1391" s="79"/>
    </row>
    <row r="1392" spans="1:7">
      <c r="A1392" s="77">
        <f t="shared" ca="1" si="107"/>
        <v>45977</v>
      </c>
      <c r="B1392" s="80">
        <f t="shared" ca="1" si="108"/>
        <v>45977.164312152781</v>
      </c>
      <c r="C1392" s="76" t="s">
        <v>253</v>
      </c>
      <c r="D1392" s="76" t="s">
        <v>902</v>
      </c>
      <c r="E1392" s="76" t="s">
        <v>1595</v>
      </c>
      <c r="F1392" s="79"/>
    </row>
    <row r="1393" spans="1:7">
      <c r="A1393" s="77">
        <f t="shared" ca="1" si="107"/>
        <v>45977</v>
      </c>
      <c r="B1393" s="80">
        <f t="shared" ca="1" si="108"/>
        <v>45977.166342013887</v>
      </c>
      <c r="C1393" s="76" t="s">
        <v>253</v>
      </c>
      <c r="D1393" s="76" t="s">
        <v>902</v>
      </c>
      <c r="E1393" s="79"/>
      <c r="F1393" s="79"/>
      <c r="G1393" s="76" t="s">
        <v>1596</v>
      </c>
    </row>
    <row r="1394" spans="1:7">
      <c r="A1394" s="77">
        <v>45977</v>
      </c>
      <c r="B1394" s="80">
        <v>0.1736111111111111</v>
      </c>
      <c r="C1394" s="76" t="s">
        <v>253</v>
      </c>
      <c r="D1394" s="210" t="s">
        <v>922</v>
      </c>
      <c r="E1394" s="79"/>
      <c r="F1394" s="79"/>
    </row>
    <row r="1395" spans="1:7">
      <c r="A1395" s="77">
        <f t="shared" ca="1" si="107"/>
        <v>45977</v>
      </c>
      <c r="B1395" s="80">
        <f t="shared" ca="1" si="108"/>
        <v>45977.186240277777</v>
      </c>
      <c r="C1395" s="76" t="s">
        <v>253</v>
      </c>
      <c r="D1395" s="210" t="s">
        <v>1098</v>
      </c>
      <c r="E1395" s="79"/>
      <c r="F1395" s="79"/>
    </row>
    <row r="1396" spans="1:7">
      <c r="A1396" s="77">
        <f t="shared" ca="1" si="107"/>
        <v>45977</v>
      </c>
      <c r="B1396" s="80">
        <f t="shared" ca="1" si="108"/>
        <v>45977.223004398147</v>
      </c>
      <c r="C1396" s="76" t="s">
        <v>256</v>
      </c>
      <c r="D1396" s="210" t="s">
        <v>906</v>
      </c>
      <c r="E1396" s="79"/>
      <c r="F1396" s="79"/>
    </row>
    <row r="1397" spans="1:7">
      <c r="A1397" s="77">
        <f t="shared" ca="1" si="107"/>
        <v>45977</v>
      </c>
      <c r="B1397" s="80">
        <f t="shared" ca="1" si="108"/>
        <v>45977.253394907406</v>
      </c>
      <c r="C1397" s="76" t="s">
        <v>256</v>
      </c>
      <c r="D1397" s="210" t="s">
        <v>909</v>
      </c>
      <c r="E1397" s="79"/>
      <c r="F1397" s="79"/>
    </row>
    <row r="1398" spans="1:7">
      <c r="A1398" s="77">
        <f t="shared" ca="1" si="107"/>
        <v>45977</v>
      </c>
      <c r="B1398" s="80">
        <f t="shared" ca="1" si="108"/>
        <v>45977.254255902779</v>
      </c>
      <c r="C1398" s="76" t="s">
        <v>256</v>
      </c>
      <c r="D1398" s="76" t="s">
        <v>902</v>
      </c>
      <c r="E1398" s="76" t="s">
        <v>1109</v>
      </c>
      <c r="F1398" s="79"/>
    </row>
    <row r="1399" spans="1:7">
      <c r="A1399" s="77">
        <f t="shared" ca="1" si="107"/>
        <v>45977</v>
      </c>
      <c r="B1399" s="80">
        <f t="shared" ca="1" si="108"/>
        <v>45977.25710023148</v>
      </c>
      <c r="C1399" s="76" t="s">
        <v>256</v>
      </c>
      <c r="D1399" s="76" t="s">
        <v>902</v>
      </c>
      <c r="E1399" s="76" t="s">
        <v>1597</v>
      </c>
      <c r="F1399" s="79"/>
    </row>
    <row r="1400" spans="1:7">
      <c r="A1400" s="77">
        <f t="shared" ca="1" si="107"/>
        <v>45977</v>
      </c>
      <c r="B1400" s="80">
        <f t="shared" ca="1" si="108"/>
        <v>45977.261107407408</v>
      </c>
      <c r="C1400" s="76" t="s">
        <v>256</v>
      </c>
      <c r="D1400" s="76" t="s">
        <v>902</v>
      </c>
      <c r="E1400" s="76" t="s">
        <v>932</v>
      </c>
      <c r="F1400" s="79"/>
    </row>
    <row r="1401" spans="1:7">
      <c r="A1401" s="77">
        <f t="shared" ca="1" si="107"/>
        <v>45977</v>
      </c>
      <c r="B1401" s="80">
        <f t="shared" ca="1" si="108"/>
        <v>45977.261117939815</v>
      </c>
      <c r="C1401" s="76" t="s">
        <v>256</v>
      </c>
      <c r="D1401" s="76" t="s">
        <v>902</v>
      </c>
      <c r="E1401" s="76" t="s">
        <v>956</v>
      </c>
      <c r="F1401" s="79"/>
    </row>
    <row r="1402" spans="1:7">
      <c r="A1402" s="77">
        <f t="shared" ca="1" si="107"/>
        <v>45977</v>
      </c>
      <c r="B1402" s="80">
        <f t="shared" ca="1" si="108"/>
        <v>45977.263783101851</v>
      </c>
      <c r="C1402" s="76" t="s">
        <v>256</v>
      </c>
      <c r="D1402" s="76" t="s">
        <v>902</v>
      </c>
      <c r="E1402" s="76" t="s">
        <v>1598</v>
      </c>
      <c r="F1402" s="79"/>
    </row>
    <row r="1403" spans="1:7">
      <c r="A1403" s="77">
        <f t="shared" ca="1" si="107"/>
        <v>45977</v>
      </c>
      <c r="B1403" s="80">
        <f t="shared" ca="1" si="108"/>
        <v>45977.26477303241</v>
      </c>
      <c r="C1403" s="76" t="s">
        <v>256</v>
      </c>
      <c r="D1403" s="76" t="s">
        <v>902</v>
      </c>
      <c r="E1403" s="76" t="s">
        <v>956</v>
      </c>
      <c r="F1403" s="79"/>
    </row>
    <row r="1404" spans="1:7">
      <c r="A1404" s="77">
        <f t="shared" ca="1" si="107"/>
        <v>45977</v>
      </c>
      <c r="B1404" s="80">
        <f t="shared" ca="1" si="108"/>
        <v>45977.268294328707</v>
      </c>
      <c r="C1404" s="76" t="s">
        <v>256</v>
      </c>
      <c r="D1404" s="76" t="s">
        <v>902</v>
      </c>
      <c r="E1404" s="76" t="s">
        <v>1599</v>
      </c>
      <c r="F1404" s="79"/>
    </row>
    <row r="1405" spans="1:7">
      <c r="A1405" s="77">
        <f t="shared" ca="1" si="107"/>
        <v>45977</v>
      </c>
      <c r="B1405" s="80">
        <f t="shared" ca="1" si="108"/>
        <v>45977.270472337965</v>
      </c>
      <c r="C1405" s="76" t="s">
        <v>256</v>
      </c>
      <c r="D1405" s="76" t="s">
        <v>902</v>
      </c>
      <c r="E1405" s="76" t="s">
        <v>1234</v>
      </c>
      <c r="F1405" s="79"/>
    </row>
    <row r="1406" spans="1:7">
      <c r="A1406" s="77">
        <f t="shared" ca="1" si="107"/>
        <v>45977</v>
      </c>
      <c r="B1406" s="80">
        <f t="shared" ca="1" si="108"/>
        <v>45977.270983680559</v>
      </c>
      <c r="C1406" s="76" t="s">
        <v>256</v>
      </c>
      <c r="D1406" s="76" t="s">
        <v>902</v>
      </c>
      <c r="E1406" s="76" t="s">
        <v>956</v>
      </c>
      <c r="F1406" s="79"/>
    </row>
    <row r="1407" spans="1:7">
      <c r="A1407" s="77">
        <f t="shared" ca="1" si="107"/>
        <v>45977</v>
      </c>
      <c r="B1407" s="80">
        <f t="shared" ca="1" si="108"/>
        <v>45977.277019444446</v>
      </c>
      <c r="C1407" s="76" t="s">
        <v>256</v>
      </c>
      <c r="D1407" s="76" t="s">
        <v>902</v>
      </c>
      <c r="E1407" s="76" t="s">
        <v>1581</v>
      </c>
      <c r="F1407" s="79"/>
    </row>
    <row r="1408" spans="1:7">
      <c r="A1408" s="77">
        <f t="shared" ca="1" si="107"/>
        <v>45977</v>
      </c>
      <c r="B1408" s="80">
        <f t="shared" ca="1" si="108"/>
        <v>45977.279738541663</v>
      </c>
      <c r="C1408" s="76" t="s">
        <v>256</v>
      </c>
      <c r="D1408" s="76" t="s">
        <v>902</v>
      </c>
      <c r="E1408" s="76" t="s">
        <v>1600</v>
      </c>
      <c r="F1408" s="79"/>
    </row>
    <row r="1409" spans="1:6">
      <c r="A1409" s="77">
        <f t="shared" ca="1" si="107"/>
        <v>45977</v>
      </c>
      <c r="B1409" s="80">
        <f t="shared" ca="1" si="108"/>
        <v>45977.280134837965</v>
      </c>
      <c r="C1409" s="76" t="s">
        <v>256</v>
      </c>
      <c r="D1409" s="76" t="s">
        <v>902</v>
      </c>
      <c r="E1409" s="76" t="s">
        <v>1601</v>
      </c>
      <c r="F1409" s="79"/>
    </row>
    <row r="1410" spans="1:6">
      <c r="A1410" s="77">
        <f t="shared" ca="1" si="107"/>
        <v>45977</v>
      </c>
      <c r="B1410" s="80">
        <f t="shared" ca="1" si="108"/>
        <v>45977.28133020833</v>
      </c>
      <c r="C1410" s="76" t="s">
        <v>256</v>
      </c>
      <c r="D1410" s="76" t="s">
        <v>902</v>
      </c>
      <c r="E1410" s="76" t="s">
        <v>1602</v>
      </c>
      <c r="F1410" s="79"/>
    </row>
    <row r="1411" spans="1:6">
      <c r="A1411" s="77">
        <f t="shared" ca="1" si="107"/>
        <v>45977</v>
      </c>
      <c r="B1411" s="80">
        <f t="shared" ca="1" si="108"/>
        <v>45977.281919560184</v>
      </c>
      <c r="C1411" s="76" t="s">
        <v>256</v>
      </c>
      <c r="D1411" s="76" t="s">
        <v>902</v>
      </c>
      <c r="E1411" s="76" t="s">
        <v>1601</v>
      </c>
      <c r="F1411" s="79"/>
    </row>
    <row r="1412" spans="1:6">
      <c r="A1412" s="77">
        <f t="shared" ca="1" si="107"/>
        <v>45977</v>
      </c>
      <c r="B1412" s="80">
        <f t="shared" ca="1" si="108"/>
        <v>45977.28456226852</v>
      </c>
      <c r="C1412" s="76" t="s">
        <v>256</v>
      </c>
      <c r="D1412" s="76" t="s">
        <v>902</v>
      </c>
      <c r="E1412" s="76" t="s">
        <v>956</v>
      </c>
      <c r="F1412" s="79"/>
    </row>
    <row r="1413" spans="1:6">
      <c r="A1413" s="77">
        <f t="shared" ca="1" si="107"/>
        <v>45977</v>
      </c>
      <c r="B1413" s="80">
        <f t="shared" ca="1" si="108"/>
        <v>45977.286192476851</v>
      </c>
      <c r="C1413" s="76" t="s">
        <v>256</v>
      </c>
      <c r="D1413" s="76" t="s">
        <v>902</v>
      </c>
      <c r="E1413" s="76" t="s">
        <v>1603</v>
      </c>
      <c r="F1413" s="79"/>
    </row>
    <row r="1414" spans="1:6">
      <c r="A1414" s="77">
        <f t="shared" ca="1" si="107"/>
        <v>45977</v>
      </c>
      <c r="B1414" s="80">
        <f t="shared" ca="1" si="108"/>
        <v>45977.286576388891</v>
      </c>
      <c r="C1414" s="76" t="s">
        <v>256</v>
      </c>
      <c r="D1414" s="76" t="s">
        <v>902</v>
      </c>
      <c r="E1414" s="76" t="s">
        <v>1604</v>
      </c>
      <c r="F1414" s="79"/>
    </row>
    <row r="1415" spans="1:6">
      <c r="A1415" s="77">
        <f t="shared" ca="1" si="107"/>
        <v>45977</v>
      </c>
      <c r="B1415" s="80">
        <f t="shared" ca="1" si="108"/>
        <v>45977.28737337963</v>
      </c>
      <c r="C1415" s="76" t="s">
        <v>256</v>
      </c>
      <c r="D1415" s="76" t="s">
        <v>902</v>
      </c>
      <c r="E1415" s="76" t="s">
        <v>1602</v>
      </c>
      <c r="F1415" s="79"/>
    </row>
    <row r="1416" spans="1:6">
      <c r="A1416" s="77">
        <f t="shared" ca="1" si="107"/>
        <v>45977</v>
      </c>
      <c r="B1416" s="80">
        <f t="shared" ca="1" si="108"/>
        <v>45977.288180902775</v>
      </c>
      <c r="C1416" s="76" t="s">
        <v>256</v>
      </c>
      <c r="D1416" s="76" t="s">
        <v>902</v>
      </c>
      <c r="E1416" s="76" t="s">
        <v>1234</v>
      </c>
      <c r="F1416" s="79"/>
    </row>
    <row r="1417" spans="1:6">
      <c r="A1417" s="77">
        <f t="shared" ca="1" si="107"/>
        <v>45977</v>
      </c>
      <c r="B1417" s="80">
        <f t="shared" ca="1" si="108"/>
        <v>45977.288446180559</v>
      </c>
      <c r="C1417" s="76" t="s">
        <v>256</v>
      </c>
      <c r="D1417" s="76" t="s">
        <v>902</v>
      </c>
      <c r="E1417" s="76" t="s">
        <v>1601</v>
      </c>
      <c r="F1417" s="79"/>
    </row>
    <row r="1418" spans="1:6">
      <c r="A1418" s="77">
        <f t="shared" ca="1" si="107"/>
        <v>45977</v>
      </c>
      <c r="B1418" s="80">
        <f t="shared" ca="1" si="108"/>
        <v>45977.291709953701</v>
      </c>
      <c r="C1418" s="76" t="s">
        <v>256</v>
      </c>
      <c r="D1418" s="76" t="s">
        <v>902</v>
      </c>
      <c r="E1418" s="76" t="s">
        <v>1581</v>
      </c>
      <c r="F1418" s="79"/>
    </row>
    <row r="1419" spans="1:6">
      <c r="A1419" s="77">
        <f t="shared" ca="1" si="107"/>
        <v>45977</v>
      </c>
      <c r="B1419" s="80">
        <f t="shared" ca="1" si="108"/>
        <v>45977.293592939815</v>
      </c>
      <c r="C1419" s="76" t="s">
        <v>256</v>
      </c>
      <c r="D1419" s="76" t="s">
        <v>902</v>
      </c>
      <c r="E1419" s="76" t="s">
        <v>1601</v>
      </c>
      <c r="F1419" s="79"/>
    </row>
    <row r="1420" spans="1:6">
      <c r="A1420" s="77">
        <f t="shared" ca="1" si="107"/>
        <v>45977</v>
      </c>
      <c r="B1420" s="80">
        <f t="shared" ca="1" si="108"/>
        <v>45977.296948842595</v>
      </c>
      <c r="C1420" s="76" t="s">
        <v>256</v>
      </c>
      <c r="D1420" s="76" t="s">
        <v>902</v>
      </c>
      <c r="E1420" s="76" t="s">
        <v>1601</v>
      </c>
      <c r="F1420" s="79"/>
    </row>
    <row r="1421" spans="1:6">
      <c r="A1421" s="77">
        <f t="shared" ca="1" si="107"/>
        <v>45977</v>
      </c>
      <c r="B1421" s="80">
        <f t="shared" ca="1" si="108"/>
        <v>45977.310187731484</v>
      </c>
      <c r="C1421" s="76" t="s">
        <v>256</v>
      </c>
      <c r="D1421" s="150" t="s">
        <v>1007</v>
      </c>
      <c r="E1421" s="76" t="s">
        <v>1605</v>
      </c>
      <c r="F1421" s="79"/>
    </row>
    <row r="1422" spans="1:6">
      <c r="A1422" s="77">
        <f t="shared" ca="1" si="107"/>
        <v>45977</v>
      </c>
      <c r="B1422" s="80">
        <f t="shared" ca="1" si="108"/>
        <v>45977.315231944442</v>
      </c>
      <c r="C1422" s="76" t="s">
        <v>256</v>
      </c>
      <c r="D1422" s="76" t="s">
        <v>902</v>
      </c>
      <c r="E1422" s="76" t="s">
        <v>1606</v>
      </c>
      <c r="F1422" s="79"/>
    </row>
    <row r="1423" spans="1:6">
      <c r="A1423" s="77">
        <f t="shared" ca="1" si="107"/>
        <v>45977</v>
      </c>
      <c r="B1423" s="80">
        <f t="shared" ca="1" si="108"/>
        <v>45977.317179166668</v>
      </c>
      <c r="C1423" s="76" t="s">
        <v>256</v>
      </c>
      <c r="D1423" s="76" t="s">
        <v>902</v>
      </c>
      <c r="E1423" s="90" t="s">
        <v>1581</v>
      </c>
      <c r="F1423" s="79"/>
    </row>
    <row r="1424" spans="1:6">
      <c r="A1424" s="77">
        <f t="shared" ref="A1424:A1459" ca="1" si="109">IF(C1424&lt;&gt;0,IF(A1424=0,TODAY(),A1424),)</f>
        <v>45977</v>
      </c>
      <c r="B1424" s="80">
        <f t="shared" ref="B1424:B1455" ca="1" si="110">IF(C1424&lt;&gt;0,IF(B1424=0,NOW(),B1424),)</f>
        <v>45977.320367939814</v>
      </c>
      <c r="C1424" s="76" t="s">
        <v>256</v>
      </c>
      <c r="D1424" s="76" t="s">
        <v>902</v>
      </c>
      <c r="E1424" s="76" t="s">
        <v>956</v>
      </c>
      <c r="F1424" s="79"/>
    </row>
    <row r="1425" spans="1:7">
      <c r="A1425" s="77">
        <f t="shared" ca="1" si="109"/>
        <v>45977</v>
      </c>
      <c r="B1425" s="80">
        <f t="shared" ca="1" si="110"/>
        <v>45977.322988888889</v>
      </c>
      <c r="C1425" s="76" t="s">
        <v>256</v>
      </c>
      <c r="D1425" s="76" t="s">
        <v>902</v>
      </c>
      <c r="E1425" s="76" t="s">
        <v>1234</v>
      </c>
      <c r="F1425" s="79"/>
    </row>
    <row r="1426" spans="1:7">
      <c r="A1426" s="77">
        <f t="shared" ca="1" si="109"/>
        <v>45977</v>
      </c>
      <c r="B1426" s="80">
        <f t="shared" ca="1" si="110"/>
        <v>45977.323199421298</v>
      </c>
      <c r="C1426" s="76" t="s">
        <v>256</v>
      </c>
      <c r="D1426" s="210" t="s">
        <v>922</v>
      </c>
      <c r="E1426" s="79"/>
      <c r="F1426" s="79"/>
    </row>
    <row r="1427" spans="1:7">
      <c r="A1427" s="77">
        <f t="shared" ca="1" si="109"/>
        <v>45977</v>
      </c>
      <c r="B1427" s="87">
        <f t="shared" ca="1" si="110"/>
        <v>45977.371433217595</v>
      </c>
      <c r="C1427" s="76" t="s">
        <v>256</v>
      </c>
      <c r="D1427" s="210" t="s">
        <v>1098</v>
      </c>
      <c r="E1427" s="79"/>
      <c r="F1427" s="79"/>
    </row>
    <row r="1428" spans="1:7">
      <c r="A1428" s="77">
        <f t="shared" ca="1" si="109"/>
        <v>45977</v>
      </c>
      <c r="B1428" s="80">
        <f t="shared" ca="1" si="110"/>
        <v>45977.376248148146</v>
      </c>
      <c r="C1428" s="76" t="s">
        <v>259</v>
      </c>
      <c r="D1428" s="210" t="s">
        <v>906</v>
      </c>
      <c r="E1428" s="79"/>
      <c r="F1428" s="79"/>
    </row>
    <row r="1429" spans="1:7">
      <c r="A1429" s="77">
        <f t="shared" ca="1" si="109"/>
        <v>45977</v>
      </c>
      <c r="B1429" s="80">
        <f t="shared" ca="1" si="110"/>
        <v>45977.39262604167</v>
      </c>
      <c r="C1429" s="76" t="s">
        <v>259</v>
      </c>
      <c r="D1429" s="210" t="s">
        <v>909</v>
      </c>
      <c r="E1429" s="79" t="s">
        <v>1607</v>
      </c>
      <c r="F1429" s="79"/>
    </row>
    <row r="1430" spans="1:7">
      <c r="A1430" s="77">
        <f t="shared" ca="1" si="109"/>
        <v>45977</v>
      </c>
      <c r="B1430" s="80">
        <f t="shared" ca="1" si="110"/>
        <v>45977.394433217596</v>
      </c>
      <c r="C1430" s="76" t="s">
        <v>259</v>
      </c>
      <c r="D1430" s="76" t="s">
        <v>902</v>
      </c>
      <c r="E1430" s="79" t="s">
        <v>1608</v>
      </c>
      <c r="F1430" s="79"/>
    </row>
    <row r="1431" spans="1:7">
      <c r="A1431" s="77">
        <f t="shared" ca="1" si="109"/>
        <v>45977</v>
      </c>
      <c r="B1431" s="80">
        <f t="shared" ca="1" si="110"/>
        <v>45977.394710300927</v>
      </c>
      <c r="C1431" s="76" t="s">
        <v>259</v>
      </c>
      <c r="D1431" s="76" t="s">
        <v>902</v>
      </c>
      <c r="E1431" s="79" t="s">
        <v>1609</v>
      </c>
      <c r="F1431" s="79"/>
    </row>
    <row r="1432" spans="1:7">
      <c r="A1432" s="77">
        <f t="shared" ca="1" si="109"/>
        <v>45977</v>
      </c>
      <c r="B1432" s="80">
        <f t="shared" ca="1" si="110"/>
        <v>45977.399275462965</v>
      </c>
      <c r="C1432" s="76" t="s">
        <v>259</v>
      </c>
      <c r="D1432" s="76" t="s">
        <v>902</v>
      </c>
      <c r="E1432" s="79" t="s">
        <v>1109</v>
      </c>
      <c r="F1432" s="79"/>
    </row>
    <row r="1433" spans="1:7">
      <c r="A1433" s="77">
        <f t="shared" ca="1" si="109"/>
        <v>45977</v>
      </c>
      <c r="B1433" s="80">
        <f t="shared" ca="1" si="110"/>
        <v>45977.407812384263</v>
      </c>
      <c r="C1433" s="76" t="s">
        <v>259</v>
      </c>
      <c r="D1433" s="76" t="s">
        <v>902</v>
      </c>
      <c r="E1433" s="79" t="s">
        <v>1610</v>
      </c>
      <c r="F1433" s="79"/>
    </row>
    <row r="1434" spans="1:7">
      <c r="A1434" s="77">
        <f t="shared" ca="1" si="109"/>
        <v>45977</v>
      </c>
      <c r="B1434" s="80">
        <f t="shared" ca="1" si="110"/>
        <v>45977.408315277775</v>
      </c>
      <c r="C1434" s="76" t="s">
        <v>259</v>
      </c>
      <c r="D1434" s="76" t="s">
        <v>902</v>
      </c>
      <c r="E1434" s="79" t="s">
        <v>1581</v>
      </c>
      <c r="F1434" s="79"/>
    </row>
    <row r="1435" spans="1:7">
      <c r="A1435" s="77">
        <f t="shared" ca="1" si="109"/>
        <v>45977</v>
      </c>
      <c r="B1435" s="80">
        <f t="shared" ca="1" si="110"/>
        <v>45977.411617245372</v>
      </c>
      <c r="C1435" s="76" t="s">
        <v>259</v>
      </c>
      <c r="D1435" s="76" t="s">
        <v>902</v>
      </c>
      <c r="E1435" s="79" t="s">
        <v>1611</v>
      </c>
      <c r="F1435" s="79"/>
    </row>
    <row r="1436" spans="1:7">
      <c r="A1436" s="77">
        <f t="shared" ca="1" si="109"/>
        <v>45977</v>
      </c>
      <c r="B1436" s="80">
        <f t="shared" ca="1" si="110"/>
        <v>45977.413088078705</v>
      </c>
      <c r="C1436" s="76" t="s">
        <v>259</v>
      </c>
      <c r="D1436" s="76" t="s">
        <v>902</v>
      </c>
      <c r="E1436" s="79" t="s">
        <v>1612</v>
      </c>
      <c r="F1436" s="79"/>
    </row>
    <row r="1437" spans="1:7">
      <c r="A1437" s="77">
        <f t="shared" ca="1" si="109"/>
        <v>45977</v>
      </c>
      <c r="B1437" s="80">
        <f t="shared" ca="1" si="110"/>
        <v>45977.417355555554</v>
      </c>
      <c r="C1437" s="76" t="s">
        <v>259</v>
      </c>
      <c r="D1437" s="76" t="s">
        <v>902</v>
      </c>
      <c r="E1437" s="79"/>
      <c r="F1437" s="79"/>
      <c r="G1437" s="76" t="s">
        <v>1613</v>
      </c>
    </row>
    <row r="1438" spans="1:7">
      <c r="A1438" s="77">
        <f t="shared" ca="1" si="109"/>
        <v>45977</v>
      </c>
      <c r="B1438" s="80">
        <f t="shared" ca="1" si="110"/>
        <v>45977.423192824077</v>
      </c>
      <c r="C1438" s="76" t="s">
        <v>259</v>
      </c>
      <c r="D1438" s="76" t="s">
        <v>902</v>
      </c>
      <c r="E1438" s="79"/>
      <c r="F1438" s="79"/>
      <c r="G1438" s="76" t="s">
        <v>1614</v>
      </c>
    </row>
    <row r="1439" spans="1:7">
      <c r="A1439" s="77">
        <f t="shared" ca="1" si="109"/>
        <v>45977</v>
      </c>
      <c r="B1439" s="80">
        <f t="shared" ca="1" si="110"/>
        <v>45977.428114120368</v>
      </c>
      <c r="C1439" s="76" t="s">
        <v>259</v>
      </c>
      <c r="D1439" s="76" t="s">
        <v>902</v>
      </c>
      <c r="E1439" s="79" t="s">
        <v>1615</v>
      </c>
      <c r="F1439" s="79"/>
    </row>
    <row r="1440" spans="1:7">
      <c r="A1440" s="77">
        <f t="shared" ca="1" si="109"/>
        <v>45977</v>
      </c>
      <c r="B1440" s="80">
        <f t="shared" ca="1" si="110"/>
        <v>45977.434416666663</v>
      </c>
      <c r="C1440" s="76" t="s">
        <v>259</v>
      </c>
      <c r="D1440" s="76" t="s">
        <v>902</v>
      </c>
      <c r="E1440" s="79" t="s">
        <v>1616</v>
      </c>
      <c r="F1440" s="79"/>
    </row>
    <row r="1441" spans="1:7">
      <c r="A1441" s="77">
        <f t="shared" ca="1" si="109"/>
        <v>45977</v>
      </c>
      <c r="B1441" s="80">
        <f t="shared" ca="1" si="110"/>
        <v>45977.43799953704</v>
      </c>
      <c r="C1441" s="76" t="s">
        <v>259</v>
      </c>
      <c r="D1441" s="76" t="s">
        <v>902</v>
      </c>
      <c r="E1441" s="79" t="s">
        <v>1617</v>
      </c>
      <c r="F1441" s="79"/>
    </row>
    <row r="1442" spans="1:7">
      <c r="A1442" s="77">
        <f t="shared" ca="1" si="109"/>
        <v>45977</v>
      </c>
      <c r="B1442" s="80">
        <f t="shared" ca="1" si="110"/>
        <v>45977.440810416665</v>
      </c>
      <c r="C1442" s="76" t="s">
        <v>259</v>
      </c>
      <c r="D1442" s="76" t="s">
        <v>902</v>
      </c>
      <c r="E1442" s="79" t="s">
        <v>1026</v>
      </c>
      <c r="F1442" s="79"/>
    </row>
    <row r="1443" spans="1:7">
      <c r="A1443" s="77">
        <f t="shared" ca="1" si="109"/>
        <v>45977</v>
      </c>
      <c r="B1443" s="80">
        <f t="shared" ca="1" si="110"/>
        <v>45977.441317013887</v>
      </c>
      <c r="C1443" s="76" t="s">
        <v>259</v>
      </c>
      <c r="D1443" s="76" t="s">
        <v>902</v>
      </c>
      <c r="E1443" s="79" t="s">
        <v>1618</v>
      </c>
      <c r="F1443" s="79"/>
    </row>
    <row r="1444" spans="1:7">
      <c r="A1444" s="77">
        <f t="shared" ca="1" si="109"/>
        <v>45977</v>
      </c>
      <c r="B1444" s="80">
        <f t="shared" ca="1" si="110"/>
        <v>45977.453234490742</v>
      </c>
      <c r="C1444" s="76" t="s">
        <v>259</v>
      </c>
      <c r="D1444" s="76" t="s">
        <v>902</v>
      </c>
      <c r="E1444" s="79" t="s">
        <v>1619</v>
      </c>
      <c r="F1444" s="79"/>
    </row>
    <row r="1445" spans="1:7">
      <c r="A1445" s="77">
        <f t="shared" ca="1" si="109"/>
        <v>45977</v>
      </c>
      <c r="B1445" s="80">
        <f t="shared" ca="1" si="110"/>
        <v>45977.453579976849</v>
      </c>
      <c r="C1445" s="76" t="s">
        <v>259</v>
      </c>
      <c r="D1445" s="76" t="s">
        <v>902</v>
      </c>
      <c r="E1445" s="79" t="s">
        <v>1234</v>
      </c>
      <c r="F1445" s="79"/>
    </row>
    <row r="1446" spans="1:7">
      <c r="A1446" s="77">
        <f t="shared" ca="1" si="109"/>
        <v>45977</v>
      </c>
      <c r="B1446" s="80">
        <f t="shared" ca="1" si="110"/>
        <v>45977.454836226854</v>
      </c>
      <c r="C1446" s="76" t="s">
        <v>259</v>
      </c>
      <c r="D1446" s="76" t="s">
        <v>902</v>
      </c>
      <c r="E1446" s="79" t="s">
        <v>1026</v>
      </c>
      <c r="F1446" s="79"/>
    </row>
    <row r="1447" spans="1:7">
      <c r="A1447" s="77">
        <f t="shared" ca="1" si="109"/>
        <v>45977</v>
      </c>
      <c r="B1447" s="80">
        <f t="shared" ca="1" si="110"/>
        <v>45977.455487037034</v>
      </c>
      <c r="C1447" s="76" t="s">
        <v>259</v>
      </c>
      <c r="D1447" s="76" t="s">
        <v>902</v>
      </c>
      <c r="E1447" s="79" t="s">
        <v>1234</v>
      </c>
      <c r="F1447" s="79"/>
    </row>
    <row r="1448" spans="1:7">
      <c r="A1448" s="77">
        <f t="shared" ca="1" si="109"/>
        <v>45977</v>
      </c>
      <c r="B1448" s="80">
        <f t="shared" ca="1" si="110"/>
        <v>45977.465703935188</v>
      </c>
      <c r="C1448" s="76" t="s">
        <v>259</v>
      </c>
      <c r="D1448" s="76" t="s">
        <v>902</v>
      </c>
      <c r="E1448" s="79" t="s">
        <v>1234</v>
      </c>
      <c r="F1448" s="79"/>
    </row>
    <row r="1449" spans="1:7">
      <c r="A1449" s="77">
        <f t="shared" ca="1" si="109"/>
        <v>45977</v>
      </c>
      <c r="B1449" s="80">
        <f t="shared" ca="1" si="110"/>
        <v>45977.466625925925</v>
      </c>
      <c r="C1449" s="76" t="s">
        <v>259</v>
      </c>
      <c r="D1449" s="76" t="s">
        <v>902</v>
      </c>
      <c r="E1449" s="79" t="s">
        <v>1615</v>
      </c>
      <c r="F1449" s="79"/>
    </row>
    <row r="1450" spans="1:7">
      <c r="A1450" s="77">
        <f t="shared" ca="1" si="109"/>
        <v>45977</v>
      </c>
      <c r="B1450" s="80">
        <f t="shared" ca="1" si="110"/>
        <v>45977.470534722219</v>
      </c>
      <c r="C1450" s="76" t="s">
        <v>259</v>
      </c>
      <c r="D1450" s="76" t="s">
        <v>902</v>
      </c>
      <c r="E1450" s="79" t="s">
        <v>1620</v>
      </c>
      <c r="F1450" s="79"/>
    </row>
    <row r="1451" spans="1:7">
      <c r="A1451" s="77">
        <f t="shared" ca="1" si="109"/>
        <v>45977</v>
      </c>
      <c r="B1451" s="80">
        <f t="shared" ca="1" si="110"/>
        <v>45977.47342800926</v>
      </c>
      <c r="C1451" s="76" t="s">
        <v>259</v>
      </c>
      <c r="D1451" s="76" t="s">
        <v>902</v>
      </c>
      <c r="E1451" s="79" t="s">
        <v>1621</v>
      </c>
      <c r="F1451" s="79"/>
    </row>
    <row r="1452" spans="1:7">
      <c r="A1452" s="77">
        <f t="shared" ca="1" si="109"/>
        <v>45977</v>
      </c>
      <c r="B1452" s="80">
        <f t="shared" ca="1" si="110"/>
        <v>45977.474490972221</v>
      </c>
      <c r="C1452" s="76" t="s">
        <v>259</v>
      </c>
      <c r="D1452" s="76" t="s">
        <v>902</v>
      </c>
      <c r="E1452" s="79" t="s">
        <v>1622</v>
      </c>
      <c r="F1452" s="79"/>
    </row>
    <row r="1453" spans="1:7">
      <c r="A1453" s="77">
        <f t="shared" ca="1" si="109"/>
        <v>45977</v>
      </c>
      <c r="B1453" s="80">
        <f t="shared" ca="1" si="110"/>
        <v>45977.477719444447</v>
      </c>
      <c r="C1453" s="76" t="s">
        <v>259</v>
      </c>
      <c r="D1453" s="76" t="s">
        <v>902</v>
      </c>
      <c r="E1453" s="79" t="s">
        <v>1623</v>
      </c>
      <c r="F1453" s="79"/>
    </row>
    <row r="1454" spans="1:7">
      <c r="A1454" s="77">
        <f t="shared" ca="1" si="109"/>
        <v>45977</v>
      </c>
      <c r="B1454" s="80">
        <f t="shared" ca="1" si="110"/>
        <v>45977.480907060184</v>
      </c>
      <c r="C1454" s="76" t="s">
        <v>259</v>
      </c>
      <c r="D1454" s="76" t="s">
        <v>902</v>
      </c>
      <c r="E1454" s="79" t="s">
        <v>1026</v>
      </c>
      <c r="F1454" s="79"/>
    </row>
    <row r="1455" spans="1:7">
      <c r="A1455" s="77">
        <f t="shared" ca="1" si="109"/>
        <v>45977</v>
      </c>
      <c r="B1455" s="80">
        <f t="shared" ca="1" si="110"/>
        <v>45977.483403009261</v>
      </c>
      <c r="C1455" s="76" t="s">
        <v>259</v>
      </c>
      <c r="D1455" s="210" t="s">
        <v>922</v>
      </c>
      <c r="E1455" s="79"/>
      <c r="F1455" s="79"/>
      <c r="G1455" s="76" t="s">
        <v>1624</v>
      </c>
    </row>
    <row r="1456" spans="1:7">
      <c r="A1456" s="77">
        <f t="shared" ca="1" si="109"/>
        <v>45977</v>
      </c>
      <c r="B1456" s="80">
        <f t="shared" ref="B1456:B1459" ca="1" si="111">IF(C1456&lt;&gt;0,IF(B1456=0,NOW(),B1456),)</f>
        <v>45977.525768402775</v>
      </c>
      <c r="C1456" s="76" t="s">
        <v>262</v>
      </c>
      <c r="D1456" s="210" t="s">
        <v>906</v>
      </c>
      <c r="E1456" s="79"/>
      <c r="F1456" s="79"/>
      <c r="G1456" s="76" t="s">
        <v>1625</v>
      </c>
    </row>
    <row r="1457" spans="1:7">
      <c r="A1457" s="77">
        <f t="shared" ca="1" si="109"/>
        <v>45977</v>
      </c>
      <c r="B1457" s="80">
        <f t="shared" ca="1" si="111"/>
        <v>45977.534325231478</v>
      </c>
      <c r="C1457" s="76" t="s">
        <v>262</v>
      </c>
      <c r="D1457" s="210" t="s">
        <v>909</v>
      </c>
      <c r="E1457" s="79"/>
      <c r="F1457" s="79"/>
    </row>
    <row r="1458" spans="1:7">
      <c r="A1458" s="77">
        <f t="shared" ca="1" si="109"/>
        <v>45977</v>
      </c>
      <c r="B1458" s="80">
        <f t="shared" ca="1" si="111"/>
        <v>45977.540728009262</v>
      </c>
      <c r="C1458" s="76" t="s">
        <v>262</v>
      </c>
      <c r="D1458" s="76" t="s">
        <v>902</v>
      </c>
      <c r="E1458" s="79" t="s">
        <v>1626</v>
      </c>
      <c r="F1458" s="79"/>
    </row>
    <row r="1459" spans="1:7">
      <c r="A1459" s="77">
        <f t="shared" ca="1" si="109"/>
        <v>45977</v>
      </c>
      <c r="B1459" s="80">
        <f t="shared" ca="1" si="111"/>
        <v>45977.547963310186</v>
      </c>
      <c r="C1459" s="76" t="s">
        <v>262</v>
      </c>
      <c r="D1459" s="76" t="s">
        <v>902</v>
      </c>
      <c r="E1459" s="79" t="s">
        <v>1026</v>
      </c>
      <c r="F1459" s="79"/>
    </row>
    <row r="1460" spans="1:7">
      <c r="A1460" s="77">
        <f t="shared" ref="A1460:A1477" ca="1" si="112">IF(C1460&lt;&gt;0,IF(A1460=0,TODAY(),A1460),)</f>
        <v>45977</v>
      </c>
      <c r="B1460" s="80">
        <f t="shared" ref="B1460:B1477" ca="1" si="113">IF(C1460&lt;&gt;0,IF(B1460=0,NOW(),B1460),)</f>
        <v>45977.548511805559</v>
      </c>
      <c r="C1460" s="76" t="s">
        <v>262</v>
      </c>
      <c r="D1460" s="76" t="s">
        <v>902</v>
      </c>
      <c r="E1460" s="79" t="s">
        <v>1627</v>
      </c>
      <c r="F1460" s="79"/>
    </row>
    <row r="1461" spans="1:7">
      <c r="A1461" s="77">
        <f t="shared" ca="1" si="112"/>
        <v>45977</v>
      </c>
      <c r="B1461" s="80">
        <f t="shared" ca="1" si="113"/>
        <v>45977.549949305554</v>
      </c>
      <c r="C1461" s="76" t="s">
        <v>262</v>
      </c>
      <c r="D1461" s="76" t="s">
        <v>902</v>
      </c>
      <c r="E1461" s="79" t="s">
        <v>1628</v>
      </c>
      <c r="F1461" s="79"/>
    </row>
    <row r="1462" spans="1:7">
      <c r="A1462" s="77">
        <f t="shared" ca="1" si="112"/>
        <v>45977</v>
      </c>
      <c r="B1462" s="80">
        <f t="shared" ca="1" si="113"/>
        <v>45977.553712037035</v>
      </c>
      <c r="C1462" s="76" t="s">
        <v>262</v>
      </c>
      <c r="D1462" s="76" t="s">
        <v>902</v>
      </c>
      <c r="E1462" s="79" t="s">
        <v>1629</v>
      </c>
      <c r="F1462" s="79"/>
    </row>
    <row r="1463" spans="1:7">
      <c r="A1463" s="77">
        <f t="shared" ca="1" si="112"/>
        <v>45977</v>
      </c>
      <c r="B1463" s="80">
        <f t="shared" ca="1" si="113"/>
        <v>45977.5630662037</v>
      </c>
      <c r="C1463" s="76" t="s">
        <v>262</v>
      </c>
      <c r="D1463" s="76" t="s">
        <v>902</v>
      </c>
      <c r="E1463" s="79" t="s">
        <v>1148</v>
      </c>
      <c r="F1463" s="79"/>
    </row>
    <row r="1464" spans="1:7">
      <c r="A1464" s="77">
        <f t="shared" ca="1" si="112"/>
        <v>45977</v>
      </c>
      <c r="B1464" s="80">
        <f t="shared" ca="1" si="113"/>
        <v>45977.563401736108</v>
      </c>
      <c r="C1464" s="76" t="s">
        <v>262</v>
      </c>
      <c r="D1464" s="76" t="s">
        <v>902</v>
      </c>
      <c r="E1464" s="79" t="s">
        <v>1234</v>
      </c>
      <c r="F1464" s="79"/>
    </row>
    <row r="1465" spans="1:7">
      <c r="A1465" s="77">
        <f t="shared" ca="1" si="112"/>
        <v>45977</v>
      </c>
      <c r="B1465" s="80">
        <f t="shared" ca="1" si="113"/>
        <v>45977.565345254632</v>
      </c>
      <c r="C1465" s="76" t="s">
        <v>262</v>
      </c>
      <c r="D1465" s="76" t="s">
        <v>902</v>
      </c>
      <c r="E1465" s="79" t="s">
        <v>1234</v>
      </c>
      <c r="F1465" s="79"/>
    </row>
    <row r="1466" spans="1:7">
      <c r="A1466" s="77">
        <f t="shared" ca="1" si="112"/>
        <v>45977</v>
      </c>
      <c r="B1466" s="80">
        <f t="shared" ca="1" si="113"/>
        <v>45977.572037615741</v>
      </c>
      <c r="C1466" s="76" t="s">
        <v>262</v>
      </c>
      <c r="D1466" s="76" t="s">
        <v>902</v>
      </c>
      <c r="E1466" s="79"/>
      <c r="F1466" s="79"/>
    </row>
    <row r="1467" spans="1:7">
      <c r="A1467" s="77">
        <f t="shared" ca="1" si="112"/>
        <v>45977</v>
      </c>
      <c r="B1467" s="80">
        <f t="shared" ca="1" si="113"/>
        <v>45977.575643402779</v>
      </c>
      <c r="C1467" s="76" t="s">
        <v>262</v>
      </c>
      <c r="D1467" s="76" t="s">
        <v>902</v>
      </c>
      <c r="E1467" s="79" t="s">
        <v>1630</v>
      </c>
      <c r="F1467" s="79"/>
    </row>
    <row r="1468" spans="1:7">
      <c r="A1468" s="77">
        <f t="shared" ca="1" si="112"/>
        <v>45977</v>
      </c>
      <c r="B1468" s="80">
        <f t="shared" ca="1" si="113"/>
        <v>45977.582706712965</v>
      </c>
      <c r="C1468" s="76" t="s">
        <v>262</v>
      </c>
      <c r="D1468" s="76" t="s">
        <v>902</v>
      </c>
      <c r="E1468" s="79" t="s">
        <v>1631</v>
      </c>
      <c r="F1468" s="79"/>
    </row>
    <row r="1469" spans="1:7">
      <c r="A1469" s="77">
        <f t="shared" ca="1" si="112"/>
        <v>45977</v>
      </c>
      <c r="B1469" s="80">
        <f t="shared" ca="1" si="113"/>
        <v>45977.583234375001</v>
      </c>
      <c r="C1469" s="76" t="s">
        <v>262</v>
      </c>
      <c r="D1469" s="76" t="s">
        <v>902</v>
      </c>
      <c r="E1469" s="79" t="s">
        <v>1631</v>
      </c>
      <c r="F1469" s="79"/>
    </row>
    <row r="1470" spans="1:7">
      <c r="A1470" s="77">
        <f t="shared" ca="1" si="112"/>
        <v>45977</v>
      </c>
      <c r="B1470" s="80">
        <f t="shared" ca="1" si="113"/>
        <v>45977.589619675928</v>
      </c>
      <c r="C1470" s="76" t="s">
        <v>262</v>
      </c>
      <c r="D1470" s="150" t="s">
        <v>1007</v>
      </c>
      <c r="E1470" s="79" t="s">
        <v>1169</v>
      </c>
      <c r="F1470" s="79"/>
      <c r="G1470" s="76" t="s">
        <v>1632</v>
      </c>
    </row>
    <row r="1471" spans="1:7">
      <c r="A1471" s="77">
        <f t="shared" ca="1" si="112"/>
        <v>45977</v>
      </c>
      <c r="B1471" s="80">
        <f t="shared" ca="1" si="113"/>
        <v>45977.593435648145</v>
      </c>
      <c r="C1471" s="76" t="s">
        <v>262</v>
      </c>
      <c r="D1471" s="76" t="s">
        <v>902</v>
      </c>
      <c r="E1471" s="79" t="s">
        <v>1026</v>
      </c>
      <c r="F1471" s="79"/>
    </row>
    <row r="1472" spans="1:7">
      <c r="A1472" s="77">
        <f t="shared" ca="1" si="112"/>
        <v>45977</v>
      </c>
      <c r="B1472" s="80">
        <f t="shared" ca="1" si="113"/>
        <v>45977.593951041665</v>
      </c>
      <c r="C1472" s="76" t="s">
        <v>262</v>
      </c>
      <c r="D1472" s="76" t="s">
        <v>902</v>
      </c>
      <c r="E1472" s="79" t="s">
        <v>1631</v>
      </c>
      <c r="F1472" s="79"/>
    </row>
    <row r="1473" spans="1:7">
      <c r="A1473" s="77">
        <f t="shared" ca="1" si="112"/>
        <v>45977</v>
      </c>
      <c r="B1473" s="80">
        <f t="shared" ca="1" si="113"/>
        <v>45977.599572569445</v>
      </c>
      <c r="C1473" s="76" t="s">
        <v>262</v>
      </c>
      <c r="D1473" s="76" t="s">
        <v>902</v>
      </c>
      <c r="E1473" s="79" t="s">
        <v>1234</v>
      </c>
      <c r="F1473" s="79"/>
    </row>
    <row r="1474" spans="1:7">
      <c r="A1474" s="77">
        <f t="shared" ca="1" si="112"/>
        <v>45977</v>
      </c>
      <c r="B1474" s="80">
        <f t="shared" ca="1" si="113"/>
        <v>45977.60041712963</v>
      </c>
      <c r="C1474" s="76" t="s">
        <v>262</v>
      </c>
      <c r="D1474" s="76" t="s">
        <v>902</v>
      </c>
      <c r="E1474" s="79" t="s">
        <v>1026</v>
      </c>
      <c r="F1474" s="79"/>
    </row>
    <row r="1475" spans="1:7">
      <c r="A1475" s="77">
        <f t="shared" ca="1" si="112"/>
        <v>45977</v>
      </c>
      <c r="B1475" s="80">
        <f t="shared" ca="1" si="113"/>
        <v>45977.60331377315</v>
      </c>
      <c r="C1475" s="76" t="s">
        <v>262</v>
      </c>
      <c r="D1475" s="76" t="s">
        <v>902</v>
      </c>
      <c r="E1475" s="79" t="s">
        <v>1209</v>
      </c>
      <c r="F1475" s="79"/>
    </row>
    <row r="1476" spans="1:7">
      <c r="A1476" s="77">
        <f t="shared" ca="1" si="112"/>
        <v>45977</v>
      </c>
      <c r="B1476" s="80">
        <f t="shared" ca="1" si="113"/>
        <v>45977.606178587965</v>
      </c>
      <c r="C1476" s="76" t="s">
        <v>262</v>
      </c>
      <c r="D1476" s="76" t="s">
        <v>902</v>
      </c>
      <c r="E1476" s="79" t="s">
        <v>1148</v>
      </c>
      <c r="F1476" s="79"/>
    </row>
    <row r="1477" spans="1:7">
      <c r="A1477" s="77">
        <f t="shared" ca="1" si="112"/>
        <v>45977</v>
      </c>
      <c r="B1477" s="80">
        <f t="shared" ca="1" si="113"/>
        <v>45977.615326967592</v>
      </c>
      <c r="C1477" s="76" t="s">
        <v>262</v>
      </c>
      <c r="D1477" s="76" t="s">
        <v>902</v>
      </c>
      <c r="E1477" s="79" t="s">
        <v>1633</v>
      </c>
      <c r="F1477" s="79"/>
    </row>
    <row r="1478" spans="1:7">
      <c r="A1478" s="77">
        <f t="shared" ref="A1478:A1494" ca="1" si="114">IF(C1478&lt;&gt;0,IF(A1478=0,TODAY(),A1478),)</f>
        <v>45977</v>
      </c>
      <c r="B1478" s="80">
        <f t="shared" ref="B1478:B1494" ca="1" si="115">IF(C1478&lt;&gt;0,IF(B1478=0,NOW(),B1478),)</f>
        <v>45977.622104050926</v>
      </c>
      <c r="C1478" s="76" t="s">
        <v>262</v>
      </c>
      <c r="D1478" s="76" t="s">
        <v>902</v>
      </c>
      <c r="E1478" s="79"/>
      <c r="F1478" s="79"/>
      <c r="G1478" s="76" t="s">
        <v>1634</v>
      </c>
    </row>
    <row r="1479" spans="1:7">
      <c r="A1479" s="77">
        <f t="shared" ca="1" si="114"/>
        <v>45977</v>
      </c>
      <c r="B1479" s="80">
        <f t="shared" ca="1" si="115"/>
        <v>45977.630531712966</v>
      </c>
      <c r="C1479" s="76" t="s">
        <v>262</v>
      </c>
      <c r="D1479" s="76" t="s">
        <v>902</v>
      </c>
      <c r="E1479" s="79" t="s">
        <v>1635</v>
      </c>
      <c r="F1479" s="79"/>
    </row>
    <row r="1480" spans="1:7">
      <c r="A1480" s="77">
        <f t="shared" ca="1" si="114"/>
        <v>45977</v>
      </c>
      <c r="B1480" s="80">
        <f t="shared" ca="1" si="115"/>
        <v>45977.630923611112</v>
      </c>
      <c r="C1480" s="76" t="s">
        <v>262</v>
      </c>
      <c r="D1480" s="76" t="s">
        <v>902</v>
      </c>
      <c r="E1480" s="79" t="s">
        <v>1636</v>
      </c>
      <c r="F1480" s="79"/>
    </row>
    <row r="1481" spans="1:7">
      <c r="A1481" s="77">
        <f t="shared" ca="1" si="114"/>
        <v>45977</v>
      </c>
      <c r="B1481" s="80">
        <f t="shared" ca="1" si="115"/>
        <v>45977.645073726853</v>
      </c>
      <c r="C1481" s="76" t="s">
        <v>262</v>
      </c>
      <c r="D1481" s="76" t="s">
        <v>902</v>
      </c>
      <c r="E1481" s="79" t="s">
        <v>1229</v>
      </c>
      <c r="F1481" s="79"/>
    </row>
    <row r="1482" spans="1:7" ht="30">
      <c r="A1482" s="77">
        <f t="shared" ca="1" si="114"/>
        <v>45977</v>
      </c>
      <c r="B1482" s="80">
        <f t="shared" ca="1" si="115"/>
        <v>45977.645666319448</v>
      </c>
      <c r="C1482" s="76" t="s">
        <v>262</v>
      </c>
      <c r="D1482" s="76" t="s">
        <v>902</v>
      </c>
      <c r="E1482" s="79"/>
      <c r="F1482" s="79"/>
      <c r="G1482" s="76" t="s">
        <v>1637</v>
      </c>
    </row>
    <row r="1483" spans="1:7">
      <c r="A1483" s="77">
        <f t="shared" ca="1" si="114"/>
        <v>45977</v>
      </c>
      <c r="B1483" s="80">
        <f t="shared" ca="1" si="115"/>
        <v>45977.652635879633</v>
      </c>
      <c r="C1483" s="76" t="s">
        <v>262</v>
      </c>
      <c r="D1483" s="76" t="s">
        <v>902</v>
      </c>
      <c r="E1483" s="79"/>
      <c r="F1483" s="79"/>
      <c r="G1483" s="76" t="s">
        <v>1638</v>
      </c>
    </row>
    <row r="1484" spans="1:7">
      <c r="A1484" s="77">
        <f t="shared" ca="1" si="114"/>
        <v>45977</v>
      </c>
      <c r="B1484" s="80">
        <f t="shared" ca="1" si="115"/>
        <v>45977.675338425928</v>
      </c>
      <c r="C1484" s="76" t="s">
        <v>262</v>
      </c>
      <c r="D1484" s="76" t="s">
        <v>902</v>
      </c>
      <c r="E1484" s="79"/>
      <c r="F1484" s="79"/>
      <c r="G1484" s="76" t="s">
        <v>1639</v>
      </c>
    </row>
    <row r="1485" spans="1:7">
      <c r="A1485" s="77">
        <f t="shared" ca="1" si="114"/>
        <v>45977</v>
      </c>
      <c r="B1485" s="80">
        <f t="shared" ca="1" si="115"/>
        <v>45977.679158333332</v>
      </c>
      <c r="C1485" s="76" t="s">
        <v>262</v>
      </c>
      <c r="D1485" s="76" t="s">
        <v>902</v>
      </c>
      <c r="E1485" s="79" t="s">
        <v>1234</v>
      </c>
      <c r="F1485" s="79"/>
    </row>
    <row r="1486" spans="1:7">
      <c r="A1486" s="77">
        <f t="shared" ca="1" si="114"/>
        <v>45977</v>
      </c>
      <c r="B1486" s="80">
        <f t="shared" ca="1" si="115"/>
        <v>45977.681067129626</v>
      </c>
      <c r="C1486" s="76" t="s">
        <v>262</v>
      </c>
      <c r="D1486" s="76" t="s">
        <v>902</v>
      </c>
      <c r="E1486" s="79" t="s">
        <v>1640</v>
      </c>
      <c r="F1486" s="79"/>
    </row>
    <row r="1487" spans="1:7">
      <c r="A1487" s="77">
        <f t="shared" ca="1" si="114"/>
        <v>45977</v>
      </c>
      <c r="B1487" s="80">
        <f t="shared" ca="1" si="115"/>
        <v>45977.683995254629</v>
      </c>
      <c r="C1487" s="76" t="s">
        <v>262</v>
      </c>
      <c r="D1487" s="210" t="s">
        <v>922</v>
      </c>
      <c r="E1487" s="79"/>
      <c r="F1487" s="79"/>
      <c r="G1487" s="76" t="s">
        <v>1641</v>
      </c>
    </row>
    <row r="1488" spans="1:7">
      <c r="A1488" s="77">
        <f t="shared" ca="1" si="114"/>
        <v>45977</v>
      </c>
      <c r="B1488" s="80">
        <f t="shared" ca="1" si="115"/>
        <v>45977.690394097219</v>
      </c>
      <c r="C1488" s="76" t="s">
        <v>262</v>
      </c>
      <c r="D1488" s="210" t="s">
        <v>1098</v>
      </c>
      <c r="E1488" s="79"/>
      <c r="F1488" s="79"/>
      <c r="G1488" s="76" t="s">
        <v>1642</v>
      </c>
    </row>
    <row r="1489" spans="1:7">
      <c r="A1489" s="77">
        <f t="shared" ca="1" si="114"/>
        <v>45977</v>
      </c>
      <c r="B1489" s="80">
        <f t="shared" ca="1" si="115"/>
        <v>45977.716832638886</v>
      </c>
      <c r="C1489" s="76" t="s">
        <v>265</v>
      </c>
      <c r="D1489" s="210" t="s">
        <v>906</v>
      </c>
      <c r="E1489" s="79"/>
      <c r="F1489" s="79"/>
    </row>
    <row r="1490" spans="1:7">
      <c r="A1490" s="77">
        <f t="shared" ca="1" si="114"/>
        <v>45977</v>
      </c>
      <c r="B1490" s="80">
        <f t="shared" ca="1" si="115"/>
        <v>45977.722933912039</v>
      </c>
      <c r="C1490" s="76" t="s">
        <v>265</v>
      </c>
      <c r="D1490" s="210" t="s">
        <v>909</v>
      </c>
      <c r="E1490" s="79"/>
      <c r="F1490" s="79"/>
    </row>
    <row r="1491" spans="1:7">
      <c r="A1491" s="77">
        <f t="shared" ca="1" si="114"/>
        <v>45977</v>
      </c>
      <c r="B1491" s="80">
        <f t="shared" ca="1" si="115"/>
        <v>45977.724704282409</v>
      </c>
      <c r="C1491" s="76" t="s">
        <v>265</v>
      </c>
      <c r="D1491" s="76" t="s">
        <v>902</v>
      </c>
      <c r="E1491" s="79" t="s">
        <v>1643</v>
      </c>
      <c r="F1491" s="79"/>
    </row>
    <row r="1492" spans="1:7">
      <c r="A1492" s="77">
        <f t="shared" ca="1" si="114"/>
        <v>45977</v>
      </c>
      <c r="B1492" s="80">
        <f t="shared" ca="1" si="115"/>
        <v>45977.726012384257</v>
      </c>
      <c r="C1492" s="76" t="s">
        <v>265</v>
      </c>
      <c r="D1492" s="76" t="s">
        <v>902</v>
      </c>
      <c r="E1492" s="79" t="s">
        <v>1640</v>
      </c>
      <c r="F1492" s="79"/>
    </row>
    <row r="1493" spans="1:7">
      <c r="A1493" s="77">
        <f t="shared" ca="1" si="114"/>
        <v>45977</v>
      </c>
      <c r="B1493" s="80">
        <f t="shared" ca="1" si="115"/>
        <v>45977.726833680557</v>
      </c>
      <c r="C1493" s="76" t="s">
        <v>265</v>
      </c>
      <c r="D1493" s="76" t="s">
        <v>902</v>
      </c>
      <c r="E1493" s="79" t="s">
        <v>961</v>
      </c>
      <c r="F1493" s="79"/>
    </row>
    <row r="1494" spans="1:7">
      <c r="A1494" s="77">
        <f t="shared" ca="1" si="114"/>
        <v>45977</v>
      </c>
      <c r="B1494" s="80">
        <f t="shared" ca="1" si="115"/>
        <v>45977.727778819448</v>
      </c>
      <c r="C1494" s="76" t="s">
        <v>265</v>
      </c>
      <c r="D1494" s="76" t="s">
        <v>902</v>
      </c>
      <c r="E1494" s="79" t="s">
        <v>1644</v>
      </c>
      <c r="F1494" s="79"/>
    </row>
    <row r="1495" spans="1:7">
      <c r="A1495" s="77">
        <f t="shared" ref="A1495:A1517" ca="1" si="116">IF(C1495&lt;&gt;0,IF(A1495=0,TODAY(),A1495),)</f>
        <v>45977</v>
      </c>
      <c r="B1495" s="80">
        <f t="shared" ref="B1495:B1517" ca="1" si="117">IF(C1495&lt;&gt;0,IF(B1495=0,NOW(),B1495),)</f>
        <v>45977.728051388891</v>
      </c>
      <c r="C1495" s="76" t="s">
        <v>265</v>
      </c>
      <c r="D1495" s="76" t="s">
        <v>902</v>
      </c>
      <c r="E1495" s="79" t="s">
        <v>1645</v>
      </c>
      <c r="F1495" s="79"/>
    </row>
    <row r="1496" spans="1:7">
      <c r="A1496" s="77">
        <f t="shared" ca="1" si="116"/>
        <v>45977</v>
      </c>
      <c r="B1496" s="80">
        <f t="shared" ca="1" si="117"/>
        <v>45977.731503124996</v>
      </c>
      <c r="C1496" s="76" t="s">
        <v>265</v>
      </c>
      <c r="D1496" s="76" t="s">
        <v>902</v>
      </c>
      <c r="E1496" s="79" t="s">
        <v>1646</v>
      </c>
      <c r="F1496" s="79"/>
    </row>
    <row r="1497" spans="1:7">
      <c r="A1497" s="77">
        <f t="shared" ca="1" si="116"/>
        <v>45977</v>
      </c>
      <c r="B1497" s="80">
        <f t="shared" ca="1" si="117"/>
        <v>45977.731657060183</v>
      </c>
      <c r="C1497" s="76" t="s">
        <v>265</v>
      </c>
      <c r="D1497" s="76" t="s">
        <v>902</v>
      </c>
      <c r="E1497" s="79" t="s">
        <v>1647</v>
      </c>
      <c r="F1497" s="79"/>
      <c r="G1497" s="76" t="s">
        <v>1648</v>
      </c>
    </row>
    <row r="1498" spans="1:7">
      <c r="A1498" s="77">
        <f t="shared" ca="1" si="116"/>
        <v>45977</v>
      </c>
      <c r="B1498" s="80">
        <f t="shared" ca="1" si="117"/>
        <v>45977.732493171294</v>
      </c>
      <c r="C1498" s="76" t="s">
        <v>265</v>
      </c>
      <c r="D1498" s="76" t="s">
        <v>902</v>
      </c>
      <c r="E1498" s="79" t="s">
        <v>1644</v>
      </c>
      <c r="F1498" s="79"/>
    </row>
    <row r="1499" spans="1:7">
      <c r="A1499" s="77">
        <f t="shared" ca="1" si="116"/>
        <v>45977</v>
      </c>
      <c r="B1499" s="80">
        <f t="shared" ca="1" si="117"/>
        <v>45977.741874652776</v>
      </c>
      <c r="C1499" s="76" t="s">
        <v>265</v>
      </c>
      <c r="D1499" s="76" t="s">
        <v>902</v>
      </c>
      <c r="E1499" s="79" t="s">
        <v>1649</v>
      </c>
      <c r="F1499" s="79"/>
    </row>
    <row r="1500" spans="1:7">
      <c r="A1500" s="77">
        <f t="shared" ca="1" si="116"/>
        <v>45977</v>
      </c>
      <c r="B1500" s="80">
        <f t="shared" ca="1" si="117"/>
        <v>45977.742915162038</v>
      </c>
      <c r="C1500" s="76" t="s">
        <v>265</v>
      </c>
      <c r="D1500" s="76" t="s">
        <v>902</v>
      </c>
      <c r="E1500" s="79" t="s">
        <v>1645</v>
      </c>
      <c r="F1500" s="79"/>
    </row>
    <row r="1501" spans="1:7">
      <c r="A1501" s="77">
        <f t="shared" ca="1" si="116"/>
        <v>45977</v>
      </c>
      <c r="B1501" s="80">
        <f t="shared" ca="1" si="117"/>
        <v>45977.744092824076</v>
      </c>
      <c r="C1501" s="76" t="s">
        <v>265</v>
      </c>
      <c r="D1501" s="76" t="s">
        <v>902</v>
      </c>
      <c r="E1501" s="79" t="s">
        <v>1650</v>
      </c>
      <c r="F1501" s="79"/>
    </row>
    <row r="1502" spans="1:7">
      <c r="A1502" s="77">
        <f t="shared" ca="1" si="116"/>
        <v>45977</v>
      </c>
      <c r="B1502" s="80">
        <f t="shared" ca="1" si="117"/>
        <v>45977.745378472224</v>
      </c>
      <c r="C1502" s="76" t="s">
        <v>265</v>
      </c>
      <c r="D1502" s="76" t="s">
        <v>902</v>
      </c>
      <c r="E1502" s="79" t="s">
        <v>1646</v>
      </c>
      <c r="F1502" s="79"/>
    </row>
    <row r="1503" spans="1:7">
      <c r="A1503" s="77">
        <f t="shared" ca="1" si="116"/>
        <v>45977</v>
      </c>
      <c r="B1503" s="80">
        <f t="shared" ca="1" si="117"/>
        <v>45977.749832175927</v>
      </c>
      <c r="C1503" s="76" t="s">
        <v>265</v>
      </c>
      <c r="D1503" s="76" t="s">
        <v>902</v>
      </c>
      <c r="E1503" s="79" t="s">
        <v>911</v>
      </c>
      <c r="F1503" s="79"/>
      <c r="G1503" s="76" t="s">
        <v>911</v>
      </c>
    </row>
    <row r="1504" spans="1:7">
      <c r="A1504" s="77">
        <f t="shared" ca="1" si="116"/>
        <v>45977</v>
      </c>
      <c r="B1504" s="80">
        <f t="shared" ca="1" si="117"/>
        <v>45977.753698379631</v>
      </c>
      <c r="C1504" s="76" t="s">
        <v>265</v>
      </c>
      <c r="D1504" s="76" t="s">
        <v>902</v>
      </c>
      <c r="E1504" s="79" t="s">
        <v>1034</v>
      </c>
      <c r="F1504" s="79"/>
    </row>
    <row r="1505" spans="1:7">
      <c r="A1505" s="77">
        <f t="shared" ca="1" si="116"/>
        <v>45977</v>
      </c>
      <c r="B1505" s="80">
        <f t="shared" ca="1" si="117"/>
        <v>45977.753935416666</v>
      </c>
      <c r="C1505" s="76" t="s">
        <v>265</v>
      </c>
      <c r="D1505" s="76" t="s">
        <v>902</v>
      </c>
      <c r="E1505" s="79" t="s">
        <v>1651</v>
      </c>
      <c r="F1505" s="79"/>
    </row>
    <row r="1506" spans="1:7">
      <c r="A1506" s="77">
        <f t="shared" ca="1" si="116"/>
        <v>45977</v>
      </c>
      <c r="B1506" s="80">
        <f t="shared" ca="1" si="117"/>
        <v>45977.761042361111</v>
      </c>
      <c r="C1506" s="76" t="s">
        <v>265</v>
      </c>
      <c r="D1506" s="76" t="s">
        <v>902</v>
      </c>
      <c r="E1506" s="79"/>
      <c r="F1506" s="79"/>
      <c r="G1506" s="76" t="s">
        <v>1652</v>
      </c>
    </row>
    <row r="1507" spans="1:7">
      <c r="A1507" s="77">
        <f t="shared" ca="1" si="116"/>
        <v>45977</v>
      </c>
      <c r="B1507" s="80">
        <f t="shared" ca="1" si="117"/>
        <v>45977.762482060185</v>
      </c>
      <c r="C1507" s="76" t="s">
        <v>265</v>
      </c>
      <c r="D1507" s="76" t="s">
        <v>902</v>
      </c>
      <c r="E1507" s="79" t="s">
        <v>1653</v>
      </c>
      <c r="F1507" s="79"/>
    </row>
    <row r="1508" spans="1:7">
      <c r="A1508" s="77">
        <f t="shared" ca="1" si="116"/>
        <v>45977</v>
      </c>
      <c r="B1508" s="80">
        <f t="shared" ca="1" si="117"/>
        <v>45977.763695023146</v>
      </c>
      <c r="C1508" s="76" t="s">
        <v>265</v>
      </c>
      <c r="D1508" s="76" t="s">
        <v>902</v>
      </c>
      <c r="E1508" s="79" t="s">
        <v>1653</v>
      </c>
      <c r="F1508" s="79"/>
    </row>
    <row r="1509" spans="1:7">
      <c r="A1509" s="77">
        <f t="shared" ca="1" si="116"/>
        <v>45977</v>
      </c>
      <c r="B1509" s="80">
        <f t="shared" ca="1" si="117"/>
        <v>45977.769170949075</v>
      </c>
      <c r="C1509" s="76" t="s">
        <v>265</v>
      </c>
      <c r="D1509" s="76" t="s">
        <v>902</v>
      </c>
      <c r="E1509" s="79"/>
      <c r="F1509" s="79"/>
      <c r="G1509" s="76" t="s">
        <v>1654</v>
      </c>
    </row>
    <row r="1510" spans="1:7">
      <c r="A1510" s="77">
        <f t="shared" ca="1" si="116"/>
        <v>45977</v>
      </c>
      <c r="B1510" s="80">
        <f t="shared" ca="1" si="117"/>
        <v>45977.770495370372</v>
      </c>
      <c r="C1510" s="76" t="s">
        <v>265</v>
      </c>
      <c r="D1510" s="76" t="s">
        <v>902</v>
      </c>
      <c r="E1510" s="79" t="s">
        <v>1436</v>
      </c>
      <c r="F1510" s="79"/>
    </row>
    <row r="1511" spans="1:7">
      <c r="A1511" s="77">
        <f t="shared" ca="1" si="116"/>
        <v>45977</v>
      </c>
      <c r="B1511" s="80">
        <f t="shared" ca="1" si="117"/>
        <v>45977.771472800923</v>
      </c>
      <c r="C1511" s="76" t="s">
        <v>265</v>
      </c>
      <c r="D1511" s="76" t="s">
        <v>902</v>
      </c>
      <c r="E1511" s="79"/>
      <c r="F1511" s="79"/>
      <c r="G1511" s="76" t="s">
        <v>1654</v>
      </c>
    </row>
    <row r="1512" spans="1:7">
      <c r="A1512" s="77">
        <f t="shared" ca="1" si="116"/>
        <v>45977</v>
      </c>
      <c r="B1512" s="80">
        <f t="shared" ca="1" si="117"/>
        <v>45977.771624537039</v>
      </c>
      <c r="C1512" s="76" t="s">
        <v>265</v>
      </c>
      <c r="D1512" s="76" t="s">
        <v>902</v>
      </c>
      <c r="E1512" s="79" t="s">
        <v>1508</v>
      </c>
      <c r="F1512" s="79"/>
      <c r="G1512" s="76" t="s">
        <v>1655</v>
      </c>
    </row>
    <row r="1513" spans="1:7">
      <c r="A1513" s="77">
        <f t="shared" ca="1" si="116"/>
        <v>45977</v>
      </c>
      <c r="B1513" s="80">
        <f t="shared" ca="1" si="117"/>
        <v>45977.775355324076</v>
      </c>
      <c r="C1513" s="76" t="s">
        <v>265</v>
      </c>
      <c r="D1513" s="76" t="s">
        <v>902</v>
      </c>
      <c r="E1513" s="79" t="s">
        <v>1656</v>
      </c>
      <c r="F1513" s="79"/>
    </row>
    <row r="1514" spans="1:7">
      <c r="A1514" s="77">
        <f t="shared" ca="1" si="116"/>
        <v>45977</v>
      </c>
      <c r="B1514" s="80">
        <f t="shared" ca="1" si="117"/>
        <v>45977.777732060182</v>
      </c>
      <c r="C1514" s="76" t="s">
        <v>265</v>
      </c>
      <c r="D1514" s="76" t="s">
        <v>902</v>
      </c>
      <c r="E1514" s="79" t="s">
        <v>1026</v>
      </c>
      <c r="F1514" s="79"/>
    </row>
    <row r="1515" spans="1:7">
      <c r="A1515" s="77">
        <f t="shared" ca="1" si="116"/>
        <v>45977</v>
      </c>
      <c r="B1515" s="80">
        <f t="shared" ca="1" si="117"/>
        <v>45977.778753472223</v>
      </c>
      <c r="C1515" s="76" t="s">
        <v>265</v>
      </c>
      <c r="D1515" s="76" t="s">
        <v>902</v>
      </c>
      <c r="E1515" s="79" t="s">
        <v>1657</v>
      </c>
      <c r="F1515" s="79"/>
    </row>
    <row r="1516" spans="1:7">
      <c r="A1516" s="77">
        <f t="shared" ca="1" si="116"/>
        <v>45977</v>
      </c>
      <c r="B1516" s="80">
        <f t="shared" ca="1" si="117"/>
        <v>45977.77965034722</v>
      </c>
      <c r="C1516" s="76" t="s">
        <v>265</v>
      </c>
      <c r="D1516" s="76" t="s">
        <v>902</v>
      </c>
      <c r="E1516" s="79"/>
      <c r="F1516" s="79"/>
      <c r="G1516" s="76" t="s">
        <v>1658</v>
      </c>
    </row>
    <row r="1517" spans="1:7">
      <c r="A1517" s="77">
        <f t="shared" ca="1" si="116"/>
        <v>45977</v>
      </c>
      <c r="B1517" s="80">
        <f t="shared" ca="1" si="117"/>
        <v>45977.779927546297</v>
      </c>
      <c r="C1517" s="76" t="s">
        <v>265</v>
      </c>
      <c r="D1517" s="76" t="s">
        <v>902</v>
      </c>
      <c r="E1517" s="79" t="s">
        <v>1148</v>
      </c>
      <c r="F1517" s="79"/>
    </row>
    <row r="1518" spans="1:7">
      <c r="A1518" s="77">
        <f t="shared" ref="A1518:A1540" ca="1" si="118">IF(C1518&lt;&gt;0,IF(A1518=0,TODAY(),A1518),)</f>
        <v>45977</v>
      </c>
      <c r="B1518" s="80">
        <f t="shared" ref="B1518:B1540" ca="1" si="119">IF(C1518&lt;&gt;0,IF(B1518=0,NOW(),B1518),)</f>
        <v>45977.781802083337</v>
      </c>
      <c r="C1518" s="76" t="s">
        <v>265</v>
      </c>
      <c r="D1518" s="76" t="s">
        <v>902</v>
      </c>
      <c r="E1518" s="79" t="s">
        <v>1508</v>
      </c>
      <c r="F1518" s="79"/>
      <c r="G1518" s="76" t="s">
        <v>1659</v>
      </c>
    </row>
    <row r="1519" spans="1:7">
      <c r="A1519" s="77">
        <f t="shared" ca="1" si="118"/>
        <v>45977</v>
      </c>
      <c r="B1519" s="80">
        <f t="shared" ca="1" si="119"/>
        <v>45977.782343981482</v>
      </c>
      <c r="C1519" s="76" t="s">
        <v>265</v>
      </c>
      <c r="D1519" s="76" t="s">
        <v>902</v>
      </c>
      <c r="E1519" s="79" t="s">
        <v>1121</v>
      </c>
      <c r="F1519" s="79"/>
    </row>
    <row r="1520" spans="1:7">
      <c r="A1520" s="77">
        <f t="shared" ca="1" si="118"/>
        <v>45977</v>
      </c>
      <c r="B1520" s="80">
        <f t="shared" ca="1" si="119"/>
        <v>45977.783318055554</v>
      </c>
      <c r="C1520" s="76" t="s">
        <v>265</v>
      </c>
      <c r="D1520" s="76" t="s">
        <v>902</v>
      </c>
      <c r="E1520" s="79"/>
      <c r="F1520" s="79"/>
      <c r="G1520" s="76" t="s">
        <v>1660</v>
      </c>
    </row>
    <row r="1521" spans="1:7">
      <c r="A1521" s="77">
        <f t="shared" ca="1" si="118"/>
        <v>45977</v>
      </c>
      <c r="B1521" s="80">
        <f t="shared" ca="1" si="119"/>
        <v>45977.784351388887</v>
      </c>
      <c r="C1521" s="76" t="s">
        <v>265</v>
      </c>
      <c r="D1521" s="76" t="s">
        <v>902</v>
      </c>
      <c r="E1521" s="79" t="s">
        <v>1121</v>
      </c>
      <c r="F1521" s="79"/>
    </row>
    <row r="1522" spans="1:7">
      <c r="A1522" s="77">
        <f t="shared" ca="1" si="118"/>
        <v>45977</v>
      </c>
      <c r="B1522" s="80">
        <f t="shared" ca="1" si="119"/>
        <v>45977.785278124997</v>
      </c>
      <c r="C1522" s="76" t="s">
        <v>265</v>
      </c>
      <c r="D1522" s="76" t="s">
        <v>902</v>
      </c>
      <c r="E1522" s="79" t="s">
        <v>1661</v>
      </c>
      <c r="F1522" s="79"/>
    </row>
    <row r="1523" spans="1:7">
      <c r="A1523" s="77">
        <f t="shared" ca="1" si="118"/>
        <v>45977</v>
      </c>
      <c r="B1523" s="80">
        <f t="shared" ca="1" si="119"/>
        <v>45977.786475462963</v>
      </c>
      <c r="C1523" s="76" t="s">
        <v>265</v>
      </c>
      <c r="D1523" s="76" t="s">
        <v>902</v>
      </c>
      <c r="E1523" s="79" t="s">
        <v>1662</v>
      </c>
      <c r="F1523" s="79"/>
    </row>
    <row r="1524" spans="1:7">
      <c r="A1524" s="77">
        <f t="shared" ca="1" si="118"/>
        <v>45977</v>
      </c>
      <c r="B1524" s="80">
        <f t="shared" ca="1" si="119"/>
        <v>45977.789795486111</v>
      </c>
      <c r="C1524" s="76" t="s">
        <v>265</v>
      </c>
      <c r="D1524" s="76" t="s">
        <v>902</v>
      </c>
      <c r="E1524" s="79" t="s">
        <v>956</v>
      </c>
      <c r="F1524" s="79"/>
    </row>
    <row r="1525" spans="1:7">
      <c r="A1525" s="77">
        <f t="shared" ca="1" si="118"/>
        <v>45977</v>
      </c>
      <c r="B1525" s="80">
        <f t="shared" ca="1" si="119"/>
        <v>45977.790405324071</v>
      </c>
      <c r="C1525" s="76" t="s">
        <v>265</v>
      </c>
      <c r="D1525" s="76" t="s">
        <v>902</v>
      </c>
      <c r="E1525" s="79" t="s">
        <v>956</v>
      </c>
      <c r="F1525" s="79"/>
    </row>
    <row r="1526" spans="1:7">
      <c r="A1526" s="77">
        <f t="shared" ca="1" si="118"/>
        <v>45977</v>
      </c>
      <c r="B1526" s="80">
        <f t="shared" ca="1" si="119"/>
        <v>45977.790974421296</v>
      </c>
      <c r="C1526" s="76" t="s">
        <v>265</v>
      </c>
      <c r="D1526" s="76" t="s">
        <v>902</v>
      </c>
      <c r="E1526" s="79" t="s">
        <v>1121</v>
      </c>
      <c r="F1526" s="79"/>
    </row>
    <row r="1527" spans="1:7">
      <c r="A1527" s="77">
        <f t="shared" ca="1" si="118"/>
        <v>45977</v>
      </c>
      <c r="B1527" s="80">
        <f t="shared" ca="1" si="119"/>
        <v>45977.791088773149</v>
      </c>
      <c r="C1527" s="76" t="s">
        <v>265</v>
      </c>
      <c r="D1527" s="76" t="s">
        <v>902</v>
      </c>
      <c r="E1527" s="79" t="s">
        <v>1653</v>
      </c>
      <c r="F1527" s="79"/>
    </row>
    <row r="1528" spans="1:7">
      <c r="A1528" s="77">
        <f t="shared" ca="1" si="118"/>
        <v>45977</v>
      </c>
      <c r="B1528" s="80">
        <f t="shared" ca="1" si="119"/>
        <v>45977.792284143521</v>
      </c>
      <c r="C1528" s="76" t="s">
        <v>265</v>
      </c>
      <c r="D1528" s="76" t="s">
        <v>902</v>
      </c>
      <c r="E1528" s="79" t="s">
        <v>1663</v>
      </c>
      <c r="F1528" s="79"/>
    </row>
    <row r="1529" spans="1:7">
      <c r="A1529" s="77">
        <f t="shared" ca="1" si="118"/>
        <v>45977</v>
      </c>
      <c r="B1529" s="80">
        <f t="shared" ca="1" si="119"/>
        <v>45977.794856134256</v>
      </c>
      <c r="C1529" s="76" t="s">
        <v>265</v>
      </c>
      <c r="D1529" s="76" t="s">
        <v>902</v>
      </c>
      <c r="E1529" s="79" t="s">
        <v>1664</v>
      </c>
      <c r="F1529" s="79"/>
    </row>
    <row r="1530" spans="1:7">
      <c r="A1530" s="77">
        <f t="shared" ca="1" si="118"/>
        <v>45977</v>
      </c>
      <c r="B1530" s="80">
        <f t="shared" ca="1" si="119"/>
        <v>45977.795097800925</v>
      </c>
      <c r="C1530" s="76" t="s">
        <v>265</v>
      </c>
      <c r="D1530" s="76" t="s">
        <v>902</v>
      </c>
      <c r="E1530" s="79" t="s">
        <v>1653</v>
      </c>
      <c r="F1530" s="79"/>
      <c r="G1530" s="76" t="s">
        <v>1665</v>
      </c>
    </row>
    <row r="1531" spans="1:7">
      <c r="A1531" s="77">
        <f t="shared" ca="1" si="118"/>
        <v>45977</v>
      </c>
      <c r="B1531" s="80">
        <f t="shared" ca="1" si="119"/>
        <v>45977.795906828702</v>
      </c>
      <c r="C1531" s="76" t="s">
        <v>265</v>
      </c>
      <c r="D1531" s="76" t="s">
        <v>902</v>
      </c>
      <c r="E1531" s="79" t="s">
        <v>1116</v>
      </c>
      <c r="F1531" s="79"/>
    </row>
    <row r="1532" spans="1:7">
      <c r="A1532" s="77">
        <f t="shared" ca="1" si="118"/>
        <v>45977</v>
      </c>
      <c r="B1532" s="80">
        <f t="shared" ca="1" si="119"/>
        <v>45977.797023263891</v>
      </c>
      <c r="C1532" s="76" t="s">
        <v>265</v>
      </c>
      <c r="D1532" s="210" t="s">
        <v>922</v>
      </c>
      <c r="E1532" s="79"/>
      <c r="F1532" s="79"/>
    </row>
    <row r="1533" spans="1:7">
      <c r="A1533" s="77">
        <f t="shared" ca="1" si="118"/>
        <v>45977</v>
      </c>
      <c r="B1533" s="80">
        <f t="shared" ca="1" si="119"/>
        <v>45977.808230902781</v>
      </c>
      <c r="C1533" s="76" t="s">
        <v>268</v>
      </c>
      <c r="D1533" s="210" t="s">
        <v>1098</v>
      </c>
      <c r="E1533" s="79"/>
      <c r="F1533" s="79"/>
    </row>
    <row r="1534" spans="1:7">
      <c r="A1534" s="77">
        <f t="shared" ca="1" si="118"/>
        <v>45977</v>
      </c>
      <c r="B1534" s="80">
        <f t="shared" ca="1" si="119"/>
        <v>45977.849867824072</v>
      </c>
      <c r="C1534" s="76" t="s">
        <v>268</v>
      </c>
      <c r="D1534" s="210" t="s">
        <v>906</v>
      </c>
      <c r="E1534" s="79"/>
      <c r="F1534" s="79"/>
    </row>
    <row r="1535" spans="1:7">
      <c r="A1535" s="77">
        <f t="shared" ca="1" si="118"/>
        <v>45977</v>
      </c>
      <c r="B1535" s="80">
        <f t="shared" ca="1" si="119"/>
        <v>45977.864931944445</v>
      </c>
      <c r="C1535" s="76" t="s">
        <v>268</v>
      </c>
      <c r="D1535" s="210" t="s">
        <v>909</v>
      </c>
      <c r="E1535" s="79"/>
      <c r="F1535" s="79"/>
    </row>
    <row r="1536" spans="1:7">
      <c r="A1536" s="77">
        <f t="shared" ca="1" si="118"/>
        <v>45977</v>
      </c>
      <c r="B1536" s="80">
        <f t="shared" ca="1" si="119"/>
        <v>45977.866097337966</v>
      </c>
      <c r="C1536" s="76" t="s">
        <v>268</v>
      </c>
      <c r="D1536" s="76" t="s">
        <v>902</v>
      </c>
      <c r="E1536" s="79" t="s">
        <v>1550</v>
      </c>
      <c r="F1536" s="79"/>
    </row>
    <row r="1537" spans="1:7">
      <c r="A1537" s="77">
        <f t="shared" ca="1" si="118"/>
        <v>45977</v>
      </c>
      <c r="B1537" s="80">
        <f t="shared" ca="1" si="119"/>
        <v>45977.868114120371</v>
      </c>
      <c r="C1537" s="76" t="s">
        <v>268</v>
      </c>
      <c r="D1537" s="76" t="s">
        <v>902</v>
      </c>
      <c r="E1537" s="79" t="s">
        <v>1666</v>
      </c>
      <c r="F1537" s="79"/>
    </row>
    <row r="1538" spans="1:7">
      <c r="A1538" s="77">
        <f t="shared" ca="1" si="118"/>
        <v>45977</v>
      </c>
      <c r="B1538" s="80">
        <f t="shared" ca="1" si="119"/>
        <v>45977.869819675929</v>
      </c>
      <c r="C1538" s="76" t="s">
        <v>268</v>
      </c>
      <c r="D1538" s="76" t="s">
        <v>902</v>
      </c>
      <c r="E1538" s="79" t="s">
        <v>1667</v>
      </c>
      <c r="F1538" s="79"/>
    </row>
    <row r="1539" spans="1:7">
      <c r="A1539" s="77">
        <f t="shared" ca="1" si="118"/>
        <v>45977</v>
      </c>
      <c r="B1539" s="80">
        <f t="shared" ca="1" si="119"/>
        <v>45977.87030347222</v>
      </c>
      <c r="C1539" s="76" t="s">
        <v>268</v>
      </c>
      <c r="D1539" s="76" t="s">
        <v>902</v>
      </c>
      <c r="E1539" s="79" t="s">
        <v>1508</v>
      </c>
      <c r="F1539" s="79"/>
      <c r="G1539" s="76" t="s">
        <v>1511</v>
      </c>
    </row>
    <row r="1540" spans="1:7">
      <c r="A1540" s="77">
        <f t="shared" ca="1" si="118"/>
        <v>45977</v>
      </c>
      <c r="B1540" s="80">
        <f t="shared" ca="1" si="119"/>
        <v>45977.872099305554</v>
      </c>
      <c r="C1540" s="76" t="s">
        <v>268</v>
      </c>
      <c r="D1540" s="76" t="s">
        <v>902</v>
      </c>
      <c r="E1540" s="79" t="s">
        <v>1668</v>
      </c>
      <c r="F1540" s="79"/>
    </row>
    <row r="1541" spans="1:7">
      <c r="A1541" s="77">
        <f t="shared" ref="A1541:A1580" ca="1" si="120">IF(C1541&lt;&gt;0,IF(A1541=0,TODAY(),A1541),)</f>
        <v>45977</v>
      </c>
      <c r="B1541" s="80">
        <f t="shared" ref="B1541:B1580" ca="1" si="121">IF(C1541&lt;&gt;0,IF(B1541=0,NOW(),B1541),)</f>
        <v>45977.873784374999</v>
      </c>
      <c r="C1541" s="76" t="s">
        <v>268</v>
      </c>
      <c r="D1541" s="76" t="s">
        <v>902</v>
      </c>
      <c r="E1541" s="79"/>
      <c r="F1541" s="79"/>
      <c r="G1541" s="76" t="s">
        <v>1669</v>
      </c>
    </row>
    <row r="1542" spans="1:7">
      <c r="A1542" s="77">
        <f t="shared" ca="1" si="120"/>
        <v>45977</v>
      </c>
      <c r="B1542" s="80">
        <f t="shared" ca="1" si="121"/>
        <v>45977.874810416666</v>
      </c>
      <c r="C1542" s="76" t="s">
        <v>268</v>
      </c>
      <c r="D1542" s="76" t="s">
        <v>902</v>
      </c>
      <c r="E1542" s="79" t="s">
        <v>1670</v>
      </c>
      <c r="F1542" s="79"/>
    </row>
    <row r="1543" spans="1:7">
      <c r="A1543" s="77">
        <f t="shared" ca="1" si="120"/>
        <v>45977</v>
      </c>
      <c r="B1543" s="80">
        <f t="shared" ca="1" si="121"/>
        <v>45977.875415509261</v>
      </c>
      <c r="C1543" s="76" t="s">
        <v>268</v>
      </c>
      <c r="D1543" s="76" t="s">
        <v>902</v>
      </c>
      <c r="E1543" s="79" t="s">
        <v>1671</v>
      </c>
      <c r="F1543" s="79"/>
      <c r="G1543" s="76" t="s">
        <v>1672</v>
      </c>
    </row>
    <row r="1544" spans="1:7">
      <c r="A1544" s="77">
        <f t="shared" ca="1" si="120"/>
        <v>45977</v>
      </c>
      <c r="B1544" s="80">
        <f t="shared" ca="1" si="121"/>
        <v>45977.876452662036</v>
      </c>
      <c r="C1544" s="76" t="s">
        <v>268</v>
      </c>
      <c r="D1544" s="76" t="s">
        <v>902</v>
      </c>
      <c r="E1544" s="79" t="s">
        <v>1670</v>
      </c>
      <c r="F1544" s="79"/>
    </row>
    <row r="1545" spans="1:7">
      <c r="A1545" s="77">
        <f t="shared" ca="1" si="120"/>
        <v>45977</v>
      </c>
      <c r="B1545" s="80">
        <f t="shared" ca="1" si="121"/>
        <v>45977.87715659722</v>
      </c>
      <c r="C1545" s="76" t="s">
        <v>268</v>
      </c>
      <c r="D1545" s="76" t="s">
        <v>902</v>
      </c>
      <c r="E1545" s="79" t="s">
        <v>1666</v>
      </c>
      <c r="F1545" s="79"/>
    </row>
    <row r="1546" spans="1:7">
      <c r="A1546" s="77">
        <f t="shared" ca="1" si="120"/>
        <v>45977</v>
      </c>
      <c r="B1546" s="80">
        <f t="shared" ca="1" si="121"/>
        <v>45977.880373148146</v>
      </c>
      <c r="C1546" s="76" t="s">
        <v>268</v>
      </c>
      <c r="D1546" s="76" t="s">
        <v>902</v>
      </c>
      <c r="E1546" s="79" t="s">
        <v>1171</v>
      </c>
      <c r="F1546" s="79"/>
    </row>
    <row r="1547" spans="1:7">
      <c r="A1547" s="77">
        <f t="shared" ca="1" si="120"/>
        <v>45977</v>
      </c>
      <c r="B1547" s="80">
        <f t="shared" ca="1" si="121"/>
        <v>45977.880579398145</v>
      </c>
      <c r="C1547" s="76" t="s">
        <v>268</v>
      </c>
      <c r="D1547" s="76" t="s">
        <v>902</v>
      </c>
      <c r="E1547" s="79"/>
      <c r="F1547" s="79"/>
      <c r="G1547" s="76" t="s">
        <v>1673</v>
      </c>
    </row>
    <row r="1548" spans="1:7">
      <c r="A1548" s="77">
        <f t="shared" ca="1" si="120"/>
        <v>45977</v>
      </c>
      <c r="B1548" s="80">
        <f t="shared" ca="1" si="121"/>
        <v>45977.88204340278</v>
      </c>
      <c r="C1548" s="76" t="s">
        <v>268</v>
      </c>
      <c r="D1548" s="76" t="s">
        <v>902</v>
      </c>
      <c r="E1548" s="79" t="s">
        <v>1674</v>
      </c>
      <c r="F1548" s="79"/>
    </row>
    <row r="1549" spans="1:7">
      <c r="A1549" s="77">
        <f t="shared" ca="1" si="120"/>
        <v>45977</v>
      </c>
      <c r="B1549" s="80">
        <f t="shared" ca="1" si="121"/>
        <v>45977.882719675923</v>
      </c>
      <c r="C1549" s="76" t="s">
        <v>268</v>
      </c>
      <c r="D1549" s="76" t="s">
        <v>902</v>
      </c>
      <c r="E1549" s="79"/>
      <c r="F1549" s="79"/>
      <c r="G1549" s="76" t="s">
        <v>1669</v>
      </c>
    </row>
    <row r="1550" spans="1:7">
      <c r="A1550" s="77">
        <f t="shared" ca="1" si="120"/>
        <v>45977</v>
      </c>
      <c r="B1550" s="80">
        <f t="shared" ca="1" si="121"/>
        <v>45977.886573032411</v>
      </c>
      <c r="C1550" s="76" t="s">
        <v>268</v>
      </c>
      <c r="D1550" s="76" t="s">
        <v>902</v>
      </c>
      <c r="E1550" s="79" t="s">
        <v>1367</v>
      </c>
      <c r="F1550" s="79"/>
      <c r="G1550" s="76" t="s">
        <v>1675</v>
      </c>
    </row>
    <row r="1551" spans="1:7">
      <c r="A1551" s="77">
        <f t="shared" ca="1" si="120"/>
        <v>45977</v>
      </c>
      <c r="B1551" s="80">
        <f t="shared" ca="1" si="121"/>
        <v>45977.886926851854</v>
      </c>
      <c r="C1551" s="76" t="s">
        <v>268</v>
      </c>
      <c r="D1551" s="76" t="s">
        <v>902</v>
      </c>
      <c r="E1551" s="79" t="s">
        <v>1676</v>
      </c>
      <c r="F1551" s="79"/>
      <c r="G1551" s="76" t="s">
        <v>1677</v>
      </c>
    </row>
    <row r="1552" spans="1:7">
      <c r="A1552" s="77">
        <f t="shared" ca="1" si="120"/>
        <v>45977</v>
      </c>
      <c r="B1552" s="80">
        <f t="shared" ca="1" si="121"/>
        <v>45977.8939875</v>
      </c>
      <c r="C1552" s="76" t="s">
        <v>268</v>
      </c>
      <c r="D1552" s="76" t="s">
        <v>902</v>
      </c>
      <c r="E1552" s="79"/>
      <c r="F1552" s="79"/>
      <c r="G1552" s="76" t="s">
        <v>1555</v>
      </c>
    </row>
    <row r="1553" spans="1:7">
      <c r="A1553" s="77">
        <f t="shared" ca="1" si="120"/>
        <v>45977</v>
      </c>
      <c r="B1553" s="80">
        <f t="shared" ca="1" si="121"/>
        <v>45977.908764120373</v>
      </c>
      <c r="C1553" s="76" t="s">
        <v>268</v>
      </c>
      <c r="D1553" s="150" t="s">
        <v>1007</v>
      </c>
      <c r="E1553" s="79" t="s">
        <v>1676</v>
      </c>
      <c r="F1553" s="79"/>
      <c r="G1553" s="79" t="s">
        <v>1676</v>
      </c>
    </row>
    <row r="1554" spans="1:7">
      <c r="A1554" s="77">
        <f t="shared" ca="1" si="120"/>
        <v>45977</v>
      </c>
      <c r="B1554" s="80">
        <f t="shared" ca="1" si="121"/>
        <v>45977.90394733796</v>
      </c>
      <c r="C1554" s="76" t="s">
        <v>268</v>
      </c>
      <c r="D1554" s="76" t="s">
        <v>902</v>
      </c>
      <c r="E1554" s="79" t="s">
        <v>1678</v>
      </c>
      <c r="F1554" s="79"/>
    </row>
    <row r="1555" spans="1:7">
      <c r="A1555" s="77">
        <f t="shared" ca="1" si="120"/>
        <v>45977</v>
      </c>
      <c r="B1555" s="80">
        <f t="shared" ca="1" si="121"/>
        <v>45977.908764120373</v>
      </c>
      <c r="C1555" s="76" t="s">
        <v>268</v>
      </c>
      <c r="D1555" s="150" t="s">
        <v>1007</v>
      </c>
      <c r="E1555" s="79" t="s">
        <v>1676</v>
      </c>
      <c r="F1555" s="79"/>
      <c r="G1555" s="79" t="s">
        <v>1676</v>
      </c>
    </row>
    <row r="1556" spans="1:7">
      <c r="A1556" s="77">
        <f t="shared" ca="1" si="120"/>
        <v>45977</v>
      </c>
      <c r="B1556" s="80">
        <f t="shared" ca="1" si="121"/>
        <v>45977.914401967595</v>
      </c>
      <c r="C1556" s="76" t="s">
        <v>268</v>
      </c>
      <c r="D1556" s="76" t="s">
        <v>902</v>
      </c>
      <c r="E1556" s="79" t="s">
        <v>1679</v>
      </c>
      <c r="F1556" s="79"/>
    </row>
    <row r="1557" spans="1:7">
      <c r="A1557" s="77">
        <f t="shared" ca="1" si="120"/>
        <v>45977</v>
      </c>
      <c r="B1557" s="80">
        <f t="shared" ca="1" si="121"/>
        <v>45977.916814699071</v>
      </c>
      <c r="C1557" s="76" t="s">
        <v>268</v>
      </c>
      <c r="D1557" s="76" t="s">
        <v>902</v>
      </c>
      <c r="E1557" s="79"/>
      <c r="F1557" s="79"/>
      <c r="G1557" s="79" t="s">
        <v>1676</v>
      </c>
    </row>
    <row r="1558" spans="1:7">
      <c r="A1558" s="77">
        <f t="shared" ca="1" si="120"/>
        <v>45977</v>
      </c>
      <c r="B1558" s="80">
        <f t="shared" ca="1" si="121"/>
        <v>45977.918881944446</v>
      </c>
      <c r="C1558" s="76" t="s">
        <v>268</v>
      </c>
      <c r="D1558" s="76" t="s">
        <v>902</v>
      </c>
      <c r="E1558" s="79"/>
      <c r="F1558" s="79"/>
      <c r="G1558" s="76" t="s">
        <v>1680</v>
      </c>
    </row>
    <row r="1559" spans="1:7">
      <c r="A1559" s="77">
        <f t="shared" ca="1" si="120"/>
        <v>45977</v>
      </c>
      <c r="B1559" s="80">
        <f t="shared" ca="1" si="121"/>
        <v>45977.919187731481</v>
      </c>
      <c r="C1559" s="76" t="s">
        <v>268</v>
      </c>
      <c r="D1559" s="76" t="s">
        <v>902</v>
      </c>
      <c r="E1559" s="79"/>
      <c r="F1559" s="79"/>
      <c r="G1559" s="79" t="s">
        <v>1676</v>
      </c>
    </row>
    <row r="1560" spans="1:7">
      <c r="A1560" s="77">
        <f t="shared" ca="1" si="120"/>
        <v>45977</v>
      </c>
      <c r="B1560" s="80">
        <f t="shared" ca="1" si="121"/>
        <v>45977.919767708336</v>
      </c>
      <c r="C1560" s="76" t="s">
        <v>268</v>
      </c>
      <c r="D1560" s="76" t="s">
        <v>902</v>
      </c>
      <c r="E1560" s="79"/>
      <c r="F1560" s="79"/>
      <c r="G1560" s="76" t="s">
        <v>1681</v>
      </c>
    </row>
    <row r="1561" spans="1:7">
      <c r="A1561" s="77">
        <f t="shared" ca="1" si="120"/>
        <v>45977</v>
      </c>
      <c r="B1561" s="80">
        <f t="shared" ca="1" si="121"/>
        <v>45977.92094664352</v>
      </c>
      <c r="C1561" s="76" t="s">
        <v>268</v>
      </c>
      <c r="D1561" s="76" t="s">
        <v>902</v>
      </c>
      <c r="E1561" s="79" t="s">
        <v>1148</v>
      </c>
      <c r="F1561" s="79"/>
    </row>
    <row r="1562" spans="1:7">
      <c r="A1562" s="77">
        <f t="shared" ca="1" si="120"/>
        <v>45977</v>
      </c>
      <c r="B1562" s="80">
        <f t="shared" ca="1" si="121"/>
        <v>45977.92094664352</v>
      </c>
      <c r="C1562" s="76" t="s">
        <v>268</v>
      </c>
      <c r="D1562" s="76" t="s">
        <v>902</v>
      </c>
      <c r="E1562" s="79" t="s">
        <v>1676</v>
      </c>
      <c r="F1562" s="79"/>
    </row>
    <row r="1563" spans="1:7">
      <c r="A1563" s="77">
        <f t="shared" ca="1" si="120"/>
        <v>45977</v>
      </c>
      <c r="B1563" s="80">
        <f t="shared" ca="1" si="121"/>
        <v>45977.92094664352</v>
      </c>
      <c r="C1563" s="76" t="s">
        <v>268</v>
      </c>
      <c r="D1563" s="76" t="s">
        <v>902</v>
      </c>
      <c r="E1563" s="79" t="s">
        <v>1670</v>
      </c>
      <c r="F1563" s="79"/>
      <c r="G1563" s="76" t="s">
        <v>1682</v>
      </c>
    </row>
    <row r="1564" spans="1:7">
      <c r="A1564" s="77">
        <f t="shared" ca="1" si="120"/>
        <v>45977</v>
      </c>
      <c r="B1564" s="80">
        <f t="shared" ca="1" si="121"/>
        <v>45977.935845138891</v>
      </c>
      <c r="C1564" s="76" t="s">
        <v>268</v>
      </c>
      <c r="D1564" s="76" t="s">
        <v>902</v>
      </c>
      <c r="E1564" s="79"/>
      <c r="F1564" s="79"/>
      <c r="G1564" s="76" t="s">
        <v>1683</v>
      </c>
    </row>
    <row r="1565" spans="1:7">
      <c r="A1565" s="77">
        <f t="shared" ca="1" si="120"/>
        <v>45977</v>
      </c>
      <c r="B1565" s="80">
        <f t="shared" ca="1" si="121"/>
        <v>45977.94124537037</v>
      </c>
      <c r="C1565" s="76" t="s">
        <v>268</v>
      </c>
      <c r="D1565" s="76" t="s">
        <v>902</v>
      </c>
      <c r="E1565" s="79" t="s">
        <v>1676</v>
      </c>
      <c r="F1565" s="79"/>
    </row>
    <row r="1566" spans="1:7">
      <c r="A1566" s="77">
        <f t="shared" ca="1" si="120"/>
        <v>45977</v>
      </c>
      <c r="B1566" s="80">
        <f t="shared" ca="1" si="121"/>
        <v>45977.944254745373</v>
      </c>
      <c r="C1566" s="76" t="s">
        <v>268</v>
      </c>
      <c r="D1566" s="76" t="s">
        <v>902</v>
      </c>
      <c r="E1566" s="79" t="s">
        <v>1676</v>
      </c>
      <c r="F1566" s="79"/>
    </row>
    <row r="1567" spans="1:7">
      <c r="A1567" s="77">
        <f t="shared" ca="1" si="120"/>
        <v>45977</v>
      </c>
      <c r="B1567" s="80">
        <f t="shared" ca="1" si="121"/>
        <v>45977.94696666667</v>
      </c>
      <c r="C1567" s="76" t="s">
        <v>268</v>
      </c>
      <c r="D1567" s="76" t="s">
        <v>902</v>
      </c>
      <c r="E1567" s="79" t="s">
        <v>1234</v>
      </c>
      <c r="F1567" s="79"/>
    </row>
    <row r="1568" spans="1:7">
      <c r="A1568" s="77">
        <f t="shared" ca="1" si="120"/>
        <v>45977</v>
      </c>
      <c r="B1568" s="80">
        <f t="shared" ca="1" si="121"/>
        <v>45977.974188773151</v>
      </c>
      <c r="C1568" s="76" t="s">
        <v>268</v>
      </c>
      <c r="D1568" s="76" t="s">
        <v>902</v>
      </c>
      <c r="E1568" s="76" t="s">
        <v>1684</v>
      </c>
      <c r="F1568" s="79"/>
    </row>
    <row r="1569" spans="1:7">
      <c r="A1569" s="77">
        <f t="shared" ca="1" si="120"/>
        <v>45977</v>
      </c>
      <c r="B1569" s="80">
        <f t="shared" ca="1" si="121"/>
        <v>45977.97810659722</v>
      </c>
      <c r="C1569" s="76" t="s">
        <v>268</v>
      </c>
      <c r="D1569" s="76" t="s">
        <v>902</v>
      </c>
      <c r="E1569" s="79" t="s">
        <v>1670</v>
      </c>
      <c r="F1569" s="79"/>
      <c r="G1569" s="76" t="s">
        <v>1682</v>
      </c>
    </row>
    <row r="1570" spans="1:7">
      <c r="A1570" s="77">
        <f t="shared" ca="1" si="120"/>
        <v>45977</v>
      </c>
      <c r="B1570" s="80">
        <f t="shared" ca="1" si="121"/>
        <v>45977.98183449074</v>
      </c>
      <c r="C1570" s="76" t="s">
        <v>268</v>
      </c>
      <c r="D1570" s="76" t="s">
        <v>902</v>
      </c>
      <c r="E1570" s="79" t="s">
        <v>1676</v>
      </c>
      <c r="F1570" s="79"/>
    </row>
    <row r="1571" spans="1:7">
      <c r="A1571" s="77">
        <f t="shared" ca="1" si="120"/>
        <v>45977</v>
      </c>
      <c r="B1571" s="80">
        <f t="shared" ca="1" si="121"/>
        <v>45977.983578356485</v>
      </c>
      <c r="C1571" s="76" t="s">
        <v>268</v>
      </c>
      <c r="D1571" s="76" t="s">
        <v>902</v>
      </c>
      <c r="E1571" s="79" t="s">
        <v>1685</v>
      </c>
      <c r="F1571" s="79"/>
    </row>
    <row r="1572" spans="1:7">
      <c r="A1572" s="77">
        <f t="shared" ca="1" si="120"/>
        <v>45977</v>
      </c>
      <c r="B1572" s="80">
        <f t="shared" ca="1" si="121"/>
        <v>45977.986946064811</v>
      </c>
      <c r="C1572" s="76" t="s">
        <v>268</v>
      </c>
      <c r="D1572" s="210" t="s">
        <v>922</v>
      </c>
      <c r="E1572" s="79"/>
      <c r="F1572" s="79"/>
    </row>
    <row r="1573" spans="1:7">
      <c r="A1573" s="77">
        <f t="shared" ca="1" si="120"/>
        <v>45978</v>
      </c>
      <c r="B1573" s="80">
        <f t="shared" ca="1" si="121"/>
        <v>45978.00833449074</v>
      </c>
      <c r="C1573" s="76" t="s">
        <v>268</v>
      </c>
      <c r="D1573" s="210" t="s">
        <v>1098</v>
      </c>
      <c r="E1573" s="79" t="s">
        <v>1686</v>
      </c>
      <c r="F1573" s="79"/>
    </row>
    <row r="1574" spans="1:7">
      <c r="A1574" s="77">
        <f t="shared" ca="1" si="120"/>
        <v>45978</v>
      </c>
      <c r="B1574" s="80">
        <f t="shared" ca="1" si="121"/>
        <v>45978.035290509259</v>
      </c>
      <c r="C1574" s="76" t="s">
        <v>271</v>
      </c>
      <c r="D1574" s="210" t="s">
        <v>906</v>
      </c>
      <c r="E1574" s="79"/>
      <c r="F1574" s="79"/>
    </row>
    <row r="1575" spans="1:7">
      <c r="A1575" s="77">
        <f t="shared" ca="1" si="120"/>
        <v>45978</v>
      </c>
      <c r="B1575" s="80">
        <f t="shared" ca="1" si="121"/>
        <v>45978.036633217591</v>
      </c>
      <c r="C1575" s="76" t="s">
        <v>271</v>
      </c>
      <c r="D1575" s="210" t="s">
        <v>909</v>
      </c>
      <c r="E1575" s="79"/>
      <c r="F1575" s="79"/>
    </row>
    <row r="1576" spans="1:7">
      <c r="A1576" s="77">
        <f t="shared" ca="1" si="120"/>
        <v>45978</v>
      </c>
      <c r="B1576" s="80">
        <f t="shared" ca="1" si="121"/>
        <v>45978.039388425925</v>
      </c>
      <c r="C1576" s="76" t="s">
        <v>271</v>
      </c>
      <c r="D1576" s="76" t="s">
        <v>902</v>
      </c>
      <c r="E1576" s="79" t="s">
        <v>1581</v>
      </c>
      <c r="F1576" s="79"/>
    </row>
    <row r="1577" spans="1:7">
      <c r="A1577" s="77">
        <f t="shared" ca="1" si="120"/>
        <v>45978</v>
      </c>
      <c r="B1577" s="80">
        <f t="shared" ca="1" si="121"/>
        <v>45978.040863541668</v>
      </c>
      <c r="C1577" s="76" t="s">
        <v>271</v>
      </c>
      <c r="D1577" s="76" t="s">
        <v>902</v>
      </c>
      <c r="E1577" s="79" t="s">
        <v>1026</v>
      </c>
      <c r="F1577" s="79"/>
    </row>
    <row r="1578" spans="1:7">
      <c r="A1578" s="77">
        <f t="shared" ca="1" si="120"/>
        <v>45978</v>
      </c>
      <c r="B1578" s="80">
        <f t="shared" ca="1" si="121"/>
        <v>45978.042131828704</v>
      </c>
      <c r="C1578" s="76" t="s">
        <v>271</v>
      </c>
      <c r="D1578" s="76" t="s">
        <v>902</v>
      </c>
      <c r="E1578" s="79" t="s">
        <v>1596</v>
      </c>
      <c r="F1578" s="79"/>
    </row>
    <row r="1579" spans="1:7">
      <c r="A1579" s="77">
        <f t="shared" ca="1" si="120"/>
        <v>45978</v>
      </c>
      <c r="B1579" s="80">
        <f t="shared" ca="1" si="121"/>
        <v>45978.044875810185</v>
      </c>
      <c r="C1579" s="76" t="s">
        <v>271</v>
      </c>
      <c r="D1579" s="76" t="s">
        <v>902</v>
      </c>
      <c r="E1579" s="79" t="s">
        <v>1687</v>
      </c>
      <c r="F1579" s="79"/>
    </row>
    <row r="1580" spans="1:7">
      <c r="A1580" s="77">
        <f t="shared" ca="1" si="120"/>
        <v>45978</v>
      </c>
      <c r="B1580" s="80">
        <f t="shared" ca="1" si="121"/>
        <v>45978.047712731481</v>
      </c>
      <c r="C1580" s="76" t="s">
        <v>271</v>
      </c>
      <c r="D1580" s="76" t="s">
        <v>902</v>
      </c>
      <c r="E1580" s="79" t="s">
        <v>1581</v>
      </c>
      <c r="F1580" s="79"/>
    </row>
    <row r="1581" spans="1:7">
      <c r="A1581" s="77">
        <f ca="1">IF(C1581&lt;&gt;0,IF(A1581=0,TODAY(),A1581),)</f>
        <v>45978</v>
      </c>
      <c r="B1581" s="80">
        <f ca="1">IF(C1581&lt;&gt;0,IF(B1581=0,NOW(),B1581),)</f>
        <v>45978.04957372685</v>
      </c>
      <c r="C1581" s="76" t="s">
        <v>271</v>
      </c>
      <c r="D1581" s="76" t="s">
        <v>902</v>
      </c>
      <c r="E1581" s="79" t="s">
        <v>1688</v>
      </c>
      <c r="F1581" s="79"/>
    </row>
    <row r="1582" spans="1:7">
      <c r="A1582" s="77">
        <f t="shared" ref="A1582:A1593" ca="1" si="122">IF(C1582&lt;&gt;0,IF(A1582=0,TODAY(),A1582),)</f>
        <v>45978</v>
      </c>
      <c r="B1582" s="80">
        <f t="shared" ref="B1582:B1593" ca="1" si="123">IF(C1582&lt;&gt;0,IF(B1582=0,NOW(),B1582),)</f>
        <v>45978.05022326389</v>
      </c>
      <c r="C1582" s="76" t="s">
        <v>271</v>
      </c>
      <c r="D1582" s="76" t="s">
        <v>902</v>
      </c>
      <c r="E1582" s="79" t="s">
        <v>1602</v>
      </c>
      <c r="F1582" s="79"/>
    </row>
    <row r="1583" spans="1:7">
      <c r="A1583" s="77">
        <f t="shared" ca="1" si="122"/>
        <v>45978</v>
      </c>
      <c r="B1583" s="80">
        <f t="shared" ca="1" si="123"/>
        <v>45978.050981250002</v>
      </c>
      <c r="C1583" s="76" t="s">
        <v>271</v>
      </c>
      <c r="D1583" s="76" t="s">
        <v>902</v>
      </c>
      <c r="E1583" s="79" t="s">
        <v>1689</v>
      </c>
      <c r="F1583" s="79"/>
    </row>
    <row r="1584" spans="1:7">
      <c r="A1584" s="77">
        <f t="shared" ca="1" si="122"/>
        <v>45978</v>
      </c>
      <c r="B1584" s="80">
        <f t="shared" ca="1" si="123"/>
        <v>45978.05134907407</v>
      </c>
      <c r="C1584" s="76" t="s">
        <v>271</v>
      </c>
      <c r="D1584" s="76" t="s">
        <v>902</v>
      </c>
      <c r="E1584" s="79" t="s">
        <v>1690</v>
      </c>
      <c r="F1584" s="79"/>
    </row>
    <row r="1585" spans="1:6">
      <c r="A1585" s="77">
        <f t="shared" ca="1" si="122"/>
        <v>45978</v>
      </c>
      <c r="B1585" s="80">
        <f t="shared" ca="1" si="123"/>
        <v>45978.056420601853</v>
      </c>
      <c r="C1585" s="76" t="s">
        <v>271</v>
      </c>
      <c r="D1585" s="76" t="s">
        <v>902</v>
      </c>
      <c r="E1585" s="79" t="s">
        <v>1691</v>
      </c>
      <c r="F1585" s="79"/>
    </row>
    <row r="1586" spans="1:6">
      <c r="A1586" s="77">
        <f t="shared" ca="1" si="122"/>
        <v>45978</v>
      </c>
      <c r="B1586" s="80">
        <f t="shared" ca="1" si="123"/>
        <v>45978.060503009256</v>
      </c>
      <c r="C1586" s="76" t="s">
        <v>271</v>
      </c>
      <c r="D1586" s="76" t="s">
        <v>902</v>
      </c>
      <c r="E1586" s="79" t="s">
        <v>1666</v>
      </c>
      <c r="F1586" s="79"/>
    </row>
    <row r="1587" spans="1:6">
      <c r="A1587" s="77">
        <f t="shared" ca="1" si="122"/>
        <v>45978</v>
      </c>
      <c r="B1587" s="80">
        <f t="shared" ca="1" si="123"/>
        <v>45978.076762500001</v>
      </c>
      <c r="C1587" s="76" t="s">
        <v>271</v>
      </c>
      <c r="D1587" s="76" t="s">
        <v>902</v>
      </c>
      <c r="E1587" s="79" t="s">
        <v>1602</v>
      </c>
      <c r="F1587" s="79"/>
    </row>
    <row r="1588" spans="1:6">
      <c r="A1588" s="77">
        <f t="shared" ca="1" si="122"/>
        <v>45978</v>
      </c>
      <c r="B1588" s="80">
        <f t="shared" ca="1" si="123"/>
        <v>45978.079779513886</v>
      </c>
      <c r="C1588" s="76" t="s">
        <v>271</v>
      </c>
      <c r="D1588" s="76" t="s">
        <v>902</v>
      </c>
      <c r="E1588" s="79" t="s">
        <v>1666</v>
      </c>
      <c r="F1588" s="79"/>
    </row>
    <row r="1589" spans="1:6">
      <c r="A1589" s="77">
        <f t="shared" ca="1" si="122"/>
        <v>45978</v>
      </c>
      <c r="B1589" s="80">
        <f t="shared" ca="1" si="123"/>
        <v>45978.082673379628</v>
      </c>
      <c r="C1589" s="76" t="s">
        <v>271</v>
      </c>
      <c r="D1589" s="76" t="s">
        <v>902</v>
      </c>
      <c r="E1589" s="79" t="s">
        <v>1692</v>
      </c>
      <c r="F1589" s="79"/>
    </row>
    <row r="1590" spans="1:6">
      <c r="A1590" s="77">
        <f t="shared" ca="1" si="122"/>
        <v>45978</v>
      </c>
      <c r="B1590" s="80">
        <f t="shared" ca="1" si="123"/>
        <v>45978.086854976849</v>
      </c>
      <c r="C1590" s="76" t="s">
        <v>271</v>
      </c>
      <c r="D1590" s="76" t="s">
        <v>902</v>
      </c>
      <c r="E1590" s="79" t="s">
        <v>1693</v>
      </c>
      <c r="F1590" s="79"/>
    </row>
    <row r="1591" spans="1:6">
      <c r="A1591" s="77">
        <f t="shared" ca="1" si="122"/>
        <v>45978</v>
      </c>
      <c r="B1591" s="80">
        <f t="shared" ca="1" si="123"/>
        <v>45978.089986805557</v>
      </c>
      <c r="C1591" s="76" t="s">
        <v>271</v>
      </c>
      <c r="D1591" s="76" t="s">
        <v>902</v>
      </c>
      <c r="E1591" s="79" t="s">
        <v>1694</v>
      </c>
      <c r="F1591" s="79"/>
    </row>
    <row r="1592" spans="1:6">
      <c r="A1592" s="77">
        <f t="shared" ca="1" si="122"/>
        <v>45978</v>
      </c>
      <c r="B1592" s="80">
        <f t="shared" ca="1" si="123"/>
        <v>45978.090282523146</v>
      </c>
      <c r="C1592" s="76" t="s">
        <v>271</v>
      </c>
      <c r="D1592" s="76" t="s">
        <v>902</v>
      </c>
      <c r="E1592" s="79" t="s">
        <v>1656</v>
      </c>
      <c r="F1592" s="79"/>
    </row>
    <row r="1593" spans="1:6">
      <c r="A1593" s="77">
        <f t="shared" ca="1" si="122"/>
        <v>45978</v>
      </c>
      <c r="B1593" s="80">
        <f t="shared" ca="1" si="123"/>
        <v>45978.090598842595</v>
      </c>
      <c r="C1593" s="76" t="s">
        <v>271</v>
      </c>
      <c r="D1593" s="76" t="s">
        <v>902</v>
      </c>
      <c r="E1593" s="79" t="s">
        <v>1695</v>
      </c>
      <c r="F1593" s="79"/>
    </row>
    <row r="1594" spans="1:6">
      <c r="A1594" s="77">
        <f t="shared" ref="A1594:A1633" ca="1" si="124">IF(C1594&lt;&gt;0,IF(A1594=0,TODAY(),A1594),)</f>
        <v>45978</v>
      </c>
      <c r="B1594" s="80">
        <f t="shared" ref="B1594:B1633" ca="1" si="125">IF(C1594&lt;&gt;0,IF(B1594=0,NOW(),B1594),)</f>
        <v>45978.090910416664</v>
      </c>
      <c r="C1594" s="76" t="s">
        <v>271</v>
      </c>
      <c r="D1594" s="76" t="s">
        <v>902</v>
      </c>
      <c r="E1594" s="79" t="s">
        <v>1581</v>
      </c>
      <c r="F1594" s="79"/>
    </row>
    <row r="1595" spans="1:6">
      <c r="A1595" s="77">
        <f t="shared" ca="1" si="124"/>
        <v>45978</v>
      </c>
      <c r="B1595" s="80">
        <f t="shared" ca="1" si="125"/>
        <v>45978.093436111114</v>
      </c>
      <c r="C1595" s="76" t="s">
        <v>271</v>
      </c>
      <c r="D1595" s="76" t="s">
        <v>902</v>
      </c>
      <c r="E1595" s="79" t="s">
        <v>1656</v>
      </c>
      <c r="F1595" s="79"/>
    </row>
    <row r="1596" spans="1:6">
      <c r="A1596" s="77">
        <f t="shared" ca="1" si="124"/>
        <v>45978</v>
      </c>
      <c r="B1596" s="80">
        <f t="shared" ca="1" si="125"/>
        <v>45978.094723842594</v>
      </c>
      <c r="C1596" s="76" t="s">
        <v>271</v>
      </c>
      <c r="D1596" s="76" t="s">
        <v>902</v>
      </c>
      <c r="E1596" s="79" t="s">
        <v>1696</v>
      </c>
      <c r="F1596" s="79"/>
    </row>
    <row r="1597" spans="1:6">
      <c r="A1597" s="77">
        <f t="shared" ca="1" si="124"/>
        <v>45978</v>
      </c>
      <c r="B1597" s="80">
        <f t="shared" ca="1" si="125"/>
        <v>45978.096757754633</v>
      </c>
      <c r="C1597" s="76" t="s">
        <v>271</v>
      </c>
      <c r="D1597" s="76" t="s">
        <v>902</v>
      </c>
      <c r="E1597" s="79" t="s">
        <v>1697</v>
      </c>
      <c r="F1597" s="79"/>
    </row>
    <row r="1598" spans="1:6">
      <c r="A1598" s="77">
        <f t="shared" ca="1" si="124"/>
        <v>45978</v>
      </c>
      <c r="B1598" s="80">
        <f t="shared" ca="1" si="125"/>
        <v>45978.099538773145</v>
      </c>
      <c r="C1598" s="76" t="s">
        <v>271</v>
      </c>
      <c r="D1598" s="76" t="s">
        <v>902</v>
      </c>
      <c r="E1598" s="79" t="s">
        <v>1698</v>
      </c>
      <c r="F1598" s="79"/>
    </row>
    <row r="1599" spans="1:6">
      <c r="A1599" s="77">
        <f t="shared" ca="1" si="124"/>
        <v>45978</v>
      </c>
      <c r="B1599" s="80">
        <f t="shared" ca="1" si="125"/>
        <v>45978.103461805556</v>
      </c>
      <c r="C1599" s="76" t="s">
        <v>271</v>
      </c>
      <c r="D1599" s="76" t="s">
        <v>902</v>
      </c>
      <c r="E1599" s="79" t="s">
        <v>1294</v>
      </c>
      <c r="F1599" s="79"/>
    </row>
    <row r="1600" spans="1:6">
      <c r="A1600" s="77">
        <f t="shared" ca="1" si="124"/>
        <v>45978</v>
      </c>
      <c r="B1600" s="80">
        <f t="shared" ca="1" si="125"/>
        <v>45978.104295370373</v>
      </c>
      <c r="C1600" s="76" t="s">
        <v>271</v>
      </c>
      <c r="D1600" s="76" t="s">
        <v>902</v>
      </c>
      <c r="E1600" s="79" t="s">
        <v>1695</v>
      </c>
      <c r="F1600" s="79"/>
    </row>
    <row r="1601" spans="1:7">
      <c r="A1601" s="77">
        <f t="shared" ca="1" si="124"/>
        <v>45978</v>
      </c>
      <c r="B1601" s="80">
        <f t="shared" ca="1" si="125"/>
        <v>45978.10922337963</v>
      </c>
      <c r="C1601" s="76" t="s">
        <v>271</v>
      </c>
      <c r="D1601" s="76" t="s">
        <v>902</v>
      </c>
      <c r="E1601" s="79" t="s">
        <v>1602</v>
      </c>
      <c r="F1601" s="79"/>
    </row>
    <row r="1602" spans="1:7">
      <c r="A1602" s="77">
        <f t="shared" ca="1" si="124"/>
        <v>45978</v>
      </c>
      <c r="B1602" s="80">
        <f t="shared" ca="1" si="125"/>
        <v>45978.112514930559</v>
      </c>
      <c r="C1602" s="76" t="s">
        <v>271</v>
      </c>
      <c r="D1602" s="76" t="s">
        <v>902</v>
      </c>
      <c r="E1602" s="79" t="s">
        <v>1602</v>
      </c>
      <c r="F1602" s="79"/>
    </row>
    <row r="1603" spans="1:7">
      <c r="A1603" s="77">
        <f t="shared" ca="1" si="124"/>
        <v>45978</v>
      </c>
      <c r="B1603" s="80">
        <f t="shared" ca="1" si="125"/>
        <v>45978.113045486112</v>
      </c>
      <c r="C1603" s="76" t="s">
        <v>271</v>
      </c>
      <c r="D1603" s="76" t="s">
        <v>902</v>
      </c>
      <c r="E1603" s="79"/>
      <c r="F1603" s="79"/>
      <c r="G1603" s="76" t="s">
        <v>1555</v>
      </c>
    </row>
    <row r="1604" spans="1:7">
      <c r="A1604" s="77">
        <f t="shared" ca="1" si="124"/>
        <v>45978</v>
      </c>
      <c r="B1604" s="80">
        <f t="shared" ca="1" si="125"/>
        <v>45978.121090162036</v>
      </c>
      <c r="C1604" s="76" t="s">
        <v>271</v>
      </c>
      <c r="D1604" s="76" t="s">
        <v>902</v>
      </c>
      <c r="E1604" s="79" t="s">
        <v>1330</v>
      </c>
      <c r="F1604" s="79"/>
    </row>
    <row r="1605" spans="1:7">
      <c r="A1605" s="77">
        <f t="shared" ca="1" si="124"/>
        <v>45978</v>
      </c>
      <c r="B1605" s="80">
        <f t="shared" ca="1" si="125"/>
        <v>45978.129963888889</v>
      </c>
      <c r="C1605" s="76" t="s">
        <v>271</v>
      </c>
      <c r="D1605" s="76" t="s">
        <v>902</v>
      </c>
      <c r="E1605" s="79" t="s">
        <v>1699</v>
      </c>
      <c r="F1605" s="79"/>
    </row>
    <row r="1606" spans="1:7">
      <c r="A1606" s="77">
        <f t="shared" ca="1" si="124"/>
        <v>45978</v>
      </c>
      <c r="B1606" s="80">
        <f t="shared" ca="1" si="125"/>
        <v>45978.132282870371</v>
      </c>
      <c r="C1606" s="76" t="s">
        <v>271</v>
      </c>
      <c r="D1606" s="76" t="s">
        <v>902</v>
      </c>
      <c r="E1606" s="79" t="s">
        <v>1676</v>
      </c>
      <c r="F1606" s="79"/>
    </row>
    <row r="1607" spans="1:7">
      <c r="A1607" s="77">
        <f t="shared" ca="1" si="124"/>
        <v>45978</v>
      </c>
      <c r="B1607" s="80">
        <f t="shared" ca="1" si="125"/>
        <v>45978.1323962963</v>
      </c>
      <c r="C1607" s="76" t="s">
        <v>271</v>
      </c>
      <c r="D1607" s="76" t="s">
        <v>902</v>
      </c>
      <c r="E1607" s="79"/>
      <c r="F1607" s="79"/>
      <c r="G1607" s="76" t="s">
        <v>1555</v>
      </c>
    </row>
    <row r="1608" spans="1:7">
      <c r="A1608" s="77">
        <f t="shared" ca="1" si="124"/>
        <v>45978</v>
      </c>
      <c r="B1608" s="80">
        <f t="shared" ca="1" si="125"/>
        <v>45978.143328009261</v>
      </c>
      <c r="C1608" s="76" t="s">
        <v>271</v>
      </c>
      <c r="D1608" s="150" t="s">
        <v>1007</v>
      </c>
      <c r="E1608" s="79" t="s">
        <v>1700</v>
      </c>
      <c r="F1608" s="79"/>
      <c r="G1608" s="76" t="s">
        <v>1701</v>
      </c>
    </row>
    <row r="1609" spans="1:7">
      <c r="A1609" s="77">
        <v>45978</v>
      </c>
      <c r="B1609" s="80">
        <v>0.15225694444444443</v>
      </c>
      <c r="C1609" s="76" t="s">
        <v>271</v>
      </c>
      <c r="D1609" s="210" t="s">
        <v>922</v>
      </c>
      <c r="E1609" s="79"/>
      <c r="F1609" s="79"/>
    </row>
    <row r="1610" spans="1:7">
      <c r="A1610" s="77">
        <f t="shared" ca="1" si="124"/>
        <v>45978</v>
      </c>
      <c r="B1610" s="80">
        <f t="shared" ca="1" si="125"/>
        <v>45978.14527523148</v>
      </c>
      <c r="C1610" s="76" t="s">
        <v>274</v>
      </c>
      <c r="D1610" s="76" t="s">
        <v>902</v>
      </c>
      <c r="E1610" s="79" t="s">
        <v>1148</v>
      </c>
      <c r="F1610" s="79"/>
    </row>
    <row r="1611" spans="1:7">
      <c r="A1611" s="77">
        <f t="shared" ca="1" si="124"/>
        <v>45978</v>
      </c>
      <c r="B1611" s="80">
        <f t="shared" ca="1" si="125"/>
        <v>45978.187964583332</v>
      </c>
      <c r="C1611" s="76" t="s">
        <v>274</v>
      </c>
      <c r="D1611" s="210" t="s">
        <v>906</v>
      </c>
      <c r="E1611" s="79"/>
      <c r="F1611" s="79"/>
    </row>
    <row r="1612" spans="1:7">
      <c r="A1612" s="77">
        <f t="shared" ca="1" si="124"/>
        <v>45978</v>
      </c>
      <c r="B1612" s="80">
        <f t="shared" ca="1" si="125"/>
        <v>45978.205057523148</v>
      </c>
      <c r="C1612" s="76" t="s">
        <v>274</v>
      </c>
      <c r="D1612" s="210" t="s">
        <v>909</v>
      </c>
      <c r="E1612" s="79"/>
      <c r="F1612" s="79"/>
    </row>
    <row r="1613" spans="1:7">
      <c r="A1613" s="77">
        <f t="shared" ca="1" si="124"/>
        <v>45978</v>
      </c>
      <c r="B1613" s="80">
        <f t="shared" ca="1" si="125"/>
        <v>45978.208777083331</v>
      </c>
      <c r="C1613" s="76" t="s">
        <v>274</v>
      </c>
      <c r="D1613" s="76" t="s">
        <v>902</v>
      </c>
      <c r="E1613" s="79" t="s">
        <v>1234</v>
      </c>
      <c r="F1613" s="79"/>
    </row>
    <row r="1614" spans="1:7">
      <c r="A1614" s="77">
        <f t="shared" ca="1" si="124"/>
        <v>45978</v>
      </c>
      <c r="B1614" s="80">
        <f t="shared" ca="1" si="125"/>
        <v>45978.212126041668</v>
      </c>
      <c r="C1614" s="76" t="s">
        <v>274</v>
      </c>
      <c r="D1614" s="76" t="s">
        <v>902</v>
      </c>
      <c r="E1614" s="79" t="s">
        <v>1702</v>
      </c>
      <c r="F1614" s="79"/>
    </row>
    <row r="1615" spans="1:7">
      <c r="A1615" s="77">
        <f t="shared" ca="1" si="124"/>
        <v>45978</v>
      </c>
      <c r="B1615" s="80">
        <f t="shared" ca="1" si="125"/>
        <v>45978.212992824076</v>
      </c>
      <c r="C1615" s="76" t="s">
        <v>274</v>
      </c>
      <c r="D1615" s="76" t="s">
        <v>902</v>
      </c>
      <c r="E1615" s="79" t="s">
        <v>1148</v>
      </c>
      <c r="F1615" s="79"/>
    </row>
    <row r="1616" spans="1:7">
      <c r="A1616" s="77">
        <f t="shared" ca="1" si="124"/>
        <v>45978</v>
      </c>
      <c r="B1616" s="80">
        <f t="shared" ca="1" si="125"/>
        <v>45978.216137731484</v>
      </c>
      <c r="C1616" s="76" t="s">
        <v>274</v>
      </c>
      <c r="D1616" s="76" t="s">
        <v>902</v>
      </c>
      <c r="E1616" s="79" t="s">
        <v>1703</v>
      </c>
      <c r="F1616" s="79"/>
    </row>
    <row r="1617" spans="1:6">
      <c r="A1617" s="77">
        <f t="shared" ca="1" si="124"/>
        <v>45978</v>
      </c>
      <c r="B1617" s="80">
        <f t="shared" ca="1" si="125"/>
        <v>45978.217485879628</v>
      </c>
      <c r="C1617" s="76" t="s">
        <v>274</v>
      </c>
      <c r="D1617" s="76" t="s">
        <v>902</v>
      </c>
      <c r="E1617" s="79" t="s">
        <v>1704</v>
      </c>
      <c r="F1617" s="79"/>
    </row>
    <row r="1618" spans="1:6">
      <c r="A1618" s="77">
        <f t="shared" ca="1" si="124"/>
        <v>45978</v>
      </c>
      <c r="B1618" s="80">
        <f t="shared" ca="1" si="125"/>
        <v>45978.220202199074</v>
      </c>
      <c r="C1618" s="76" t="s">
        <v>274</v>
      </c>
      <c r="D1618" s="76" t="s">
        <v>902</v>
      </c>
      <c r="E1618" s="79" t="s">
        <v>1705</v>
      </c>
      <c r="F1618" s="79"/>
    </row>
    <row r="1619" spans="1:6">
      <c r="A1619" s="77">
        <f t="shared" ca="1" si="124"/>
        <v>45978</v>
      </c>
      <c r="B1619" s="80">
        <f t="shared" ca="1" si="125"/>
        <v>45978.221099074071</v>
      </c>
      <c r="C1619" s="76" t="s">
        <v>274</v>
      </c>
      <c r="D1619" s="76" t="s">
        <v>902</v>
      </c>
      <c r="E1619" s="79" t="s">
        <v>1706</v>
      </c>
      <c r="F1619" s="79"/>
    </row>
    <row r="1620" spans="1:6">
      <c r="A1620" s="77">
        <f t="shared" ca="1" si="124"/>
        <v>45978</v>
      </c>
      <c r="B1620" s="80">
        <f t="shared" ca="1" si="125"/>
        <v>45978.22374050926</v>
      </c>
      <c r="C1620" s="76" t="s">
        <v>274</v>
      </c>
      <c r="D1620" s="76" t="s">
        <v>902</v>
      </c>
      <c r="E1620" s="79" t="s">
        <v>1707</v>
      </c>
      <c r="F1620" s="79"/>
    </row>
    <row r="1621" spans="1:6">
      <c r="A1621" s="77">
        <f t="shared" ca="1" si="124"/>
        <v>45978</v>
      </c>
      <c r="B1621" s="80">
        <f t="shared" ca="1" si="125"/>
        <v>45978.224114699071</v>
      </c>
      <c r="C1621" s="76" t="s">
        <v>274</v>
      </c>
      <c r="D1621" s="76" t="s">
        <v>902</v>
      </c>
      <c r="E1621" s="79" t="s">
        <v>1708</v>
      </c>
      <c r="F1621" s="79"/>
    </row>
    <row r="1622" spans="1:6">
      <c r="A1622" s="77">
        <f t="shared" ca="1" si="124"/>
        <v>45978</v>
      </c>
      <c r="B1622" s="80">
        <f t="shared" ca="1" si="125"/>
        <v>45978.225395254631</v>
      </c>
      <c r="C1622" s="76" t="s">
        <v>274</v>
      </c>
      <c r="D1622" s="76" t="s">
        <v>902</v>
      </c>
      <c r="E1622" s="79" t="s">
        <v>1709</v>
      </c>
      <c r="F1622" s="79"/>
    </row>
    <row r="1623" spans="1:6">
      <c r="A1623" s="77">
        <f t="shared" ca="1" si="124"/>
        <v>45978</v>
      </c>
      <c r="B1623" s="80">
        <f t="shared" ca="1" si="125"/>
        <v>45978.228692129633</v>
      </c>
      <c r="C1623" s="76" t="s">
        <v>274</v>
      </c>
      <c r="D1623" s="76" t="s">
        <v>902</v>
      </c>
      <c r="E1623" s="79" t="s">
        <v>1710</v>
      </c>
      <c r="F1623" s="79"/>
    </row>
    <row r="1624" spans="1:6">
      <c r="A1624" s="77">
        <f t="shared" ca="1" si="124"/>
        <v>45978</v>
      </c>
      <c r="B1624" s="80">
        <f t="shared" ca="1" si="125"/>
        <v>45978.234438657404</v>
      </c>
      <c r="C1624" s="76" t="s">
        <v>274</v>
      </c>
      <c r="D1624" s="76" t="s">
        <v>902</v>
      </c>
      <c r="E1624" s="79" t="s">
        <v>1116</v>
      </c>
      <c r="F1624" s="79"/>
    </row>
    <row r="1625" spans="1:6">
      <c r="A1625" s="77">
        <f t="shared" ca="1" si="124"/>
        <v>45978</v>
      </c>
      <c r="B1625" s="80">
        <f t="shared" ca="1" si="125"/>
        <v>45978.25130625</v>
      </c>
      <c r="C1625" s="76" t="s">
        <v>274</v>
      </c>
      <c r="D1625" s="76" t="s">
        <v>902</v>
      </c>
      <c r="E1625" s="79" t="s">
        <v>1711</v>
      </c>
      <c r="F1625" s="79"/>
    </row>
    <row r="1626" spans="1:6">
      <c r="A1626" s="77">
        <f t="shared" ca="1" si="124"/>
        <v>45978</v>
      </c>
      <c r="B1626" s="80">
        <f t="shared" ca="1" si="125"/>
        <v>45978.254179745367</v>
      </c>
      <c r="C1626" s="76" t="s">
        <v>274</v>
      </c>
      <c r="D1626" s="76" t="s">
        <v>902</v>
      </c>
      <c r="E1626" s="79" t="s">
        <v>1712</v>
      </c>
      <c r="F1626" s="79"/>
    </row>
    <row r="1627" spans="1:6">
      <c r="A1627" s="77">
        <f t="shared" ca="1" si="124"/>
        <v>45978</v>
      </c>
      <c r="B1627" s="80">
        <f t="shared" ca="1" si="125"/>
        <v>45978.254749652777</v>
      </c>
      <c r="C1627" s="76" t="s">
        <v>274</v>
      </c>
      <c r="D1627" s="76" t="s">
        <v>902</v>
      </c>
      <c r="E1627" s="79" t="s">
        <v>1116</v>
      </c>
      <c r="F1627" s="79"/>
    </row>
    <row r="1628" spans="1:6">
      <c r="A1628" s="77">
        <f t="shared" ca="1" si="124"/>
        <v>45978</v>
      </c>
      <c r="B1628" s="80">
        <f t="shared" ca="1" si="125"/>
        <v>45978.257185995368</v>
      </c>
      <c r="C1628" s="76" t="s">
        <v>274</v>
      </c>
      <c r="D1628" s="76" t="s">
        <v>902</v>
      </c>
      <c r="E1628" s="79" t="s">
        <v>1713</v>
      </c>
      <c r="F1628" s="79"/>
    </row>
    <row r="1629" spans="1:6" ht="30">
      <c r="A1629" s="77">
        <f t="shared" ca="1" si="124"/>
        <v>45978</v>
      </c>
      <c r="B1629" s="80">
        <f t="shared" ca="1" si="125"/>
        <v>45978.259716782406</v>
      </c>
      <c r="C1629" s="76" t="s">
        <v>274</v>
      </c>
      <c r="D1629" s="76" t="s">
        <v>902</v>
      </c>
      <c r="E1629" s="79"/>
      <c r="F1629" s="79" t="s">
        <v>1714</v>
      </c>
    </row>
    <row r="1630" spans="1:6">
      <c r="A1630" s="77">
        <f t="shared" ca="1" si="124"/>
        <v>45978</v>
      </c>
      <c r="B1630" s="80">
        <f t="shared" ca="1" si="125"/>
        <v>45978.260618171298</v>
      </c>
      <c r="C1630" s="76" t="s">
        <v>274</v>
      </c>
      <c r="D1630" s="76" t="s">
        <v>902</v>
      </c>
      <c r="E1630" s="79" t="s">
        <v>1715</v>
      </c>
      <c r="F1630" s="79"/>
    </row>
    <row r="1631" spans="1:6">
      <c r="A1631" s="77">
        <f t="shared" ca="1" si="124"/>
        <v>45978</v>
      </c>
      <c r="B1631" s="80">
        <f t="shared" ca="1" si="125"/>
        <v>45978.268097337961</v>
      </c>
      <c r="C1631" s="76" t="s">
        <v>274</v>
      </c>
      <c r="D1631" s="76" t="s">
        <v>902</v>
      </c>
      <c r="E1631" s="79" t="s">
        <v>1716</v>
      </c>
      <c r="F1631" s="79"/>
    </row>
    <row r="1632" spans="1:6">
      <c r="A1632" s="77">
        <f t="shared" ca="1" si="124"/>
        <v>45978</v>
      </c>
      <c r="B1632" s="80">
        <f t="shared" ca="1" si="125"/>
        <v>45978.270262152779</v>
      </c>
      <c r="C1632" s="76" t="s">
        <v>274</v>
      </c>
      <c r="D1632" s="76" t="s">
        <v>902</v>
      </c>
      <c r="E1632" s="79" t="s">
        <v>1717</v>
      </c>
      <c r="F1632" s="79"/>
    </row>
    <row r="1633" spans="1:7">
      <c r="A1633" s="77">
        <f t="shared" ca="1" si="124"/>
        <v>45978</v>
      </c>
      <c r="B1633" s="80">
        <f t="shared" ca="1" si="125"/>
        <v>45978.274863888888</v>
      </c>
      <c r="C1633" s="76" t="s">
        <v>274</v>
      </c>
      <c r="D1633" s="76" t="s">
        <v>902</v>
      </c>
      <c r="E1633" s="79" t="s">
        <v>1234</v>
      </c>
      <c r="F1633" s="79"/>
    </row>
    <row r="1634" spans="1:7">
      <c r="A1634" s="77">
        <f t="shared" ref="A1634:A1665" ca="1" si="126">IF(C1634&lt;&gt;0,IF(A1634=0,TODAY(),A1634),)</f>
        <v>45978</v>
      </c>
      <c r="B1634" s="80">
        <f t="shared" ref="B1634:B1665" ca="1" si="127">IF(C1634&lt;&gt;0,IF(B1634=0,NOW(),B1634),)</f>
        <v>45978.275512962966</v>
      </c>
      <c r="C1634" s="76" t="s">
        <v>274</v>
      </c>
      <c r="D1634" s="76" t="s">
        <v>902</v>
      </c>
      <c r="E1634" s="79" t="s">
        <v>1602</v>
      </c>
      <c r="F1634" s="79"/>
    </row>
    <row r="1635" spans="1:7">
      <c r="A1635" s="77">
        <f t="shared" ca="1" si="126"/>
        <v>45978</v>
      </c>
      <c r="B1635" s="80">
        <f t="shared" ca="1" si="127"/>
        <v>45978.285319212962</v>
      </c>
      <c r="C1635" s="76" t="s">
        <v>274</v>
      </c>
      <c r="D1635" s="76" t="s">
        <v>902</v>
      </c>
      <c r="E1635" s="79"/>
      <c r="F1635" s="79" t="s">
        <v>1718</v>
      </c>
    </row>
    <row r="1636" spans="1:7">
      <c r="A1636" s="77">
        <f t="shared" ca="1" si="126"/>
        <v>45978</v>
      </c>
      <c r="B1636" s="80">
        <f t="shared" ca="1" si="127"/>
        <v>45978.288038194441</v>
      </c>
      <c r="C1636" s="76" t="s">
        <v>274</v>
      </c>
      <c r="D1636" s="76" t="s">
        <v>902</v>
      </c>
      <c r="E1636" s="79" t="s">
        <v>1239</v>
      </c>
      <c r="F1636" s="79"/>
    </row>
    <row r="1637" spans="1:7">
      <c r="A1637" s="77">
        <f t="shared" ca="1" si="126"/>
        <v>45978</v>
      </c>
      <c r="B1637" s="80">
        <f t="shared" ca="1" si="127"/>
        <v>45978.29397939815</v>
      </c>
      <c r="C1637" s="76" t="s">
        <v>274</v>
      </c>
      <c r="D1637" s="76" t="s">
        <v>902</v>
      </c>
      <c r="E1637" s="79"/>
      <c r="F1637" s="79" t="s">
        <v>1719</v>
      </c>
    </row>
    <row r="1638" spans="1:7">
      <c r="A1638" s="77">
        <f t="shared" ca="1" si="126"/>
        <v>45978</v>
      </c>
      <c r="B1638" s="80">
        <f t="shared" ca="1" si="127"/>
        <v>45978.303563657406</v>
      </c>
      <c r="C1638" s="76" t="s">
        <v>274</v>
      </c>
      <c r="D1638" s="76" t="s">
        <v>902</v>
      </c>
      <c r="E1638" s="79"/>
      <c r="F1638" s="79" t="s">
        <v>1720</v>
      </c>
    </row>
    <row r="1639" spans="1:7">
      <c r="A1639" s="77">
        <f t="shared" ca="1" si="126"/>
        <v>45978</v>
      </c>
      <c r="B1639" s="80">
        <f t="shared" ca="1" si="127"/>
        <v>45978.309021759262</v>
      </c>
      <c r="C1639" s="76" t="s">
        <v>274</v>
      </c>
      <c r="D1639" s="76" t="s">
        <v>902</v>
      </c>
      <c r="E1639" s="79" t="s">
        <v>1715</v>
      </c>
      <c r="F1639" s="79"/>
    </row>
    <row r="1640" spans="1:7">
      <c r="A1640" s="77">
        <f t="shared" ca="1" si="126"/>
        <v>45978</v>
      </c>
      <c r="B1640" s="80">
        <f t="shared" ca="1" si="127"/>
        <v>45978.316483333336</v>
      </c>
      <c r="C1640" s="76" t="s">
        <v>274</v>
      </c>
      <c r="D1640" s="210" t="s">
        <v>922</v>
      </c>
      <c r="E1640" s="79"/>
      <c r="F1640" s="79"/>
    </row>
    <row r="1641" spans="1:7">
      <c r="A1641" s="77">
        <f t="shared" ca="1" si="126"/>
        <v>45978</v>
      </c>
      <c r="B1641" s="80">
        <f t="shared" ca="1" si="127"/>
        <v>45978.358982754631</v>
      </c>
      <c r="C1641" s="76" t="s">
        <v>277</v>
      </c>
      <c r="D1641" s="210" t="s">
        <v>906</v>
      </c>
      <c r="E1641" s="79"/>
      <c r="F1641" s="79"/>
    </row>
    <row r="1642" spans="1:7">
      <c r="A1642" s="77">
        <f t="shared" ca="1" si="126"/>
        <v>45978</v>
      </c>
      <c r="B1642" s="80">
        <f t="shared" ca="1" si="127"/>
        <v>45978.38700347222</v>
      </c>
      <c r="C1642" s="76" t="s">
        <v>277</v>
      </c>
      <c r="D1642" s="210" t="s">
        <v>909</v>
      </c>
      <c r="E1642" s="79"/>
      <c r="F1642" s="79"/>
    </row>
    <row r="1643" spans="1:7">
      <c r="A1643" s="77">
        <f t="shared" ca="1" si="126"/>
        <v>45978</v>
      </c>
      <c r="B1643" s="80">
        <f t="shared" ca="1" si="127"/>
        <v>45978.396227777775</v>
      </c>
      <c r="C1643" s="76" t="s">
        <v>277</v>
      </c>
      <c r="D1643" s="150" t="s">
        <v>1070</v>
      </c>
      <c r="E1643" s="79"/>
      <c r="F1643" s="79"/>
      <c r="G1643" s="76" t="s">
        <v>1721</v>
      </c>
    </row>
    <row r="1644" spans="1:7">
      <c r="A1644" s="77">
        <f t="shared" ca="1" si="126"/>
        <v>45978</v>
      </c>
      <c r="B1644" s="80">
        <f t="shared" ca="1" si="127"/>
        <v>45978.39674236111</v>
      </c>
      <c r="C1644" s="76" t="s">
        <v>277</v>
      </c>
      <c r="D1644" s="76" t="s">
        <v>902</v>
      </c>
      <c r="E1644" s="79" t="s">
        <v>1722</v>
      </c>
      <c r="F1644" s="79"/>
    </row>
    <row r="1645" spans="1:7">
      <c r="A1645" s="77">
        <f t="shared" ca="1" si="126"/>
        <v>45978</v>
      </c>
      <c r="B1645" s="80">
        <f t="shared" ca="1" si="127"/>
        <v>45978.400491203705</v>
      </c>
      <c r="C1645" s="76" t="s">
        <v>277</v>
      </c>
      <c r="D1645" s="76" t="s">
        <v>902</v>
      </c>
      <c r="E1645" s="79"/>
      <c r="F1645" s="79"/>
      <c r="G1645" s="76" t="s">
        <v>1723</v>
      </c>
    </row>
    <row r="1646" spans="1:7">
      <c r="A1646" s="77">
        <f t="shared" ca="1" si="126"/>
        <v>45978</v>
      </c>
      <c r="B1646" s="80">
        <f t="shared" ca="1" si="127"/>
        <v>45978.400703356485</v>
      </c>
      <c r="C1646" s="76" t="s">
        <v>277</v>
      </c>
      <c r="D1646" s="76" t="s">
        <v>902</v>
      </c>
      <c r="E1646" s="79" t="s">
        <v>1063</v>
      </c>
      <c r="F1646" s="79"/>
    </row>
    <row r="1647" spans="1:7">
      <c r="A1647" s="77">
        <f t="shared" ca="1" si="126"/>
        <v>45978</v>
      </c>
      <c r="B1647" s="80">
        <f t="shared" ca="1" si="127"/>
        <v>45978.401791550925</v>
      </c>
      <c r="C1647" s="76" t="s">
        <v>277</v>
      </c>
      <c r="D1647" s="76" t="s">
        <v>902</v>
      </c>
      <c r="E1647" s="79" t="s">
        <v>1722</v>
      </c>
      <c r="F1647" s="79"/>
    </row>
    <row r="1648" spans="1:7">
      <c r="A1648" s="77">
        <f t="shared" ca="1" si="126"/>
        <v>45978</v>
      </c>
      <c r="B1648" s="80">
        <f t="shared" ca="1" si="127"/>
        <v>45978.404572222222</v>
      </c>
      <c r="C1648" s="76" t="s">
        <v>277</v>
      </c>
      <c r="D1648" s="76" t="s">
        <v>902</v>
      </c>
      <c r="E1648" s="79" t="s">
        <v>1724</v>
      </c>
      <c r="F1648" s="79"/>
    </row>
    <row r="1649" spans="1:7">
      <c r="A1649" s="77">
        <f t="shared" ca="1" si="126"/>
        <v>45978</v>
      </c>
      <c r="B1649" s="80">
        <f t="shared" ca="1" si="127"/>
        <v>45978.406573379631</v>
      </c>
      <c r="C1649" s="76" t="s">
        <v>277</v>
      </c>
      <c r="D1649" s="76" t="s">
        <v>902</v>
      </c>
      <c r="E1649" s="79" t="s">
        <v>996</v>
      </c>
      <c r="F1649" s="79"/>
    </row>
    <row r="1650" spans="1:7">
      <c r="A1650" s="77">
        <f t="shared" ca="1" si="126"/>
        <v>45978</v>
      </c>
      <c r="B1650" s="80">
        <f t="shared" ca="1" si="127"/>
        <v>45978.423131249998</v>
      </c>
      <c r="C1650" s="76" t="s">
        <v>277</v>
      </c>
      <c r="D1650" s="76" t="s">
        <v>902</v>
      </c>
      <c r="E1650" s="79" t="s">
        <v>1725</v>
      </c>
      <c r="F1650" s="79"/>
    </row>
    <row r="1651" spans="1:7">
      <c r="A1651" s="77">
        <f t="shared" ca="1" si="126"/>
        <v>45978</v>
      </c>
      <c r="B1651" s="80">
        <f t="shared" ca="1" si="127"/>
        <v>45978.426323148145</v>
      </c>
      <c r="C1651" s="76" t="s">
        <v>277</v>
      </c>
      <c r="D1651" s="76" t="s">
        <v>902</v>
      </c>
      <c r="E1651" s="79"/>
      <c r="F1651" s="79"/>
      <c r="G1651" s="76" t="s">
        <v>1726</v>
      </c>
    </row>
    <row r="1652" spans="1:7">
      <c r="A1652" s="77">
        <f t="shared" ca="1" si="126"/>
        <v>45978</v>
      </c>
      <c r="B1652" s="80">
        <f t="shared" ca="1" si="127"/>
        <v>45978.434505902776</v>
      </c>
      <c r="C1652" s="76" t="s">
        <v>277</v>
      </c>
      <c r="D1652" s="76" t="s">
        <v>902</v>
      </c>
      <c r="E1652" s="79" t="s">
        <v>1727</v>
      </c>
      <c r="F1652" s="79"/>
    </row>
    <row r="1653" spans="1:7">
      <c r="A1653" s="77">
        <f t="shared" ca="1" si="126"/>
        <v>45978</v>
      </c>
      <c r="B1653" s="80">
        <f t="shared" ca="1" si="127"/>
        <v>45978.436000347225</v>
      </c>
      <c r="C1653" s="76" t="s">
        <v>277</v>
      </c>
      <c r="D1653" s="150" t="s">
        <v>1007</v>
      </c>
      <c r="E1653" s="79" t="s">
        <v>1728</v>
      </c>
      <c r="F1653" s="79"/>
    </row>
    <row r="1654" spans="1:7">
      <c r="A1654" s="77">
        <f t="shared" ca="1" si="126"/>
        <v>45978</v>
      </c>
      <c r="B1654" s="80">
        <f t="shared" ca="1" si="127"/>
        <v>45978.442997800928</v>
      </c>
      <c r="C1654" s="76" t="s">
        <v>277</v>
      </c>
      <c r="D1654" s="76" t="s">
        <v>902</v>
      </c>
      <c r="E1654" s="79" t="s">
        <v>1229</v>
      </c>
      <c r="F1654" s="79"/>
    </row>
    <row r="1655" spans="1:7">
      <c r="A1655" s="77">
        <f t="shared" ca="1" si="126"/>
        <v>45978</v>
      </c>
      <c r="B1655" s="80">
        <f t="shared" ca="1" si="127"/>
        <v>45978.443641087964</v>
      </c>
      <c r="C1655" s="76" t="s">
        <v>277</v>
      </c>
      <c r="D1655" s="76" t="s">
        <v>902</v>
      </c>
      <c r="E1655" s="79" t="s">
        <v>961</v>
      </c>
      <c r="F1655" s="79"/>
    </row>
    <row r="1656" spans="1:7">
      <c r="A1656" s="77">
        <f t="shared" ca="1" si="126"/>
        <v>45978</v>
      </c>
      <c r="B1656" s="80">
        <f t="shared" ca="1" si="127"/>
        <v>45978.444006597223</v>
      </c>
      <c r="C1656" s="76" t="s">
        <v>277</v>
      </c>
      <c r="D1656" s="76" t="s">
        <v>902</v>
      </c>
      <c r="E1656" s="79" t="s">
        <v>1034</v>
      </c>
      <c r="F1656" s="79"/>
    </row>
    <row r="1657" spans="1:7">
      <c r="A1657" s="77">
        <f t="shared" ca="1" si="126"/>
        <v>45978</v>
      </c>
      <c r="B1657" s="80">
        <f t="shared" ca="1" si="127"/>
        <v>45978.4456244213</v>
      </c>
      <c r="C1657" s="76" t="s">
        <v>277</v>
      </c>
      <c r="D1657" s="76" t="s">
        <v>902</v>
      </c>
      <c r="E1657" s="79" t="s">
        <v>1229</v>
      </c>
      <c r="F1657" s="79"/>
    </row>
    <row r="1658" spans="1:7">
      <c r="A1658" s="77">
        <f t="shared" ca="1" si="126"/>
        <v>45978</v>
      </c>
      <c r="B1658" s="80">
        <f t="shared" ca="1" si="127"/>
        <v>45978.452178703701</v>
      </c>
      <c r="C1658" s="76" t="s">
        <v>277</v>
      </c>
      <c r="D1658" s="76" t="s">
        <v>902</v>
      </c>
      <c r="E1658" s="79" t="s">
        <v>932</v>
      </c>
      <c r="F1658" s="79"/>
    </row>
    <row r="1659" spans="1:7">
      <c r="A1659" s="77">
        <f t="shared" ca="1" si="126"/>
        <v>45978</v>
      </c>
      <c r="B1659" s="80">
        <f t="shared" ca="1" si="127"/>
        <v>45978.453086805559</v>
      </c>
      <c r="C1659" s="76" t="s">
        <v>277</v>
      </c>
      <c r="D1659" s="210" t="s">
        <v>922</v>
      </c>
      <c r="E1659" s="79"/>
      <c r="F1659" s="79"/>
    </row>
    <row r="1660" spans="1:7">
      <c r="A1660" s="77">
        <f t="shared" ca="1" si="126"/>
        <v>45978</v>
      </c>
      <c r="B1660" s="80">
        <f t="shared" ca="1" si="127"/>
        <v>45978.50419363426</v>
      </c>
      <c r="C1660" s="76" t="s">
        <v>280</v>
      </c>
      <c r="D1660" s="210" t="s">
        <v>906</v>
      </c>
      <c r="E1660" s="79"/>
      <c r="F1660" s="79"/>
    </row>
    <row r="1661" spans="1:7">
      <c r="A1661" s="77">
        <f t="shared" ca="1" si="126"/>
        <v>45978</v>
      </c>
      <c r="B1661" s="80">
        <f t="shared" ca="1" si="127"/>
        <v>45978.537702199072</v>
      </c>
      <c r="C1661" s="76" t="s">
        <v>280</v>
      </c>
      <c r="D1661" s="210" t="s">
        <v>909</v>
      </c>
      <c r="E1661" s="79"/>
      <c r="F1661" s="79"/>
    </row>
    <row r="1662" spans="1:7">
      <c r="A1662" s="77">
        <f t="shared" ca="1" si="126"/>
        <v>45978</v>
      </c>
      <c r="B1662" s="80">
        <f t="shared" ca="1" si="127"/>
        <v>45978.553980208337</v>
      </c>
      <c r="C1662" s="76" t="s">
        <v>280</v>
      </c>
      <c r="D1662" s="76" t="s">
        <v>902</v>
      </c>
      <c r="E1662" s="79" t="s">
        <v>1729</v>
      </c>
      <c r="F1662" s="79"/>
    </row>
    <row r="1663" spans="1:7">
      <c r="A1663" s="77">
        <f t="shared" ca="1" si="126"/>
        <v>45978</v>
      </c>
      <c r="B1663" s="80">
        <f t="shared" ca="1" si="127"/>
        <v>45978.554979050925</v>
      </c>
      <c r="C1663" s="76" t="s">
        <v>280</v>
      </c>
      <c r="D1663" s="76" t="s">
        <v>902</v>
      </c>
      <c r="E1663" s="79" t="s">
        <v>932</v>
      </c>
      <c r="F1663" s="79"/>
    </row>
    <row r="1664" spans="1:7">
      <c r="A1664" s="77">
        <f t="shared" ca="1" si="126"/>
        <v>45978</v>
      </c>
      <c r="B1664" s="80">
        <f t="shared" ca="1" si="127"/>
        <v>45978.55760925926</v>
      </c>
      <c r="C1664" s="76" t="s">
        <v>280</v>
      </c>
      <c r="D1664" s="76" t="s">
        <v>902</v>
      </c>
      <c r="E1664" s="79" t="s">
        <v>1730</v>
      </c>
      <c r="F1664" s="79"/>
    </row>
    <row r="1665" spans="1:6">
      <c r="A1665" s="77">
        <f t="shared" ca="1" si="126"/>
        <v>45978</v>
      </c>
      <c r="B1665" s="80">
        <f t="shared" ca="1" si="127"/>
        <v>45978.565008564816</v>
      </c>
      <c r="C1665" s="76" t="s">
        <v>280</v>
      </c>
      <c r="D1665" s="76" t="s">
        <v>902</v>
      </c>
      <c r="E1665" s="79" t="s">
        <v>1631</v>
      </c>
      <c r="F1665" s="79"/>
    </row>
    <row r="1666" spans="1:6">
      <c r="A1666" s="77">
        <f t="shared" ref="A1666:A1697" ca="1" si="128">IF(C1666&lt;&gt;0,IF(A1666=0,TODAY(),A1666),)</f>
        <v>45978</v>
      </c>
      <c r="B1666" s="80">
        <f t="shared" ref="B1666:B1697" ca="1" si="129">IF(C1666&lt;&gt;0,IF(B1666=0,NOW(),B1666),)</f>
        <v>45978.582171527778</v>
      </c>
      <c r="C1666" s="76" t="s">
        <v>280</v>
      </c>
      <c r="D1666" s="76" t="s">
        <v>902</v>
      </c>
      <c r="E1666" s="79" t="s">
        <v>1631</v>
      </c>
      <c r="F1666" s="79"/>
    </row>
    <row r="1667" spans="1:6">
      <c r="A1667" s="77">
        <f t="shared" ca="1" si="128"/>
        <v>45978</v>
      </c>
      <c r="B1667" s="80">
        <f t="shared" ca="1" si="129"/>
        <v>45978.582652546298</v>
      </c>
      <c r="C1667" s="76" t="s">
        <v>280</v>
      </c>
      <c r="D1667" s="76" t="s">
        <v>902</v>
      </c>
      <c r="E1667" s="79" t="s">
        <v>1306</v>
      </c>
      <c r="F1667" s="79"/>
    </row>
    <row r="1668" spans="1:6">
      <c r="A1668" s="77">
        <f t="shared" ca="1" si="128"/>
        <v>45978</v>
      </c>
      <c r="B1668" s="80">
        <f t="shared" ca="1" si="129"/>
        <v>45978.586954513892</v>
      </c>
      <c r="C1668" s="76" t="s">
        <v>280</v>
      </c>
      <c r="D1668" s="76" t="s">
        <v>902</v>
      </c>
      <c r="E1668" s="79" t="s">
        <v>1234</v>
      </c>
      <c r="F1668" s="79"/>
    </row>
    <row r="1669" spans="1:6">
      <c r="A1669" s="77">
        <f t="shared" ca="1" si="128"/>
        <v>45978</v>
      </c>
      <c r="B1669" s="80">
        <f t="shared" ca="1" si="129"/>
        <v>45978.587504976851</v>
      </c>
      <c r="C1669" s="76" t="s">
        <v>280</v>
      </c>
      <c r="D1669" s="76" t="s">
        <v>902</v>
      </c>
      <c r="E1669" s="79" t="s">
        <v>1631</v>
      </c>
      <c r="F1669" s="79"/>
    </row>
    <row r="1670" spans="1:6">
      <c r="A1670" s="77">
        <f t="shared" ca="1" si="128"/>
        <v>45978</v>
      </c>
      <c r="B1670" s="80">
        <f t="shared" ca="1" si="129"/>
        <v>45978.587864120367</v>
      </c>
      <c r="C1670" s="76" t="s">
        <v>280</v>
      </c>
      <c r="D1670" s="76" t="s">
        <v>902</v>
      </c>
      <c r="E1670" s="79" t="s">
        <v>1306</v>
      </c>
      <c r="F1670" s="79"/>
    </row>
    <row r="1671" spans="1:6">
      <c r="A1671" s="77">
        <f t="shared" ca="1" si="128"/>
        <v>45978</v>
      </c>
      <c r="B1671" s="80">
        <f t="shared" ca="1" si="129"/>
        <v>45978.590349074075</v>
      </c>
      <c r="C1671" s="76" t="s">
        <v>280</v>
      </c>
      <c r="D1671" s="76" t="s">
        <v>902</v>
      </c>
      <c r="E1671" s="79" t="s">
        <v>1208</v>
      </c>
      <c r="F1671" s="79"/>
    </row>
    <row r="1672" spans="1:6">
      <c r="A1672" s="77">
        <f t="shared" ca="1" si="128"/>
        <v>45978</v>
      </c>
      <c r="B1672" s="80">
        <f t="shared" ca="1" si="129"/>
        <v>45978.590608449071</v>
      </c>
      <c r="C1672" s="76" t="s">
        <v>280</v>
      </c>
      <c r="D1672" s="76" t="s">
        <v>902</v>
      </c>
      <c r="E1672" s="79" t="s">
        <v>1631</v>
      </c>
      <c r="F1672" s="79"/>
    </row>
    <row r="1673" spans="1:6">
      <c r="A1673" s="77">
        <f t="shared" ca="1" si="128"/>
        <v>45978</v>
      </c>
      <c r="B1673" s="80">
        <f t="shared" ca="1" si="129"/>
        <v>45978.591110879628</v>
      </c>
      <c r="C1673" s="76" t="s">
        <v>280</v>
      </c>
      <c r="D1673" s="76" t="s">
        <v>902</v>
      </c>
      <c r="E1673" s="79" t="s">
        <v>1631</v>
      </c>
      <c r="F1673" s="79"/>
    </row>
    <row r="1674" spans="1:6">
      <c r="A1674" s="77">
        <f t="shared" ca="1" si="128"/>
        <v>45978</v>
      </c>
      <c r="B1674" s="80">
        <f t="shared" ca="1" si="129"/>
        <v>45978.59174236111</v>
      </c>
      <c r="C1674" s="76" t="s">
        <v>280</v>
      </c>
      <c r="D1674" s="76" t="s">
        <v>902</v>
      </c>
      <c r="E1674" s="79" t="s">
        <v>1208</v>
      </c>
      <c r="F1674" s="79"/>
    </row>
    <row r="1675" spans="1:6">
      <c r="A1675" s="77">
        <f t="shared" ca="1" si="128"/>
        <v>45978</v>
      </c>
      <c r="B1675" s="80">
        <f t="shared" ca="1" si="129"/>
        <v>45978.594089583334</v>
      </c>
      <c r="C1675" s="76" t="s">
        <v>280</v>
      </c>
      <c r="D1675" s="76" t="s">
        <v>902</v>
      </c>
      <c r="E1675" s="79" t="s">
        <v>1148</v>
      </c>
      <c r="F1675" s="79"/>
    </row>
    <row r="1676" spans="1:6">
      <c r="A1676" s="77">
        <f t="shared" ca="1" si="128"/>
        <v>45978</v>
      </c>
      <c r="B1676" s="80">
        <f t="shared" ca="1" si="129"/>
        <v>45978.597478703705</v>
      </c>
      <c r="C1676" s="76" t="s">
        <v>280</v>
      </c>
      <c r="D1676" s="76" t="s">
        <v>902</v>
      </c>
      <c r="E1676" s="79" t="s">
        <v>1234</v>
      </c>
      <c r="F1676" s="79"/>
    </row>
    <row r="1677" spans="1:6">
      <c r="A1677" s="77">
        <f t="shared" ca="1" si="128"/>
        <v>45978</v>
      </c>
      <c r="B1677" s="80">
        <f t="shared" ca="1" si="129"/>
        <v>45978.597770949076</v>
      </c>
      <c r="C1677" s="76" t="s">
        <v>280</v>
      </c>
      <c r="D1677" s="76" t="s">
        <v>902</v>
      </c>
      <c r="E1677" s="79" t="s">
        <v>1208</v>
      </c>
      <c r="F1677" s="79"/>
    </row>
    <row r="1678" spans="1:6">
      <c r="A1678" s="77">
        <f t="shared" ca="1" si="128"/>
        <v>45978</v>
      </c>
      <c r="B1678" s="80">
        <f t="shared" ca="1" si="129"/>
        <v>45978.598074421294</v>
      </c>
      <c r="C1678" s="76" t="s">
        <v>280</v>
      </c>
      <c r="D1678" s="76" t="s">
        <v>902</v>
      </c>
      <c r="E1678" s="79" t="s">
        <v>1631</v>
      </c>
      <c r="F1678" s="79"/>
    </row>
    <row r="1679" spans="1:6">
      <c r="A1679" s="77">
        <f t="shared" ca="1" si="128"/>
        <v>45978</v>
      </c>
      <c r="B1679" s="80">
        <f t="shared" ca="1" si="129"/>
        <v>45978.598385300924</v>
      </c>
      <c r="C1679" s="76" t="s">
        <v>280</v>
      </c>
      <c r="D1679" s="76" t="s">
        <v>902</v>
      </c>
      <c r="E1679" s="79" t="s">
        <v>1026</v>
      </c>
      <c r="F1679" s="79"/>
    </row>
    <row r="1680" spans="1:6">
      <c r="A1680" s="77">
        <f t="shared" ca="1" si="128"/>
        <v>45978</v>
      </c>
      <c r="B1680" s="80">
        <f t="shared" ca="1" si="129"/>
        <v>45978.601611111109</v>
      </c>
      <c r="C1680" s="76" t="s">
        <v>280</v>
      </c>
      <c r="D1680" s="76" t="s">
        <v>902</v>
      </c>
      <c r="E1680" s="79" t="s">
        <v>1630</v>
      </c>
      <c r="F1680" s="79"/>
    </row>
    <row r="1681" spans="1:7">
      <c r="A1681" s="77">
        <f t="shared" ca="1" si="128"/>
        <v>45978</v>
      </c>
      <c r="B1681" s="80">
        <f t="shared" ca="1" si="129"/>
        <v>45978.603194212963</v>
      </c>
      <c r="C1681" s="76" t="s">
        <v>280</v>
      </c>
      <c r="D1681" s="76" t="s">
        <v>902</v>
      </c>
      <c r="E1681" s="79" t="s">
        <v>1306</v>
      </c>
      <c r="F1681" s="79"/>
    </row>
    <row r="1682" spans="1:7">
      <c r="A1682" s="77">
        <f t="shared" ca="1" si="128"/>
        <v>45978</v>
      </c>
      <c r="B1682" s="80">
        <f t="shared" ca="1" si="129"/>
        <v>45978.603579861112</v>
      </c>
      <c r="C1682" s="76" t="s">
        <v>280</v>
      </c>
      <c r="D1682" s="210" t="s">
        <v>922</v>
      </c>
      <c r="E1682" s="79"/>
      <c r="F1682" s="79"/>
      <c r="G1682" s="76" t="s">
        <v>1731</v>
      </c>
    </row>
    <row r="1683" spans="1:7">
      <c r="A1683" s="77">
        <v>45978</v>
      </c>
      <c r="B1683" s="80">
        <v>0.64583333333333337</v>
      </c>
      <c r="C1683" s="76" t="s">
        <v>283</v>
      </c>
      <c r="D1683" s="210" t="s">
        <v>906</v>
      </c>
      <c r="E1683" s="79"/>
      <c r="F1683" s="79"/>
    </row>
    <row r="1684" spans="1:7">
      <c r="A1684" s="77">
        <f t="shared" ca="1" si="128"/>
        <v>45978</v>
      </c>
      <c r="B1684" s="80">
        <f t="shared" ca="1" si="129"/>
        <v>45978.662329629631</v>
      </c>
      <c r="C1684" s="76" t="s">
        <v>283</v>
      </c>
      <c r="D1684" s="210" t="s">
        <v>909</v>
      </c>
      <c r="E1684" s="79"/>
      <c r="F1684" s="79"/>
      <c r="G1684" s="76" t="s">
        <v>1732</v>
      </c>
    </row>
    <row r="1685" spans="1:7">
      <c r="A1685" s="77">
        <f t="shared" ca="1" si="128"/>
        <v>45978</v>
      </c>
      <c r="B1685" s="80">
        <f t="shared" ca="1" si="129"/>
        <v>45978.66555636574</v>
      </c>
      <c r="C1685" s="76" t="s">
        <v>283</v>
      </c>
      <c r="D1685" s="76" t="s">
        <v>902</v>
      </c>
      <c r="E1685" s="79" t="s">
        <v>1733</v>
      </c>
      <c r="F1685" s="79"/>
    </row>
    <row r="1686" spans="1:7">
      <c r="A1686" s="77">
        <f t="shared" ca="1" si="128"/>
        <v>45978</v>
      </c>
      <c r="B1686" s="80">
        <f t="shared" ca="1" si="129"/>
        <v>45978.675782523147</v>
      </c>
      <c r="C1686" s="76" t="s">
        <v>283</v>
      </c>
      <c r="D1686" s="76" t="s">
        <v>902</v>
      </c>
      <c r="E1686" s="79" t="s">
        <v>1734</v>
      </c>
      <c r="F1686" s="79"/>
    </row>
    <row r="1687" spans="1:7">
      <c r="A1687" s="77">
        <f t="shared" ca="1" si="128"/>
        <v>45978</v>
      </c>
      <c r="B1687" s="80">
        <f t="shared" ca="1" si="129"/>
        <v>45978.677812268521</v>
      </c>
      <c r="C1687" s="76" t="s">
        <v>283</v>
      </c>
      <c r="D1687" s="76" t="s">
        <v>902</v>
      </c>
      <c r="E1687" s="79" t="s">
        <v>1734</v>
      </c>
      <c r="F1687" s="79"/>
    </row>
    <row r="1688" spans="1:7">
      <c r="A1688" s="77">
        <f t="shared" ca="1" si="128"/>
        <v>45978</v>
      </c>
      <c r="B1688" s="80">
        <f t="shared" ca="1" si="129"/>
        <v>45978.67882627315</v>
      </c>
      <c r="C1688" s="76" t="s">
        <v>283</v>
      </c>
      <c r="D1688" s="76" t="s">
        <v>902</v>
      </c>
      <c r="E1688" s="79" t="s">
        <v>1631</v>
      </c>
      <c r="F1688" s="79"/>
    </row>
    <row r="1689" spans="1:7">
      <c r="A1689" s="77">
        <f t="shared" ca="1" si="128"/>
        <v>45978</v>
      </c>
      <c r="B1689" s="80">
        <f t="shared" ca="1" si="129"/>
        <v>45978.679956365741</v>
      </c>
      <c r="C1689" s="76" t="s">
        <v>283</v>
      </c>
      <c r="D1689" s="76" t="s">
        <v>902</v>
      </c>
      <c r="E1689" s="79" t="s">
        <v>1734</v>
      </c>
      <c r="F1689" s="79"/>
    </row>
    <row r="1690" spans="1:7">
      <c r="A1690" s="77">
        <f t="shared" ca="1" si="128"/>
        <v>45978</v>
      </c>
      <c r="B1690" s="80">
        <f t="shared" ca="1" si="129"/>
        <v>45978.679956365741</v>
      </c>
      <c r="C1690" s="76" t="s">
        <v>283</v>
      </c>
      <c r="D1690" s="76" t="s">
        <v>902</v>
      </c>
      <c r="E1690" s="79" t="s">
        <v>1631</v>
      </c>
      <c r="F1690" s="79"/>
    </row>
    <row r="1691" spans="1:7">
      <c r="A1691" s="77">
        <f t="shared" ca="1" si="128"/>
        <v>45978</v>
      </c>
      <c r="B1691" s="80">
        <f t="shared" ca="1" si="129"/>
        <v>45978.681057870373</v>
      </c>
      <c r="C1691" s="76" t="s">
        <v>283</v>
      </c>
      <c r="D1691" s="76" t="s">
        <v>902</v>
      </c>
      <c r="E1691" s="79" t="s">
        <v>1734</v>
      </c>
      <c r="F1691" s="79"/>
    </row>
    <row r="1692" spans="1:7">
      <c r="A1692" s="77">
        <f t="shared" ca="1" si="128"/>
        <v>45978</v>
      </c>
      <c r="B1692" s="80">
        <f t="shared" ca="1" si="129"/>
        <v>45978.681057870373</v>
      </c>
      <c r="C1692" s="76" t="s">
        <v>283</v>
      </c>
      <c r="D1692" s="76" t="s">
        <v>902</v>
      </c>
      <c r="E1692" s="79" t="s">
        <v>1631</v>
      </c>
      <c r="F1692" s="79"/>
    </row>
    <row r="1693" spans="1:7">
      <c r="A1693" s="77">
        <f t="shared" ca="1" si="128"/>
        <v>45978</v>
      </c>
      <c r="B1693" s="80">
        <f t="shared" ca="1" si="129"/>
        <v>45978.682281018519</v>
      </c>
      <c r="C1693" s="76" t="s">
        <v>283</v>
      </c>
      <c r="D1693" s="76" t="s">
        <v>902</v>
      </c>
      <c r="E1693" s="79" t="s">
        <v>1734</v>
      </c>
      <c r="F1693" s="79"/>
    </row>
    <row r="1694" spans="1:7">
      <c r="A1694" s="77">
        <f t="shared" ca="1" si="128"/>
        <v>45978</v>
      </c>
      <c r="B1694" s="80">
        <f t="shared" ca="1" si="129"/>
        <v>45978.682281018519</v>
      </c>
      <c r="C1694" s="76" t="s">
        <v>283</v>
      </c>
      <c r="D1694" s="76" t="s">
        <v>902</v>
      </c>
      <c r="E1694" s="79" t="s">
        <v>1631</v>
      </c>
      <c r="F1694" s="79"/>
    </row>
    <row r="1695" spans="1:7">
      <c r="A1695" s="77">
        <f t="shared" ca="1" si="128"/>
        <v>45978</v>
      </c>
      <c r="B1695" s="80">
        <f t="shared" ca="1" si="129"/>
        <v>45978.682524189811</v>
      </c>
      <c r="C1695" s="76" t="s">
        <v>283</v>
      </c>
      <c r="D1695" s="76" t="s">
        <v>902</v>
      </c>
      <c r="E1695" s="79" t="s">
        <v>1165</v>
      </c>
      <c r="F1695" s="79"/>
    </row>
    <row r="1696" spans="1:7">
      <c r="A1696" s="77">
        <f t="shared" ca="1" si="128"/>
        <v>45978</v>
      </c>
      <c r="B1696" s="80">
        <f t="shared" ca="1" si="129"/>
        <v>45978.683687962963</v>
      </c>
      <c r="C1696" s="76" t="s">
        <v>283</v>
      </c>
      <c r="D1696" s="76" t="s">
        <v>902</v>
      </c>
      <c r="E1696" s="79" t="s">
        <v>1734</v>
      </c>
      <c r="F1696" s="79"/>
    </row>
    <row r="1697" spans="1:6">
      <c r="A1697" s="77">
        <f t="shared" ca="1" si="128"/>
        <v>45978</v>
      </c>
      <c r="B1697" s="80">
        <f t="shared" ca="1" si="129"/>
        <v>45978.683687962963</v>
      </c>
      <c r="C1697" s="76" t="s">
        <v>283</v>
      </c>
      <c r="D1697" s="76" t="s">
        <v>902</v>
      </c>
      <c r="E1697" s="79" t="s">
        <v>1631</v>
      </c>
      <c r="F1697" s="79"/>
    </row>
    <row r="1698" spans="1:6">
      <c r="A1698" s="77">
        <f t="shared" ref="A1698:A1730" ca="1" si="130">IF(C1698&lt;&gt;0,IF(A1698=0,TODAY(),A1698),)</f>
        <v>45978</v>
      </c>
      <c r="B1698" s="80">
        <f t="shared" ref="B1698:B1730" ca="1" si="131">IF(C1698&lt;&gt;0,IF(B1698=0,NOW(),B1698),)</f>
        <v>45978.694317245368</v>
      </c>
      <c r="C1698" s="76" t="s">
        <v>283</v>
      </c>
      <c r="D1698" s="76" t="s">
        <v>902</v>
      </c>
      <c r="E1698" s="79" t="s">
        <v>1026</v>
      </c>
      <c r="F1698" s="79"/>
    </row>
    <row r="1699" spans="1:6">
      <c r="A1699" s="77">
        <f t="shared" ca="1" si="130"/>
        <v>45978</v>
      </c>
      <c r="B1699" s="80">
        <f t="shared" ca="1" si="131"/>
        <v>45978.695212615741</v>
      </c>
      <c r="C1699" s="76" t="s">
        <v>283</v>
      </c>
      <c r="D1699" s="76" t="s">
        <v>902</v>
      </c>
      <c r="E1699" s="79" t="s">
        <v>1026</v>
      </c>
      <c r="F1699" s="79"/>
    </row>
    <row r="1700" spans="1:6">
      <c r="A1700" s="77">
        <f t="shared" ca="1" si="130"/>
        <v>45978</v>
      </c>
      <c r="B1700" s="80">
        <f t="shared" ca="1" si="131"/>
        <v>45978.695416666669</v>
      </c>
      <c r="C1700" s="76" t="s">
        <v>283</v>
      </c>
      <c r="D1700" s="76" t="s">
        <v>902</v>
      </c>
      <c r="E1700" s="79" t="s">
        <v>1631</v>
      </c>
      <c r="F1700" s="79"/>
    </row>
    <row r="1701" spans="1:6">
      <c r="A1701" s="77">
        <f t="shared" ca="1" si="130"/>
        <v>45978</v>
      </c>
      <c r="B1701" s="80">
        <f t="shared" ca="1" si="131"/>
        <v>45978.696900462965</v>
      </c>
      <c r="C1701" s="76" t="s">
        <v>283</v>
      </c>
      <c r="D1701" s="76" t="s">
        <v>902</v>
      </c>
      <c r="E1701" s="79" t="s">
        <v>1026</v>
      </c>
      <c r="F1701" s="79"/>
    </row>
    <row r="1702" spans="1:6">
      <c r="A1702" s="77">
        <f t="shared" ca="1" si="130"/>
        <v>45978</v>
      </c>
      <c r="B1702" s="80">
        <f t="shared" ca="1" si="131"/>
        <v>45978.696970833334</v>
      </c>
      <c r="C1702" s="76" t="s">
        <v>283</v>
      </c>
      <c r="D1702" s="76" t="s">
        <v>902</v>
      </c>
      <c r="E1702" s="79" t="s">
        <v>1734</v>
      </c>
      <c r="F1702" s="79"/>
    </row>
    <row r="1703" spans="1:6">
      <c r="A1703" s="77">
        <f t="shared" ca="1" si="130"/>
        <v>45978</v>
      </c>
      <c r="B1703" s="80">
        <f t="shared" ca="1" si="131"/>
        <v>45978.699505787037</v>
      </c>
      <c r="C1703" s="76" t="s">
        <v>283</v>
      </c>
      <c r="D1703" s="76" t="s">
        <v>902</v>
      </c>
      <c r="E1703" s="79" t="s">
        <v>1026</v>
      </c>
      <c r="F1703" s="79"/>
    </row>
    <row r="1704" spans="1:6">
      <c r="A1704" s="77">
        <f t="shared" ca="1" si="130"/>
        <v>45978</v>
      </c>
      <c r="B1704" s="80">
        <f t="shared" ca="1" si="131"/>
        <v>45978.702384374999</v>
      </c>
      <c r="C1704" s="76" t="s">
        <v>283</v>
      </c>
      <c r="D1704" s="76" t="s">
        <v>902</v>
      </c>
      <c r="E1704" s="79" t="s">
        <v>1631</v>
      </c>
      <c r="F1704" s="79"/>
    </row>
    <row r="1705" spans="1:6">
      <c r="A1705" s="77">
        <f t="shared" ca="1" si="130"/>
        <v>45978</v>
      </c>
      <c r="B1705" s="80">
        <f t="shared" ca="1" si="131"/>
        <v>45978.703529513892</v>
      </c>
      <c r="C1705" s="76" t="s">
        <v>283</v>
      </c>
      <c r="D1705" s="76" t="s">
        <v>902</v>
      </c>
      <c r="E1705" s="79" t="s">
        <v>1026</v>
      </c>
      <c r="F1705" s="79"/>
    </row>
    <row r="1706" spans="1:6">
      <c r="A1706" s="77">
        <f t="shared" ca="1" si="130"/>
        <v>45978</v>
      </c>
      <c r="B1706" s="80">
        <f t="shared" ca="1" si="131"/>
        <v>45978.706432060186</v>
      </c>
      <c r="C1706" s="76" t="s">
        <v>283</v>
      </c>
      <c r="D1706" s="76" t="s">
        <v>902</v>
      </c>
      <c r="E1706" s="79" t="s">
        <v>1026</v>
      </c>
      <c r="F1706" s="79"/>
    </row>
    <row r="1707" spans="1:6">
      <c r="A1707" s="77">
        <f t="shared" ca="1" si="130"/>
        <v>45978</v>
      </c>
      <c r="B1707" s="80">
        <f t="shared" ca="1" si="131"/>
        <v>45978.707363773145</v>
      </c>
      <c r="C1707" s="76" t="s">
        <v>283</v>
      </c>
      <c r="D1707" s="76" t="s">
        <v>902</v>
      </c>
      <c r="E1707" s="79" t="s">
        <v>1234</v>
      </c>
      <c r="F1707" s="79"/>
    </row>
    <row r="1708" spans="1:6">
      <c r="A1708" s="77">
        <f t="shared" ca="1" si="130"/>
        <v>45978</v>
      </c>
      <c r="B1708" s="80">
        <f t="shared" ca="1" si="131"/>
        <v>45978.70738078704</v>
      </c>
      <c r="C1708" s="76" t="s">
        <v>283</v>
      </c>
      <c r="D1708" s="76" t="s">
        <v>902</v>
      </c>
      <c r="E1708" s="79" t="s">
        <v>1631</v>
      </c>
      <c r="F1708" s="79"/>
    </row>
    <row r="1709" spans="1:6">
      <c r="A1709" s="77">
        <f t="shared" ca="1" si="130"/>
        <v>45978</v>
      </c>
      <c r="B1709" s="80">
        <f t="shared" ca="1" si="131"/>
        <v>45978.708906828702</v>
      </c>
      <c r="C1709" s="76" t="s">
        <v>283</v>
      </c>
      <c r="D1709" s="76" t="s">
        <v>902</v>
      </c>
      <c r="E1709" s="79" t="s">
        <v>1631</v>
      </c>
      <c r="F1709" s="79"/>
    </row>
    <row r="1710" spans="1:6">
      <c r="A1710" s="77">
        <f t="shared" ca="1" si="130"/>
        <v>45978</v>
      </c>
      <c r="B1710" s="80">
        <f t="shared" ca="1" si="131"/>
        <v>45978.711355208332</v>
      </c>
      <c r="C1710" s="76" t="s">
        <v>283</v>
      </c>
      <c r="D1710" s="76" t="s">
        <v>902</v>
      </c>
      <c r="E1710" s="79" t="s">
        <v>1026</v>
      </c>
      <c r="F1710" s="79"/>
    </row>
    <row r="1711" spans="1:6">
      <c r="A1711" s="77">
        <f t="shared" ca="1" si="130"/>
        <v>45978</v>
      </c>
      <c r="B1711" s="80">
        <f t="shared" ca="1" si="131"/>
        <v>45978.714612962962</v>
      </c>
      <c r="C1711" s="76" t="s">
        <v>283</v>
      </c>
      <c r="D1711" s="76" t="s">
        <v>902</v>
      </c>
      <c r="E1711" s="79" t="s">
        <v>1026</v>
      </c>
      <c r="F1711" s="79"/>
    </row>
    <row r="1712" spans="1:6">
      <c r="A1712" s="77">
        <f t="shared" ca="1" si="130"/>
        <v>45978</v>
      </c>
      <c r="B1712" s="80">
        <f t="shared" ca="1" si="131"/>
        <v>45978.719214351855</v>
      </c>
      <c r="C1712" s="76" t="s">
        <v>283</v>
      </c>
      <c r="D1712" s="76" t="s">
        <v>902</v>
      </c>
      <c r="E1712" s="79" t="s">
        <v>1631</v>
      </c>
      <c r="F1712" s="79"/>
    </row>
    <row r="1713" spans="1:7">
      <c r="A1713" s="77">
        <f t="shared" ca="1" si="130"/>
        <v>45978</v>
      </c>
      <c r="B1713" s="80">
        <f t="shared" ca="1" si="131"/>
        <v>45978.72095451389</v>
      </c>
      <c r="C1713" s="76" t="s">
        <v>283</v>
      </c>
      <c r="D1713" s="76" t="s">
        <v>902</v>
      </c>
      <c r="E1713" s="79" t="s">
        <v>1735</v>
      </c>
      <c r="F1713" s="79"/>
    </row>
    <row r="1714" spans="1:7">
      <c r="A1714" s="77">
        <f t="shared" ca="1" si="130"/>
        <v>45978</v>
      </c>
      <c r="B1714" s="80">
        <f t="shared" ca="1" si="131"/>
        <v>45978.72536365741</v>
      </c>
      <c r="C1714" s="76" t="s">
        <v>283</v>
      </c>
      <c r="D1714" s="76" t="s">
        <v>902</v>
      </c>
      <c r="E1714" s="79" t="s">
        <v>1736</v>
      </c>
      <c r="F1714" s="79"/>
    </row>
    <row r="1715" spans="1:7">
      <c r="A1715" s="77">
        <f t="shared" ca="1" si="130"/>
        <v>45978</v>
      </c>
      <c r="B1715" s="80">
        <f t="shared" ca="1" si="131"/>
        <v>45978.729075000003</v>
      </c>
      <c r="C1715" s="76" t="s">
        <v>283</v>
      </c>
      <c r="D1715" s="76" t="s">
        <v>902</v>
      </c>
      <c r="E1715" s="79" t="s">
        <v>1234</v>
      </c>
      <c r="F1715" s="79"/>
    </row>
    <row r="1716" spans="1:7">
      <c r="A1716" s="77">
        <f t="shared" ca="1" si="130"/>
        <v>45978</v>
      </c>
      <c r="B1716" s="80">
        <f t="shared" ca="1" si="131"/>
        <v>45978.732051273146</v>
      </c>
      <c r="C1716" s="76" t="s">
        <v>283</v>
      </c>
      <c r="D1716" s="210" t="s">
        <v>922</v>
      </c>
      <c r="E1716" s="79"/>
      <c r="F1716" s="79"/>
    </row>
    <row r="1717" spans="1:7">
      <c r="A1717" s="77">
        <f t="shared" ca="1" si="130"/>
        <v>45978</v>
      </c>
      <c r="B1717" s="80">
        <f t="shared" ca="1" si="131"/>
        <v>45978.738879976852</v>
      </c>
      <c r="C1717" s="76" t="s">
        <v>283</v>
      </c>
      <c r="D1717" s="210" t="s">
        <v>1098</v>
      </c>
      <c r="E1717" s="79"/>
      <c r="F1717" s="79"/>
    </row>
    <row r="1718" spans="1:7">
      <c r="A1718" s="77">
        <v>45978</v>
      </c>
      <c r="B1718" s="80">
        <v>0.75694444444444442</v>
      </c>
      <c r="C1718" s="76" t="s">
        <v>329</v>
      </c>
      <c r="D1718" s="76" t="s">
        <v>902</v>
      </c>
      <c r="E1718" s="79"/>
      <c r="F1718" s="79"/>
      <c r="G1718" s="76" t="s">
        <v>1737</v>
      </c>
    </row>
    <row r="1719" spans="1:7">
      <c r="A1719" s="77">
        <f t="shared" ca="1" si="130"/>
        <v>45978</v>
      </c>
      <c r="B1719" s="80">
        <f t="shared" ca="1" si="131"/>
        <v>45978.814696064816</v>
      </c>
      <c r="C1719" s="76" t="s">
        <v>283</v>
      </c>
      <c r="D1719" s="210" t="s">
        <v>906</v>
      </c>
      <c r="E1719" s="79"/>
      <c r="F1719" s="79"/>
    </row>
    <row r="1720" spans="1:7">
      <c r="A1720" s="77">
        <f t="shared" ca="1" si="130"/>
        <v>45978</v>
      </c>
      <c r="B1720" s="80">
        <f t="shared" ca="1" si="131"/>
        <v>45978.814696064816</v>
      </c>
      <c r="C1720" s="76" t="s">
        <v>286</v>
      </c>
      <c r="D1720" s="210" t="s">
        <v>909</v>
      </c>
      <c r="E1720" s="79"/>
      <c r="F1720" s="79"/>
    </row>
    <row r="1721" spans="1:7">
      <c r="A1721" s="77">
        <f t="shared" ca="1" si="130"/>
        <v>45978</v>
      </c>
      <c r="B1721" s="80">
        <f t="shared" ca="1" si="131"/>
        <v>45978.84466840278</v>
      </c>
      <c r="C1721" s="76" t="s">
        <v>286</v>
      </c>
      <c r="D1721" s="76" t="s">
        <v>902</v>
      </c>
      <c r="E1721" s="79" t="s">
        <v>1738</v>
      </c>
      <c r="F1721" s="79"/>
    </row>
    <row r="1722" spans="1:7">
      <c r="A1722" s="77">
        <f t="shared" ca="1" si="130"/>
        <v>45978</v>
      </c>
      <c r="B1722" s="80">
        <f t="shared" ca="1" si="131"/>
        <v>45978.846584375002</v>
      </c>
      <c r="C1722" s="76" t="s">
        <v>286</v>
      </c>
      <c r="D1722" s="76" t="s">
        <v>902</v>
      </c>
      <c r="E1722" s="79" t="s">
        <v>1550</v>
      </c>
      <c r="F1722" s="79"/>
    </row>
    <row r="1723" spans="1:7">
      <c r="A1723" s="77">
        <f t="shared" ca="1" si="130"/>
        <v>45978</v>
      </c>
      <c r="B1723" s="80">
        <f t="shared" ca="1" si="131"/>
        <v>45978.847501851851</v>
      </c>
      <c r="C1723" s="76" t="s">
        <v>286</v>
      </c>
      <c r="D1723" s="76" t="s">
        <v>902</v>
      </c>
      <c r="E1723" s="79" t="s">
        <v>1739</v>
      </c>
      <c r="F1723" s="79"/>
    </row>
    <row r="1724" spans="1:7">
      <c r="A1724" s="77">
        <f t="shared" ca="1" si="130"/>
        <v>45978</v>
      </c>
      <c r="B1724" s="80">
        <f t="shared" ca="1" si="131"/>
        <v>45978.850384375</v>
      </c>
      <c r="C1724" s="76" t="s">
        <v>286</v>
      </c>
      <c r="D1724" s="76" t="s">
        <v>902</v>
      </c>
      <c r="E1724" s="79" t="s">
        <v>1740</v>
      </c>
      <c r="F1724" s="79"/>
    </row>
    <row r="1725" spans="1:7">
      <c r="A1725" s="77">
        <f t="shared" ca="1" si="130"/>
        <v>45978</v>
      </c>
      <c r="B1725" s="80">
        <f t="shared" ca="1" si="131"/>
        <v>45978.852187731478</v>
      </c>
      <c r="C1725" s="76" t="s">
        <v>286</v>
      </c>
      <c r="D1725" s="76" t="s">
        <v>902</v>
      </c>
      <c r="E1725" s="79" t="s">
        <v>1741</v>
      </c>
      <c r="F1725" s="79"/>
    </row>
    <row r="1726" spans="1:7">
      <c r="A1726" s="77">
        <f t="shared" ca="1" si="130"/>
        <v>45978</v>
      </c>
      <c r="B1726" s="80">
        <f t="shared" ca="1" si="131"/>
        <v>45978.852566550922</v>
      </c>
      <c r="C1726" s="76" t="s">
        <v>286</v>
      </c>
      <c r="D1726" s="76" t="s">
        <v>902</v>
      </c>
      <c r="E1726" s="79" t="s">
        <v>1738</v>
      </c>
      <c r="F1726" s="79"/>
    </row>
    <row r="1727" spans="1:7">
      <c r="A1727" s="77">
        <f t="shared" ca="1" si="130"/>
        <v>45978</v>
      </c>
      <c r="B1727" s="80">
        <f t="shared" ca="1" si="131"/>
        <v>45978.855704629626</v>
      </c>
      <c r="C1727" s="76" t="s">
        <v>286</v>
      </c>
      <c r="D1727" s="76" t="s">
        <v>902</v>
      </c>
      <c r="E1727" s="79" t="s">
        <v>1550</v>
      </c>
      <c r="F1727" s="79"/>
    </row>
    <row r="1728" spans="1:7">
      <c r="A1728" s="77" t="e">
        <f ca="1">IF(#REF!&lt;&gt;0,IF(A1728=0,TODAY(),A1728),)</f>
        <v>#REF!</v>
      </c>
      <c r="B1728" s="80" t="e">
        <f ca="1">IF(#REF!&lt;&gt;0,IF(B1728=0,NOW(),B1728),)</f>
        <v>#REF!</v>
      </c>
      <c r="C1728" s="76" t="s">
        <v>286</v>
      </c>
      <c r="D1728" s="76" t="s">
        <v>902</v>
      </c>
      <c r="E1728" s="79" t="s">
        <v>1742</v>
      </c>
      <c r="F1728" s="79"/>
    </row>
    <row r="1729" spans="1:6">
      <c r="A1729" s="77">
        <f ca="1">IF(C1728&lt;&gt;0,IF(A1729=0,TODAY(),A1729),)</f>
        <v>45978</v>
      </c>
      <c r="B1729" s="80">
        <f ca="1">IF(C1728&lt;&gt;0,IF(B1729=0,NOW(),B1729),)</f>
        <v>45978.858761805554</v>
      </c>
      <c r="C1729" s="76" t="s">
        <v>286</v>
      </c>
      <c r="D1729" s="76" t="s">
        <v>902</v>
      </c>
      <c r="E1729" s="79" t="s">
        <v>1550</v>
      </c>
      <c r="F1729" s="79"/>
    </row>
    <row r="1730" spans="1:6">
      <c r="A1730" s="77">
        <f t="shared" ca="1" si="130"/>
        <v>45978</v>
      </c>
      <c r="B1730" s="80">
        <f t="shared" ca="1" si="131"/>
        <v>45978.860654745367</v>
      </c>
      <c r="C1730" s="76" t="s">
        <v>286</v>
      </c>
      <c r="D1730" s="76" t="s">
        <v>902</v>
      </c>
      <c r="E1730" s="79" t="s">
        <v>1738</v>
      </c>
      <c r="F1730" s="79"/>
    </row>
    <row r="1731" spans="1:6">
      <c r="A1731" s="77">
        <f t="shared" ref="A1731:A1762" ca="1" si="132">IF(C1731&lt;&gt;0,IF(A1731=0,TODAY(),A1731),)</f>
        <v>45978</v>
      </c>
      <c r="B1731" s="80">
        <f t="shared" ref="B1731:B1762" ca="1" si="133">IF(C1731&lt;&gt;0,IF(B1731=0,NOW(),B1731),)</f>
        <v>45978.863055902781</v>
      </c>
      <c r="C1731" s="76" t="s">
        <v>286</v>
      </c>
      <c r="D1731" s="76" t="s">
        <v>902</v>
      </c>
      <c r="E1731" s="79" t="s">
        <v>1743</v>
      </c>
      <c r="F1731" s="79"/>
    </row>
    <row r="1732" spans="1:6">
      <c r="A1732" s="77">
        <f t="shared" ca="1" si="132"/>
        <v>45978</v>
      </c>
      <c r="B1732" s="80">
        <f t="shared" ca="1" si="133"/>
        <v>45978.869457523149</v>
      </c>
      <c r="C1732" s="76" t="s">
        <v>286</v>
      </c>
      <c r="D1732" s="76" t="s">
        <v>902</v>
      </c>
      <c r="E1732" s="79" t="s">
        <v>1656</v>
      </c>
      <c r="F1732" s="79"/>
    </row>
    <row r="1733" spans="1:6">
      <c r="A1733" s="77">
        <f t="shared" ca="1" si="132"/>
        <v>45978</v>
      </c>
      <c r="B1733" s="80">
        <f t="shared" ca="1" si="133"/>
        <v>45978.869549537034</v>
      </c>
      <c r="C1733" s="76" t="s">
        <v>286</v>
      </c>
      <c r="D1733" s="76" t="s">
        <v>902</v>
      </c>
      <c r="E1733" s="79" t="s">
        <v>1026</v>
      </c>
      <c r="F1733" s="79"/>
    </row>
    <row r="1734" spans="1:6">
      <c r="A1734" s="77">
        <f t="shared" ca="1" si="132"/>
        <v>45978</v>
      </c>
      <c r="B1734" s="80">
        <f t="shared" ca="1" si="133"/>
        <v>45978.880517939811</v>
      </c>
      <c r="C1734" s="76" t="s">
        <v>286</v>
      </c>
      <c r="D1734" s="76" t="s">
        <v>902</v>
      </c>
      <c r="E1734" s="79" t="s">
        <v>1738</v>
      </c>
      <c r="F1734" s="79"/>
    </row>
    <row r="1735" spans="1:6">
      <c r="A1735" s="77">
        <f t="shared" ca="1" si="132"/>
        <v>45978</v>
      </c>
      <c r="B1735" s="80">
        <f t="shared" ca="1" si="133"/>
        <v>45978.884796180559</v>
      </c>
      <c r="C1735" s="76" t="s">
        <v>286</v>
      </c>
      <c r="D1735" s="76" t="s">
        <v>902</v>
      </c>
      <c r="E1735" s="79" t="s">
        <v>1738</v>
      </c>
      <c r="F1735" s="79"/>
    </row>
    <row r="1736" spans="1:6">
      <c r="A1736" s="77">
        <f t="shared" ca="1" si="132"/>
        <v>45978</v>
      </c>
      <c r="B1736" s="80">
        <f t="shared" ca="1" si="133"/>
        <v>45978.885131134259</v>
      </c>
      <c r="C1736" s="76" t="s">
        <v>286</v>
      </c>
      <c r="D1736" s="76" t="s">
        <v>902</v>
      </c>
      <c r="E1736" s="79" t="s">
        <v>1740</v>
      </c>
      <c r="F1736" s="79"/>
    </row>
    <row r="1737" spans="1:6">
      <c r="A1737" s="77">
        <f t="shared" ca="1" si="132"/>
        <v>45978</v>
      </c>
      <c r="B1737" s="80">
        <f t="shared" ca="1" si="133"/>
        <v>45978.887575231478</v>
      </c>
      <c r="C1737" s="76" t="s">
        <v>286</v>
      </c>
      <c r="D1737" s="76" t="s">
        <v>902</v>
      </c>
      <c r="E1737" s="79" t="s">
        <v>1602</v>
      </c>
      <c r="F1737" s="79"/>
    </row>
    <row r="1738" spans="1:6">
      <c r="A1738" s="77">
        <f t="shared" ca="1" si="132"/>
        <v>45978</v>
      </c>
      <c r="B1738" s="80">
        <f t="shared" ca="1" si="133"/>
        <v>45978.888632638889</v>
      </c>
      <c r="C1738" s="76" t="s">
        <v>286</v>
      </c>
      <c r="D1738" s="76" t="s">
        <v>902</v>
      </c>
      <c r="E1738" s="79" t="s">
        <v>1744</v>
      </c>
      <c r="F1738" s="79"/>
    </row>
    <row r="1739" spans="1:6">
      <c r="A1739" s="77">
        <f t="shared" ca="1" si="132"/>
        <v>45978</v>
      </c>
      <c r="B1739" s="80">
        <f t="shared" ca="1" si="133"/>
        <v>45978.88963946759</v>
      </c>
      <c r="C1739" s="76" t="s">
        <v>286</v>
      </c>
      <c r="D1739" s="76" t="s">
        <v>902</v>
      </c>
      <c r="E1739" s="79" t="s">
        <v>1745</v>
      </c>
      <c r="F1739" s="79"/>
    </row>
    <row r="1740" spans="1:6">
      <c r="A1740" s="77">
        <f t="shared" ca="1" si="132"/>
        <v>45978</v>
      </c>
      <c r="B1740" s="80">
        <f t="shared" ca="1" si="133"/>
        <v>45978.892474537039</v>
      </c>
      <c r="C1740" s="76" t="s">
        <v>286</v>
      </c>
      <c r="D1740" s="76" t="s">
        <v>902</v>
      </c>
      <c r="E1740" s="79" t="s">
        <v>1746</v>
      </c>
      <c r="F1740" s="79"/>
    </row>
    <row r="1741" spans="1:6">
      <c r="A1741" s="77">
        <f t="shared" ca="1" si="132"/>
        <v>45978</v>
      </c>
      <c r="B1741" s="80">
        <f t="shared" ca="1" si="133"/>
        <v>45978.892711805558</v>
      </c>
      <c r="C1741" s="76" t="s">
        <v>286</v>
      </c>
      <c r="D1741" s="76" t="s">
        <v>902</v>
      </c>
      <c r="E1741" s="79" t="s">
        <v>1745</v>
      </c>
      <c r="F1741" s="79"/>
    </row>
    <row r="1742" spans="1:6">
      <c r="A1742" s="77">
        <f t="shared" ca="1" si="132"/>
        <v>45978</v>
      </c>
      <c r="B1742" s="80">
        <f t="shared" ca="1" si="133"/>
        <v>45978.895886921295</v>
      </c>
      <c r="C1742" s="76" t="s">
        <v>286</v>
      </c>
      <c r="D1742" s="76" t="s">
        <v>902</v>
      </c>
      <c r="E1742" s="79" t="s">
        <v>1656</v>
      </c>
      <c r="F1742" s="79"/>
    </row>
    <row r="1743" spans="1:6">
      <c r="A1743" s="77">
        <f t="shared" ca="1" si="132"/>
        <v>45978</v>
      </c>
      <c r="B1743" s="80">
        <f t="shared" ca="1" si="133"/>
        <v>45978.897333449073</v>
      </c>
      <c r="C1743" s="76" t="s">
        <v>286</v>
      </c>
      <c r="D1743" s="76" t="s">
        <v>902</v>
      </c>
      <c r="E1743" s="79" t="s">
        <v>1747</v>
      </c>
      <c r="F1743" s="79"/>
    </row>
    <row r="1744" spans="1:6">
      <c r="A1744" s="77">
        <f t="shared" ca="1" si="132"/>
        <v>45978</v>
      </c>
      <c r="B1744" s="80">
        <f t="shared" ca="1" si="133"/>
        <v>45978.902432407405</v>
      </c>
      <c r="C1744" s="76" t="s">
        <v>286</v>
      </c>
      <c r="D1744" s="76" t="s">
        <v>902</v>
      </c>
      <c r="E1744" s="79" t="s">
        <v>1748</v>
      </c>
      <c r="F1744" s="79"/>
    </row>
    <row r="1745" spans="1:7">
      <c r="A1745" s="77">
        <f t="shared" ca="1" si="132"/>
        <v>45978</v>
      </c>
      <c r="B1745" s="80">
        <f t="shared" ca="1" si="133"/>
        <v>45978.903867361114</v>
      </c>
      <c r="C1745" s="76" t="s">
        <v>286</v>
      </c>
      <c r="D1745" s="76" t="s">
        <v>902</v>
      </c>
      <c r="E1745" s="79" t="s">
        <v>1062</v>
      </c>
      <c r="F1745" s="79"/>
    </row>
    <row r="1746" spans="1:7">
      <c r="A1746" s="77">
        <f t="shared" ca="1" si="132"/>
        <v>45978</v>
      </c>
      <c r="B1746" s="80">
        <f t="shared" ca="1" si="133"/>
        <v>45978.904349884258</v>
      </c>
      <c r="C1746" s="76" t="s">
        <v>286</v>
      </c>
      <c r="D1746" s="76" t="s">
        <v>902</v>
      </c>
      <c r="E1746" s="79" t="s">
        <v>1749</v>
      </c>
      <c r="F1746" s="79"/>
    </row>
    <row r="1747" spans="1:7">
      <c r="A1747" s="77">
        <f t="shared" ca="1" si="132"/>
        <v>45978</v>
      </c>
      <c r="B1747" s="80">
        <f t="shared" ca="1" si="133"/>
        <v>45978.918415277774</v>
      </c>
      <c r="C1747" s="76" t="s">
        <v>286</v>
      </c>
      <c r="D1747" s="76" t="s">
        <v>902</v>
      </c>
      <c r="E1747" s="79" t="s">
        <v>1750</v>
      </c>
      <c r="F1747" s="79"/>
    </row>
    <row r="1748" spans="1:7">
      <c r="A1748" s="77">
        <f t="shared" ca="1" si="132"/>
        <v>45978</v>
      </c>
      <c r="B1748" s="80">
        <f t="shared" ca="1" si="133"/>
        <v>45978.933100231479</v>
      </c>
      <c r="C1748" s="76" t="s">
        <v>286</v>
      </c>
      <c r="D1748" s="210" t="s">
        <v>922</v>
      </c>
      <c r="E1748" s="79"/>
      <c r="F1748" s="79"/>
    </row>
    <row r="1749" spans="1:7">
      <c r="A1749" s="77">
        <f t="shared" ca="1" si="132"/>
        <v>45978</v>
      </c>
      <c r="B1749" s="80">
        <f t="shared" ca="1" si="133"/>
        <v>45978.949678819445</v>
      </c>
      <c r="C1749" s="76" t="s">
        <v>286</v>
      </c>
      <c r="D1749" s="210" t="s">
        <v>1098</v>
      </c>
      <c r="E1749" s="79"/>
      <c r="F1749" s="79"/>
    </row>
    <row r="1750" spans="1:7">
      <c r="A1750" s="77">
        <f t="shared" ca="1" si="132"/>
        <v>45978</v>
      </c>
      <c r="B1750" s="80">
        <f t="shared" ca="1" si="133"/>
        <v>45978.981720254633</v>
      </c>
      <c r="C1750" s="76" t="s">
        <v>289</v>
      </c>
      <c r="D1750" s="210" t="s">
        <v>906</v>
      </c>
      <c r="E1750" s="79"/>
      <c r="F1750" s="79"/>
    </row>
    <row r="1751" spans="1:7">
      <c r="A1751" s="77">
        <f t="shared" ca="1" si="132"/>
        <v>45979</v>
      </c>
      <c r="B1751" s="80">
        <f t="shared" ca="1" si="133"/>
        <v>45979.015490509257</v>
      </c>
      <c r="C1751" s="76" t="s">
        <v>289</v>
      </c>
      <c r="D1751" s="210" t="s">
        <v>909</v>
      </c>
      <c r="E1751" s="79"/>
      <c r="F1751" s="79"/>
    </row>
    <row r="1752" spans="1:7">
      <c r="A1752" s="77">
        <f t="shared" ca="1" si="132"/>
        <v>45979</v>
      </c>
      <c r="B1752" s="80">
        <f t="shared" ca="1" si="133"/>
        <v>45979.016383101851</v>
      </c>
      <c r="C1752" s="76" t="s">
        <v>289</v>
      </c>
      <c r="D1752" s="76" t="s">
        <v>902</v>
      </c>
      <c r="E1752" s="79" t="s">
        <v>1751</v>
      </c>
      <c r="F1752" s="79"/>
    </row>
    <row r="1753" spans="1:7">
      <c r="A1753" s="77">
        <f t="shared" ca="1" si="132"/>
        <v>45979</v>
      </c>
      <c r="B1753" s="80">
        <f t="shared" ca="1" si="133"/>
        <v>45979.019764004632</v>
      </c>
      <c r="C1753" s="76" t="s">
        <v>289</v>
      </c>
      <c r="D1753" s="76" t="s">
        <v>902</v>
      </c>
      <c r="E1753" s="79" t="s">
        <v>1752</v>
      </c>
      <c r="F1753" s="79"/>
    </row>
    <row r="1754" spans="1:7">
      <c r="A1754" s="77">
        <f t="shared" ca="1" si="132"/>
        <v>45979</v>
      </c>
      <c r="B1754" s="80">
        <f t="shared" ca="1" si="133"/>
        <v>45979.020411689817</v>
      </c>
      <c r="C1754" s="76" t="s">
        <v>289</v>
      </c>
      <c r="D1754" s="76" t="s">
        <v>902</v>
      </c>
      <c r="E1754" s="79" t="s">
        <v>1558</v>
      </c>
      <c r="F1754" s="79"/>
    </row>
    <row r="1755" spans="1:7">
      <c r="A1755" s="77">
        <f t="shared" ca="1" si="132"/>
        <v>45979</v>
      </c>
      <c r="B1755" s="80">
        <f t="shared" ca="1" si="133"/>
        <v>45979.022278935183</v>
      </c>
      <c r="C1755" s="76" t="s">
        <v>289</v>
      </c>
      <c r="D1755" s="76" t="s">
        <v>902</v>
      </c>
      <c r="E1755" s="79" t="s">
        <v>1511</v>
      </c>
      <c r="F1755" s="79"/>
    </row>
    <row r="1756" spans="1:7">
      <c r="A1756" s="77">
        <f t="shared" ca="1" si="132"/>
        <v>45979</v>
      </c>
      <c r="B1756" s="80">
        <f t="shared" ca="1" si="133"/>
        <v>45979.022818865742</v>
      </c>
      <c r="C1756" s="76" t="s">
        <v>289</v>
      </c>
      <c r="D1756" s="76" t="s">
        <v>902</v>
      </c>
      <c r="E1756" s="79" t="s">
        <v>1753</v>
      </c>
      <c r="F1756" s="79"/>
    </row>
    <row r="1757" spans="1:7">
      <c r="A1757" s="77">
        <f t="shared" ca="1" si="132"/>
        <v>45979</v>
      </c>
      <c r="B1757" s="80">
        <f t="shared" ca="1" si="133"/>
        <v>45979.028356365743</v>
      </c>
      <c r="C1757" s="76" t="s">
        <v>289</v>
      </c>
      <c r="D1757" s="76" t="s">
        <v>902</v>
      </c>
      <c r="E1757" s="79" t="s">
        <v>932</v>
      </c>
      <c r="F1757" s="79"/>
    </row>
    <row r="1758" spans="1:7">
      <c r="A1758" s="77">
        <f t="shared" ca="1" si="132"/>
        <v>45979</v>
      </c>
      <c r="B1758" s="80">
        <f t="shared" ca="1" si="133"/>
        <v>45979.029668171293</v>
      </c>
      <c r="C1758" s="76" t="s">
        <v>289</v>
      </c>
      <c r="D1758" s="76" t="s">
        <v>902</v>
      </c>
      <c r="E1758" s="79" t="s">
        <v>1754</v>
      </c>
      <c r="F1758" s="79"/>
    </row>
    <row r="1759" spans="1:7">
      <c r="A1759" s="77">
        <f t="shared" ca="1" si="132"/>
        <v>45979</v>
      </c>
      <c r="B1759" s="80">
        <f t="shared" ca="1" si="133"/>
        <v>45979.035693749996</v>
      </c>
      <c r="C1759" s="76" t="s">
        <v>289</v>
      </c>
      <c r="D1759" s="76" t="s">
        <v>902</v>
      </c>
      <c r="E1759" s="79" t="s">
        <v>1368</v>
      </c>
      <c r="F1759" s="79"/>
      <c r="G1759" s="76" t="s">
        <v>1755</v>
      </c>
    </row>
    <row r="1760" spans="1:7">
      <c r="A1760" s="77">
        <f t="shared" ca="1" si="132"/>
        <v>45979</v>
      </c>
      <c r="B1760" s="80">
        <f t="shared" ca="1" si="133"/>
        <v>45979.035693749996</v>
      </c>
      <c r="C1760" s="76" t="s">
        <v>289</v>
      </c>
      <c r="D1760" s="76" t="s">
        <v>902</v>
      </c>
      <c r="E1760" s="79"/>
      <c r="F1760" s="79"/>
      <c r="G1760" s="76" t="s">
        <v>1555</v>
      </c>
    </row>
    <row r="1761" spans="1:7">
      <c r="A1761" s="77">
        <f t="shared" ca="1" si="132"/>
        <v>45979</v>
      </c>
      <c r="B1761" s="80">
        <f t="shared" ca="1" si="133"/>
        <v>45979.038580092594</v>
      </c>
      <c r="C1761" s="76" t="s">
        <v>289</v>
      </c>
      <c r="D1761" s="150" t="s">
        <v>1007</v>
      </c>
      <c r="E1761" s="79" t="s">
        <v>1756</v>
      </c>
      <c r="F1761" s="79"/>
      <c r="G1761" s="76" t="s">
        <v>1757</v>
      </c>
    </row>
    <row r="1762" spans="1:7">
      <c r="A1762" s="77">
        <f t="shared" ca="1" si="132"/>
        <v>45979</v>
      </c>
      <c r="B1762" s="80">
        <f t="shared" ca="1" si="133"/>
        <v>45979.044399652776</v>
      </c>
      <c r="C1762" s="76" t="s">
        <v>289</v>
      </c>
      <c r="D1762" s="76" t="s">
        <v>902</v>
      </c>
      <c r="E1762" s="79" t="s">
        <v>1752</v>
      </c>
      <c r="F1762" s="79"/>
    </row>
    <row r="1763" spans="1:7">
      <c r="A1763" s="77">
        <f t="shared" ref="A1763:A1794" ca="1" si="134">IF(C1763&lt;&gt;0,IF(A1763=0,TODAY(),A1763),)</f>
        <v>45979</v>
      </c>
      <c r="B1763" s="80">
        <f t="shared" ref="B1763:B1794" ca="1" si="135">IF(C1763&lt;&gt;0,IF(B1763=0,NOW(),B1763),)</f>
        <v>45979.044602546295</v>
      </c>
      <c r="C1763" s="76" t="s">
        <v>289</v>
      </c>
      <c r="D1763" s="76" t="s">
        <v>902</v>
      </c>
      <c r="E1763" s="79" t="s">
        <v>1751</v>
      </c>
      <c r="F1763" s="79"/>
    </row>
    <row r="1764" spans="1:7">
      <c r="A1764" s="77">
        <f t="shared" ca="1" si="134"/>
        <v>45979</v>
      </c>
      <c r="B1764" s="80">
        <f t="shared" ca="1" si="135"/>
        <v>45979.0549537037</v>
      </c>
      <c r="C1764" s="76" t="s">
        <v>289</v>
      </c>
      <c r="D1764" s="76" t="s">
        <v>902</v>
      </c>
      <c r="E1764" s="79" t="s">
        <v>1758</v>
      </c>
      <c r="F1764" s="79"/>
    </row>
    <row r="1765" spans="1:7">
      <c r="A1765" s="77">
        <f t="shared" ca="1" si="134"/>
        <v>45979</v>
      </c>
      <c r="B1765" s="80">
        <f t="shared" ca="1" si="135"/>
        <v>45979.055673379633</v>
      </c>
      <c r="C1765" s="76" t="s">
        <v>289</v>
      </c>
      <c r="D1765" s="76" t="s">
        <v>902</v>
      </c>
      <c r="E1765" s="79" t="s">
        <v>970</v>
      </c>
      <c r="F1765" s="79"/>
    </row>
    <row r="1766" spans="1:7">
      <c r="A1766" s="77">
        <f t="shared" ca="1" si="134"/>
        <v>45979</v>
      </c>
      <c r="B1766" s="80">
        <f t="shared" ca="1" si="135"/>
        <v>45979.057885648152</v>
      </c>
      <c r="C1766" s="76" t="s">
        <v>289</v>
      </c>
      <c r="D1766" s="76" t="s">
        <v>902</v>
      </c>
      <c r="E1766" s="79" t="s">
        <v>1759</v>
      </c>
      <c r="F1766" s="79"/>
    </row>
    <row r="1767" spans="1:7">
      <c r="A1767" s="77">
        <f t="shared" ca="1" si="134"/>
        <v>45979</v>
      </c>
      <c r="B1767" s="80">
        <f t="shared" ca="1" si="135"/>
        <v>45979.06138298611</v>
      </c>
      <c r="C1767" s="76" t="s">
        <v>289</v>
      </c>
      <c r="D1767" s="76" t="s">
        <v>902</v>
      </c>
      <c r="E1767" s="79" t="s">
        <v>1760</v>
      </c>
      <c r="F1767" s="79"/>
    </row>
    <row r="1768" spans="1:7">
      <c r="A1768" s="77">
        <f t="shared" ca="1" si="134"/>
        <v>45979</v>
      </c>
      <c r="B1768" s="80">
        <f t="shared" ca="1" si="135"/>
        <v>45979.07717916667</v>
      </c>
      <c r="C1768" s="76" t="s">
        <v>289</v>
      </c>
      <c r="D1768" s="76" t="s">
        <v>902</v>
      </c>
      <c r="E1768" s="79" t="s">
        <v>1751</v>
      </c>
      <c r="F1768" s="79"/>
    </row>
    <row r="1769" spans="1:7">
      <c r="A1769" s="77">
        <f t="shared" ca="1" si="134"/>
        <v>45979</v>
      </c>
      <c r="B1769" s="80">
        <f t="shared" ca="1" si="135"/>
        <v>45979.08045173611</v>
      </c>
      <c r="C1769" s="76" t="s">
        <v>289</v>
      </c>
      <c r="D1769" s="76" t="s">
        <v>902</v>
      </c>
      <c r="E1769" s="79" t="s">
        <v>1752</v>
      </c>
      <c r="F1769" s="79"/>
    </row>
    <row r="1770" spans="1:7">
      <c r="A1770" s="77">
        <f t="shared" ca="1" si="134"/>
        <v>45979</v>
      </c>
      <c r="B1770" s="80">
        <f t="shared" ca="1" si="135"/>
        <v>45979.085617824072</v>
      </c>
      <c r="C1770" s="76" t="s">
        <v>289</v>
      </c>
      <c r="D1770" s="210" t="s">
        <v>922</v>
      </c>
      <c r="E1770" s="79"/>
      <c r="F1770" s="79"/>
    </row>
    <row r="1771" spans="1:7">
      <c r="A1771" s="77">
        <f t="shared" ca="1" si="134"/>
        <v>45979</v>
      </c>
      <c r="B1771" s="80">
        <f t="shared" ca="1" si="135"/>
        <v>45979.089691203706</v>
      </c>
      <c r="C1771" s="76" t="s">
        <v>289</v>
      </c>
      <c r="D1771" s="210" t="s">
        <v>1098</v>
      </c>
      <c r="E1771" s="79"/>
      <c r="F1771" s="79"/>
    </row>
    <row r="1772" spans="1:7">
      <c r="A1772" s="77">
        <f t="shared" ca="1" si="134"/>
        <v>45979</v>
      </c>
      <c r="B1772" s="80">
        <f t="shared" ca="1" si="135"/>
        <v>45979.133312384256</v>
      </c>
      <c r="C1772" s="76" t="s">
        <v>292</v>
      </c>
      <c r="D1772" s="210" t="s">
        <v>906</v>
      </c>
      <c r="E1772" s="79"/>
      <c r="F1772" s="79"/>
    </row>
    <row r="1773" spans="1:7">
      <c r="A1773" s="77">
        <f t="shared" ca="1" si="134"/>
        <v>45979</v>
      </c>
      <c r="B1773" s="80">
        <f t="shared" ca="1" si="135"/>
        <v>45979.137494212962</v>
      </c>
      <c r="C1773" s="76" t="s">
        <v>292</v>
      </c>
      <c r="D1773" s="210" t="s">
        <v>909</v>
      </c>
      <c r="E1773" s="79"/>
      <c r="F1773" s="79"/>
    </row>
    <row r="1774" spans="1:7">
      <c r="A1774" s="77">
        <f t="shared" ca="1" si="134"/>
        <v>45979</v>
      </c>
      <c r="B1774" s="80">
        <f t="shared" ca="1" si="135"/>
        <v>45979.13757673611</v>
      </c>
      <c r="C1774" s="76" t="s">
        <v>292</v>
      </c>
      <c r="D1774" s="76" t="s">
        <v>902</v>
      </c>
      <c r="E1774" s="79" t="s">
        <v>1761</v>
      </c>
      <c r="F1774" s="79"/>
    </row>
    <row r="1775" spans="1:7">
      <c r="A1775" s="77">
        <f t="shared" ca="1" si="134"/>
        <v>45979</v>
      </c>
      <c r="B1775" s="80">
        <f t="shared" ca="1" si="135"/>
        <v>45979.139977777777</v>
      </c>
      <c r="C1775" s="76" t="s">
        <v>292</v>
      </c>
      <c r="D1775" s="76" t="s">
        <v>902</v>
      </c>
      <c r="E1775" s="79" t="s">
        <v>1511</v>
      </c>
      <c r="F1775" s="79"/>
    </row>
    <row r="1776" spans="1:7">
      <c r="A1776" s="77">
        <f t="shared" ca="1" si="134"/>
        <v>45979</v>
      </c>
      <c r="B1776" s="80">
        <f t="shared" ca="1" si="135"/>
        <v>45979.139983217596</v>
      </c>
      <c r="C1776" s="76" t="s">
        <v>292</v>
      </c>
      <c r="D1776" s="76" t="s">
        <v>902</v>
      </c>
      <c r="E1776" s="79" t="s">
        <v>1062</v>
      </c>
      <c r="F1776" s="79"/>
    </row>
    <row r="1777" spans="1:7">
      <c r="A1777" s="77">
        <f t="shared" ca="1" si="134"/>
        <v>45979</v>
      </c>
      <c r="B1777" s="80">
        <f t="shared" ca="1" si="135"/>
        <v>45979.143447106479</v>
      </c>
      <c r="C1777" s="76" t="s">
        <v>292</v>
      </c>
      <c r="D1777" s="76" t="s">
        <v>902</v>
      </c>
      <c r="E1777" s="79" t="s">
        <v>1752</v>
      </c>
      <c r="F1777" s="79"/>
    </row>
    <row r="1778" spans="1:7">
      <c r="A1778" s="77">
        <f t="shared" ca="1" si="134"/>
        <v>45979</v>
      </c>
      <c r="B1778" s="80">
        <f t="shared" ca="1" si="135"/>
        <v>45979.151477546293</v>
      </c>
      <c r="C1778" s="76" t="s">
        <v>292</v>
      </c>
      <c r="D1778" s="76" t="s">
        <v>902</v>
      </c>
      <c r="E1778" s="79" t="s">
        <v>1762</v>
      </c>
      <c r="F1778" s="79"/>
    </row>
    <row r="1779" spans="1:7">
      <c r="A1779" s="77">
        <f t="shared" ca="1" si="134"/>
        <v>45979</v>
      </c>
      <c r="B1779" s="80">
        <f t="shared" ca="1" si="135"/>
        <v>45979.153101157404</v>
      </c>
      <c r="C1779" s="76" t="s">
        <v>292</v>
      </c>
      <c r="D1779" s="76" t="s">
        <v>902</v>
      </c>
      <c r="E1779" s="79" t="s">
        <v>1763</v>
      </c>
      <c r="F1779" s="79"/>
    </row>
    <row r="1780" spans="1:7">
      <c r="A1780" s="77">
        <f t="shared" ca="1" si="134"/>
        <v>45979</v>
      </c>
      <c r="B1780" s="80">
        <f t="shared" ca="1" si="135"/>
        <v>45979.157906018518</v>
      </c>
      <c r="C1780" s="76" t="s">
        <v>292</v>
      </c>
      <c r="D1780" s="76" t="s">
        <v>902</v>
      </c>
      <c r="E1780" s="79" t="s">
        <v>1324</v>
      </c>
      <c r="F1780" s="79"/>
    </row>
    <row r="1781" spans="1:7">
      <c r="A1781" s="77">
        <f t="shared" ca="1" si="134"/>
        <v>45979</v>
      </c>
      <c r="B1781" s="80">
        <f t="shared" ca="1" si="135"/>
        <v>45979.164181365741</v>
      </c>
      <c r="C1781" s="76" t="s">
        <v>292</v>
      </c>
      <c r="D1781" s="76" t="s">
        <v>902</v>
      </c>
      <c r="E1781" s="79" t="s">
        <v>1764</v>
      </c>
      <c r="F1781" s="79"/>
    </row>
    <row r="1782" spans="1:7">
      <c r="A1782" s="77">
        <f t="shared" ca="1" si="134"/>
        <v>45979</v>
      </c>
      <c r="B1782" s="80">
        <f t="shared" ca="1" si="135"/>
        <v>45979.180324652778</v>
      </c>
      <c r="C1782" s="76" t="s">
        <v>292</v>
      </c>
      <c r="D1782" s="76" t="s">
        <v>902</v>
      </c>
      <c r="E1782" s="79" t="s">
        <v>1765</v>
      </c>
      <c r="F1782" s="79"/>
    </row>
    <row r="1783" spans="1:7">
      <c r="A1783" s="77">
        <f t="shared" ca="1" si="134"/>
        <v>45979</v>
      </c>
      <c r="B1783" s="80">
        <f t="shared" ca="1" si="135"/>
        <v>45979.187699652779</v>
      </c>
      <c r="C1783" s="76" t="s">
        <v>292</v>
      </c>
      <c r="D1783" s="210" t="s">
        <v>922</v>
      </c>
      <c r="E1783" s="79"/>
      <c r="F1783" s="79"/>
    </row>
    <row r="1784" spans="1:7">
      <c r="A1784" s="77">
        <f ca="1">IF(C1784&lt;&gt;0,IF(A1784=0,TODAY(),A1784),)</f>
        <v>46019</v>
      </c>
      <c r="B1784" s="80">
        <v>0.21875</v>
      </c>
      <c r="C1784" s="76" t="s">
        <v>292</v>
      </c>
      <c r="D1784" s="76" t="s">
        <v>902</v>
      </c>
      <c r="E1784" s="79" t="s">
        <v>1766</v>
      </c>
      <c r="F1784" s="79"/>
    </row>
    <row r="1785" spans="1:7">
      <c r="A1785" s="77">
        <f t="shared" ca="1" si="134"/>
        <v>45979</v>
      </c>
      <c r="B1785" s="80">
        <f t="shared" ca="1" si="135"/>
        <v>45979.22316898148</v>
      </c>
      <c r="C1785" s="76" t="s">
        <v>292</v>
      </c>
      <c r="D1785" s="210" t="s">
        <v>1098</v>
      </c>
      <c r="E1785" s="79"/>
      <c r="F1785" s="79"/>
    </row>
    <row r="1786" spans="1:7">
      <c r="A1786" s="77">
        <f t="shared" ca="1" si="134"/>
        <v>45979</v>
      </c>
      <c r="B1786" s="80">
        <f t="shared" ca="1" si="135"/>
        <v>45979.377230324077</v>
      </c>
      <c r="C1786" s="76" t="s">
        <v>296</v>
      </c>
      <c r="D1786" s="210" t="s">
        <v>906</v>
      </c>
      <c r="E1786" s="79"/>
      <c r="F1786" s="79"/>
    </row>
    <row r="1787" spans="1:7">
      <c r="A1787" s="77">
        <f t="shared" ca="1" si="134"/>
        <v>45979</v>
      </c>
      <c r="B1787" s="80">
        <f t="shared" ca="1" si="135"/>
        <v>45979.382701273149</v>
      </c>
      <c r="C1787" s="76" t="s">
        <v>296</v>
      </c>
      <c r="D1787" s="210" t="s">
        <v>1098</v>
      </c>
      <c r="E1787" s="79"/>
      <c r="F1787" s="79"/>
      <c r="G1787" s="76" t="s">
        <v>1767</v>
      </c>
    </row>
    <row r="1788" spans="1:7">
      <c r="A1788" s="77">
        <f t="shared" ca="1" si="134"/>
        <v>45979</v>
      </c>
      <c r="B1788" s="80">
        <f t="shared" ca="1" si="135"/>
        <v>45979.413312847224</v>
      </c>
      <c r="C1788" s="76" t="s">
        <v>296</v>
      </c>
      <c r="D1788" s="210" t="s">
        <v>906</v>
      </c>
      <c r="E1788" s="79"/>
      <c r="F1788" s="79"/>
    </row>
    <row r="1789" spans="1:7">
      <c r="A1789" s="77">
        <f t="shared" ca="1" si="134"/>
        <v>45979</v>
      </c>
      <c r="B1789" s="80">
        <f t="shared" ca="1" si="135"/>
        <v>45979.454664814817</v>
      </c>
      <c r="C1789" s="76" t="s">
        <v>296</v>
      </c>
      <c r="D1789" s="76" t="s">
        <v>902</v>
      </c>
      <c r="E1789" s="79"/>
      <c r="F1789" s="79"/>
      <c r="G1789" s="76" t="s">
        <v>1768</v>
      </c>
    </row>
    <row r="1790" spans="1:7">
      <c r="A1790" s="77">
        <f t="shared" ca="1" si="134"/>
        <v>45979</v>
      </c>
      <c r="B1790" s="80">
        <f t="shared" ca="1" si="135"/>
        <v>45979.462257407409</v>
      </c>
      <c r="C1790" s="76" t="s">
        <v>296</v>
      </c>
      <c r="D1790" s="210" t="s">
        <v>909</v>
      </c>
      <c r="E1790" s="79"/>
      <c r="F1790" s="79"/>
      <c r="G1790" s="76" t="s">
        <v>1769</v>
      </c>
    </row>
    <row r="1791" spans="1:7">
      <c r="A1791" s="77">
        <f t="shared" ca="1" si="134"/>
        <v>45979</v>
      </c>
      <c r="B1791" s="80">
        <f t="shared" ca="1" si="135"/>
        <v>45979.472897916668</v>
      </c>
      <c r="C1791" s="76" t="s">
        <v>296</v>
      </c>
      <c r="D1791" s="76" t="s">
        <v>902</v>
      </c>
      <c r="E1791" s="79" t="s">
        <v>1770</v>
      </c>
      <c r="F1791" s="79"/>
    </row>
    <row r="1792" spans="1:7">
      <c r="A1792" s="77">
        <f t="shared" ca="1" si="134"/>
        <v>45979</v>
      </c>
      <c r="B1792" s="80">
        <f t="shared" ca="1" si="135"/>
        <v>45979.478354050923</v>
      </c>
      <c r="C1792" s="76" t="s">
        <v>296</v>
      </c>
      <c r="D1792" s="76" t="s">
        <v>902</v>
      </c>
      <c r="E1792" s="79" t="s">
        <v>1771</v>
      </c>
      <c r="F1792" s="79"/>
    </row>
    <row r="1793" spans="1:7">
      <c r="A1793" s="77">
        <f t="shared" ca="1" si="134"/>
        <v>45979</v>
      </c>
      <c r="B1793" s="80">
        <f t="shared" ca="1" si="135"/>
        <v>45979.487252430554</v>
      </c>
      <c r="C1793" s="76" t="s">
        <v>296</v>
      </c>
      <c r="D1793" s="76" t="s">
        <v>902</v>
      </c>
      <c r="E1793" s="79" t="s">
        <v>1610</v>
      </c>
      <c r="F1793" s="79"/>
    </row>
    <row r="1794" spans="1:7">
      <c r="A1794" s="77">
        <f t="shared" ca="1" si="134"/>
        <v>45979</v>
      </c>
      <c r="B1794" s="80">
        <f t="shared" ca="1" si="135"/>
        <v>45979.488138194443</v>
      </c>
      <c r="C1794" s="76" t="s">
        <v>296</v>
      </c>
      <c r="D1794" s="76" t="s">
        <v>902</v>
      </c>
      <c r="E1794" s="79" t="s">
        <v>1772</v>
      </c>
      <c r="F1794" s="79"/>
    </row>
    <row r="1795" spans="1:7">
      <c r="A1795" s="77">
        <f t="shared" ref="A1795:A1819" ca="1" si="136">IF(C1795&lt;&gt;0,IF(A1795=0,TODAY(),A1795),)</f>
        <v>45979</v>
      </c>
      <c r="B1795" s="80">
        <f t="shared" ref="B1795:B1819" ca="1" si="137">IF(C1795&lt;&gt;0,IF(B1795=0,NOW(),B1795),)</f>
        <v>45979.489185995371</v>
      </c>
      <c r="C1795" s="76" t="s">
        <v>296</v>
      </c>
      <c r="D1795" s="76" t="s">
        <v>902</v>
      </c>
      <c r="E1795" s="79" t="s">
        <v>1773</v>
      </c>
      <c r="F1795" s="79"/>
    </row>
    <row r="1796" spans="1:7">
      <c r="A1796" s="77">
        <f t="shared" ca="1" si="136"/>
        <v>45979</v>
      </c>
      <c r="B1796" s="80">
        <f t="shared" ca="1" si="137"/>
        <v>45979.499079629626</v>
      </c>
      <c r="C1796" s="76" t="s">
        <v>296</v>
      </c>
      <c r="D1796" s="76" t="s">
        <v>902</v>
      </c>
      <c r="E1796" s="79" t="s">
        <v>1774</v>
      </c>
      <c r="F1796" s="79"/>
    </row>
    <row r="1797" spans="1:7">
      <c r="A1797" s="77">
        <f t="shared" ca="1" si="136"/>
        <v>45979</v>
      </c>
      <c r="B1797" s="80">
        <f t="shared" ca="1" si="137"/>
        <v>45979.50219525463</v>
      </c>
      <c r="C1797" s="76" t="s">
        <v>296</v>
      </c>
      <c r="D1797" s="76" t="s">
        <v>902</v>
      </c>
      <c r="E1797" s="79" t="s">
        <v>1775</v>
      </c>
      <c r="F1797" s="79"/>
    </row>
    <row r="1798" spans="1:7">
      <c r="A1798" s="77">
        <f t="shared" ca="1" si="136"/>
        <v>45979</v>
      </c>
      <c r="B1798" s="80">
        <f t="shared" ca="1" si="137"/>
        <v>45979.504763773148</v>
      </c>
      <c r="C1798" s="76" t="s">
        <v>296</v>
      </c>
      <c r="D1798" s="76" t="s">
        <v>902</v>
      </c>
      <c r="E1798" s="79" t="s">
        <v>1651</v>
      </c>
      <c r="F1798" s="79"/>
    </row>
    <row r="1799" spans="1:7">
      <c r="A1799" s="77">
        <f t="shared" ca="1" si="136"/>
        <v>45979</v>
      </c>
      <c r="B1799" s="80">
        <f t="shared" ca="1" si="137"/>
        <v>45979.506271412036</v>
      </c>
      <c r="C1799" s="76" t="s">
        <v>296</v>
      </c>
      <c r="D1799" s="76" t="s">
        <v>902</v>
      </c>
      <c r="E1799" s="79" t="s">
        <v>1775</v>
      </c>
      <c r="F1799" s="79"/>
    </row>
    <row r="1800" spans="1:7">
      <c r="A1800" s="77">
        <f t="shared" ca="1" si="136"/>
        <v>45979</v>
      </c>
      <c r="B1800" s="80">
        <f t="shared" ca="1" si="137"/>
        <v>45979.507134027779</v>
      </c>
      <c r="C1800" s="76" t="s">
        <v>296</v>
      </c>
      <c r="D1800" s="210" t="s">
        <v>922</v>
      </c>
      <c r="E1800" s="79"/>
      <c r="F1800" s="79"/>
    </row>
    <row r="1801" spans="1:7">
      <c r="A1801" s="77">
        <f t="shared" ca="1" si="136"/>
        <v>45979</v>
      </c>
      <c r="B1801" s="80">
        <f t="shared" ca="1" si="137"/>
        <v>45979.527312847225</v>
      </c>
      <c r="C1801" s="76" t="s">
        <v>296</v>
      </c>
      <c r="D1801" s="210" t="s">
        <v>1098</v>
      </c>
      <c r="E1801" s="79"/>
      <c r="F1801" s="79"/>
      <c r="G1801" s="76" t="s">
        <v>1776</v>
      </c>
    </row>
    <row r="1802" spans="1:7">
      <c r="A1802" s="77">
        <f t="shared" ca="1" si="136"/>
        <v>45979</v>
      </c>
      <c r="B1802" s="80">
        <f t="shared" ca="1" si="137"/>
        <v>45979.651798495368</v>
      </c>
      <c r="C1802" s="76" t="s">
        <v>299</v>
      </c>
      <c r="D1802" s="210" t="s">
        <v>906</v>
      </c>
      <c r="E1802" s="79"/>
      <c r="F1802" s="79"/>
      <c r="G1802" s="76" t="s">
        <v>1777</v>
      </c>
    </row>
    <row r="1803" spans="1:7">
      <c r="A1803" s="77">
        <f t="shared" ca="1" si="136"/>
        <v>45979</v>
      </c>
      <c r="B1803" s="80">
        <f t="shared" ca="1" si="137"/>
        <v>45979.660561574077</v>
      </c>
      <c r="C1803" s="76" t="s">
        <v>299</v>
      </c>
      <c r="D1803" s="210" t="s">
        <v>909</v>
      </c>
      <c r="E1803" s="79"/>
      <c r="F1803" s="79"/>
    </row>
    <row r="1804" spans="1:7">
      <c r="A1804" s="77">
        <f t="shared" ca="1" si="136"/>
        <v>45979</v>
      </c>
      <c r="B1804" s="80">
        <f t="shared" ca="1" si="137"/>
        <v>45979.668847106484</v>
      </c>
      <c r="C1804" s="76" t="s">
        <v>299</v>
      </c>
      <c r="D1804" s="76" t="s">
        <v>902</v>
      </c>
      <c r="E1804" s="79" t="s">
        <v>1603</v>
      </c>
      <c r="F1804" s="79"/>
    </row>
    <row r="1805" spans="1:7">
      <c r="A1805" s="77">
        <f t="shared" ca="1" si="136"/>
        <v>45979</v>
      </c>
      <c r="B1805" s="80">
        <f t="shared" ca="1" si="137"/>
        <v>45979.671939351851</v>
      </c>
      <c r="C1805" s="76" t="s">
        <v>299</v>
      </c>
      <c r="D1805" s="76" t="s">
        <v>902</v>
      </c>
      <c r="E1805" s="79" t="s">
        <v>1601</v>
      </c>
      <c r="F1805" s="79"/>
    </row>
    <row r="1806" spans="1:7">
      <c r="A1806" s="77">
        <f t="shared" ca="1" si="136"/>
        <v>45979</v>
      </c>
      <c r="B1806" s="80">
        <f t="shared" ca="1" si="137"/>
        <v>45979.677272569446</v>
      </c>
      <c r="C1806" s="76" t="s">
        <v>299</v>
      </c>
      <c r="D1806" s="76" t="s">
        <v>902</v>
      </c>
      <c r="E1806" s="79" t="s">
        <v>1778</v>
      </c>
      <c r="F1806" s="79"/>
    </row>
    <row r="1807" spans="1:7">
      <c r="A1807" s="77">
        <f t="shared" ca="1" si="136"/>
        <v>45979</v>
      </c>
      <c r="B1807" s="80">
        <f t="shared" ca="1" si="137"/>
        <v>45979.679224074076</v>
      </c>
      <c r="C1807" s="76" t="s">
        <v>299</v>
      </c>
      <c r="D1807" s="76" t="s">
        <v>902</v>
      </c>
      <c r="E1807" s="79" t="s">
        <v>1063</v>
      </c>
      <c r="F1807" s="79"/>
    </row>
    <row r="1808" spans="1:7">
      <c r="A1808" s="77">
        <f t="shared" ca="1" si="136"/>
        <v>45979</v>
      </c>
      <c r="B1808" s="80">
        <f t="shared" ca="1" si="137"/>
        <v>45979.684463888887</v>
      </c>
      <c r="C1808" s="76" t="s">
        <v>299</v>
      </c>
      <c r="D1808" s="76" t="s">
        <v>902</v>
      </c>
      <c r="E1808" s="79" t="s">
        <v>1770</v>
      </c>
      <c r="F1808" s="79"/>
    </row>
    <row r="1809" spans="1:7">
      <c r="A1809" s="77">
        <f t="shared" ca="1" si="136"/>
        <v>45979</v>
      </c>
      <c r="B1809" s="80">
        <f t="shared" ca="1" si="137"/>
        <v>45979.688650810182</v>
      </c>
      <c r="C1809" s="76" t="s">
        <v>299</v>
      </c>
      <c r="D1809" s="210" t="s">
        <v>922</v>
      </c>
      <c r="E1809" s="79"/>
      <c r="F1809" s="79"/>
      <c r="G1809" s="76" t="s">
        <v>301</v>
      </c>
    </row>
    <row r="1810" spans="1:7">
      <c r="A1810" s="77">
        <f t="shared" ca="1" si="136"/>
        <v>45979</v>
      </c>
      <c r="B1810" s="93">
        <v>0.70902777777777781</v>
      </c>
      <c r="C1810" s="76" t="s">
        <v>299</v>
      </c>
      <c r="D1810" s="210" t="s">
        <v>1098</v>
      </c>
      <c r="E1810" s="79"/>
      <c r="F1810" s="79"/>
    </row>
    <row r="1811" spans="1:7">
      <c r="A1811" s="77">
        <f t="shared" ca="1" si="136"/>
        <v>45979</v>
      </c>
      <c r="B1811" s="80">
        <f t="shared" ca="1" si="137"/>
        <v>45979.806874421294</v>
      </c>
      <c r="C1811" s="76" t="s">
        <v>302</v>
      </c>
      <c r="D1811" s="210" t="s">
        <v>906</v>
      </c>
      <c r="E1811" s="79"/>
      <c r="F1811" s="79"/>
    </row>
    <row r="1812" spans="1:7">
      <c r="A1812" s="77">
        <f t="shared" ca="1" si="136"/>
        <v>45979</v>
      </c>
      <c r="B1812" s="80">
        <f t="shared" ca="1" si="137"/>
        <v>45979.845387384259</v>
      </c>
      <c r="C1812" s="76" t="s">
        <v>302</v>
      </c>
      <c r="D1812" s="150" t="s">
        <v>1070</v>
      </c>
      <c r="E1812" s="79"/>
      <c r="F1812" s="79"/>
    </row>
    <row r="1813" spans="1:7">
      <c r="A1813" s="77">
        <f t="shared" ca="1" si="136"/>
        <v>45979</v>
      </c>
      <c r="B1813" s="80">
        <f t="shared" ca="1" si="137"/>
        <v>45979.853394791666</v>
      </c>
      <c r="C1813" s="76" t="s">
        <v>302</v>
      </c>
      <c r="D1813" s="210" t="s">
        <v>909</v>
      </c>
      <c r="E1813" s="79"/>
      <c r="F1813" s="79"/>
    </row>
    <row r="1814" spans="1:7">
      <c r="A1814" s="77">
        <f t="shared" ca="1" si="136"/>
        <v>45979</v>
      </c>
      <c r="B1814" s="80">
        <f t="shared" ca="1" si="137"/>
        <v>45979.856802083334</v>
      </c>
      <c r="C1814" s="76" t="s">
        <v>302</v>
      </c>
      <c r="D1814" s="76" t="s">
        <v>902</v>
      </c>
      <c r="E1814" s="79" t="s">
        <v>1779</v>
      </c>
      <c r="F1814" s="79"/>
    </row>
    <row r="1815" spans="1:7">
      <c r="A1815" s="77">
        <f t="shared" ca="1" si="136"/>
        <v>45979</v>
      </c>
      <c r="B1815" s="80">
        <f t="shared" ca="1" si="137"/>
        <v>45979.858600694446</v>
      </c>
      <c r="C1815" s="76" t="s">
        <v>302</v>
      </c>
      <c r="D1815" s="76" t="s">
        <v>902</v>
      </c>
      <c r="E1815" s="79" t="s">
        <v>1314</v>
      </c>
      <c r="F1815" s="79"/>
    </row>
    <row r="1816" spans="1:7">
      <c r="A1816" s="77">
        <f t="shared" ca="1" si="136"/>
        <v>45979</v>
      </c>
      <c r="B1816" s="80">
        <f t="shared" ca="1" si="137"/>
        <v>45979.860884837966</v>
      </c>
      <c r="C1816" s="76" t="s">
        <v>302</v>
      </c>
      <c r="D1816" s="76" t="s">
        <v>902</v>
      </c>
      <c r="E1816" s="79" t="s">
        <v>1640</v>
      </c>
      <c r="F1816" s="79"/>
    </row>
    <row r="1817" spans="1:7">
      <c r="A1817" s="77">
        <f t="shared" ca="1" si="136"/>
        <v>45979</v>
      </c>
      <c r="B1817" s="80">
        <f t="shared" ca="1" si="137"/>
        <v>45979.863516087964</v>
      </c>
      <c r="C1817" s="76" t="s">
        <v>302</v>
      </c>
      <c r="D1817" s="76" t="s">
        <v>902</v>
      </c>
      <c r="E1817" s="79" t="s">
        <v>1640</v>
      </c>
      <c r="F1817" s="79"/>
    </row>
    <row r="1818" spans="1:7">
      <c r="A1818" s="77">
        <f t="shared" ca="1" si="136"/>
        <v>45979</v>
      </c>
      <c r="B1818" s="80">
        <f ca="1">IF(C1818&lt;&gt;0,IF(B1818=0,NOW(),B1818),)</f>
        <v>45979.89434027778</v>
      </c>
      <c r="C1818" s="76" t="s">
        <v>302</v>
      </c>
      <c r="D1818" s="76" t="s">
        <v>902</v>
      </c>
      <c r="E1818" s="79" t="s">
        <v>1504</v>
      </c>
      <c r="F1818" s="79"/>
      <c r="G1818" s="94">
        <v>0.86388888888888893</v>
      </c>
    </row>
    <row r="1819" spans="1:7">
      <c r="A1819" s="77">
        <f t="shared" ca="1" si="136"/>
        <v>45979</v>
      </c>
      <c r="B1819" s="80">
        <f t="shared" ca="1" si="137"/>
        <v>45979.864741550926</v>
      </c>
      <c r="C1819" s="76" t="s">
        <v>302</v>
      </c>
      <c r="D1819" s="76" t="s">
        <v>902</v>
      </c>
      <c r="E1819" s="79" t="s">
        <v>1196</v>
      </c>
      <c r="F1819" s="79"/>
    </row>
    <row r="1820" spans="1:7">
      <c r="A1820" s="77">
        <f t="shared" ref="A1820:A1829" ca="1" si="138">IF(C1820&lt;&gt;0,IF(A1820=0,TODAY(),A1820),)</f>
        <v>45979</v>
      </c>
      <c r="B1820" s="80">
        <f t="shared" ref="B1820:B1829" ca="1" si="139">IF(C1820&lt;&gt;0,IF(B1820=0,NOW(),B1820),)</f>
        <v>45979.867734027779</v>
      </c>
      <c r="C1820" s="76" t="s">
        <v>302</v>
      </c>
      <c r="D1820" s="76" t="s">
        <v>902</v>
      </c>
      <c r="E1820" s="79" t="s">
        <v>1504</v>
      </c>
      <c r="F1820" s="79"/>
    </row>
    <row r="1821" spans="1:7">
      <c r="A1821" s="77">
        <f t="shared" ca="1" si="138"/>
        <v>45979</v>
      </c>
      <c r="B1821" s="80">
        <f t="shared" ca="1" si="139"/>
        <v>45979.86856574074</v>
      </c>
      <c r="C1821" s="76" t="s">
        <v>302</v>
      </c>
      <c r="D1821" s="76" t="s">
        <v>902</v>
      </c>
      <c r="E1821" s="79" t="s">
        <v>1780</v>
      </c>
      <c r="F1821" s="79"/>
    </row>
    <row r="1822" spans="1:7">
      <c r="A1822" s="77">
        <f t="shared" ca="1" si="138"/>
        <v>45979</v>
      </c>
      <c r="B1822" s="80">
        <f t="shared" ca="1" si="139"/>
        <v>45979.869870486109</v>
      </c>
      <c r="C1822" s="76" t="s">
        <v>302</v>
      </c>
      <c r="D1822" s="76" t="s">
        <v>902</v>
      </c>
      <c r="E1822" s="79" t="s">
        <v>1504</v>
      </c>
      <c r="F1822" s="79"/>
    </row>
    <row r="1823" spans="1:7">
      <c r="A1823" s="77">
        <f t="shared" ca="1" si="138"/>
        <v>45979</v>
      </c>
      <c r="B1823" s="80">
        <f t="shared" ca="1" si="139"/>
        <v>45979.873306365742</v>
      </c>
      <c r="C1823" s="76" t="s">
        <v>302</v>
      </c>
      <c r="D1823" s="76" t="s">
        <v>902</v>
      </c>
      <c r="E1823" s="79" t="s">
        <v>1781</v>
      </c>
      <c r="F1823" s="79"/>
    </row>
    <row r="1824" spans="1:7">
      <c r="A1824" s="77">
        <f t="shared" ca="1" si="138"/>
        <v>45979</v>
      </c>
      <c r="B1824" s="80">
        <f t="shared" ca="1" si="139"/>
        <v>45979.874421296299</v>
      </c>
      <c r="C1824" s="76" t="s">
        <v>302</v>
      </c>
      <c r="D1824" s="76" t="s">
        <v>902</v>
      </c>
      <c r="E1824" s="79" t="s">
        <v>1324</v>
      </c>
      <c r="F1824" s="79"/>
    </row>
    <row r="1825" spans="1:6">
      <c r="A1825" s="77">
        <f t="shared" ca="1" si="138"/>
        <v>45979</v>
      </c>
      <c r="B1825" s="80">
        <f t="shared" ca="1" si="139"/>
        <v>45979.875050000002</v>
      </c>
      <c r="C1825" s="76" t="s">
        <v>302</v>
      </c>
      <c r="D1825" s="76" t="s">
        <v>902</v>
      </c>
      <c r="E1825" s="79" t="s">
        <v>1640</v>
      </c>
      <c r="F1825" s="79"/>
    </row>
    <row r="1826" spans="1:6">
      <c r="A1826" s="77">
        <f t="shared" ca="1" si="138"/>
        <v>45979</v>
      </c>
      <c r="B1826" s="80">
        <f t="shared" ca="1" si="139"/>
        <v>45979.875646990738</v>
      </c>
      <c r="C1826" s="76" t="s">
        <v>302</v>
      </c>
      <c r="D1826" s="76" t="s">
        <v>902</v>
      </c>
      <c r="E1826" s="79" t="s">
        <v>1504</v>
      </c>
      <c r="F1826" s="79"/>
    </row>
    <row r="1827" spans="1:6">
      <c r="A1827" s="77">
        <f t="shared" ca="1" si="138"/>
        <v>45979</v>
      </c>
      <c r="B1827" s="80">
        <f t="shared" ca="1" si="139"/>
        <v>45979.877546875003</v>
      </c>
      <c r="C1827" s="76" t="s">
        <v>302</v>
      </c>
      <c r="D1827" s="76" t="s">
        <v>902</v>
      </c>
      <c r="E1827" s="79" t="s">
        <v>1064</v>
      </c>
      <c r="F1827" s="79"/>
    </row>
    <row r="1828" spans="1:6">
      <c r="A1828" s="77">
        <f t="shared" ca="1" si="138"/>
        <v>45979</v>
      </c>
      <c r="B1828" s="80">
        <f t="shared" ca="1" si="139"/>
        <v>45979.880610300926</v>
      </c>
      <c r="C1828" s="76" t="s">
        <v>302</v>
      </c>
      <c r="D1828" s="210" t="s">
        <v>922</v>
      </c>
      <c r="E1828" s="79" t="s">
        <v>1782</v>
      </c>
      <c r="F1828" s="79"/>
    </row>
    <row r="1829" spans="1:6">
      <c r="A1829" s="77">
        <f t="shared" ca="1" si="138"/>
        <v>45979</v>
      </c>
      <c r="B1829" s="80">
        <f t="shared" ca="1" si="139"/>
        <v>45979.910593981484</v>
      </c>
      <c r="C1829" s="76" t="s">
        <v>302</v>
      </c>
      <c r="D1829" s="210" t="s">
        <v>1098</v>
      </c>
      <c r="E1829" s="79"/>
      <c r="F1829" s="79"/>
    </row>
    <row r="1830" spans="1:6">
      <c r="A1830" s="77">
        <f t="shared" ref="A1830:A1845" ca="1" si="140">IF(C1830&lt;&gt;0,IF(A1830=0,TODAY(),A1830),)</f>
        <v>45979</v>
      </c>
      <c r="B1830" s="80">
        <f t="shared" ref="B1830:B1869" ca="1" si="141">IF(C1830&lt;&gt;0,IF(B1830=0,NOW(),B1830),)</f>
        <v>45979.971555439814</v>
      </c>
      <c r="C1830" s="76" t="s">
        <v>304</v>
      </c>
      <c r="D1830" s="210" t="s">
        <v>906</v>
      </c>
      <c r="E1830" s="79"/>
      <c r="F1830" s="79"/>
    </row>
    <row r="1831" spans="1:6">
      <c r="A1831" s="77">
        <f t="shared" ca="1" si="140"/>
        <v>45980</v>
      </c>
      <c r="B1831" s="80">
        <f t="shared" ca="1" si="141"/>
        <v>45980.019837268519</v>
      </c>
      <c r="C1831" s="76" t="s">
        <v>304</v>
      </c>
      <c r="D1831" s="210" t="s">
        <v>909</v>
      </c>
      <c r="E1831" s="79"/>
      <c r="F1831" s="79"/>
    </row>
    <row r="1832" spans="1:6">
      <c r="A1832" s="77">
        <f t="shared" ca="1" si="140"/>
        <v>45980</v>
      </c>
      <c r="B1832" s="80">
        <f t="shared" ca="1" si="141"/>
        <v>45980.023535300927</v>
      </c>
      <c r="C1832" s="76" t="s">
        <v>304</v>
      </c>
      <c r="D1832" s="76" t="s">
        <v>902</v>
      </c>
      <c r="E1832" s="79" t="s">
        <v>1783</v>
      </c>
      <c r="F1832" s="79"/>
    </row>
    <row r="1833" spans="1:6">
      <c r="A1833" s="77">
        <f t="shared" ca="1" si="140"/>
        <v>45980</v>
      </c>
      <c r="B1833" s="80">
        <f t="shared" ca="1" si="141"/>
        <v>45980.024233564814</v>
      </c>
      <c r="C1833" s="76" t="s">
        <v>304</v>
      </c>
      <c r="D1833" s="76" t="s">
        <v>902</v>
      </c>
      <c r="E1833" s="79" t="s">
        <v>1784</v>
      </c>
      <c r="F1833" s="79"/>
    </row>
    <row r="1834" spans="1:6">
      <c r="A1834" s="77">
        <f t="shared" ca="1" si="140"/>
        <v>45980</v>
      </c>
      <c r="B1834" s="80">
        <f t="shared" ca="1" si="141"/>
        <v>45980.025911226854</v>
      </c>
      <c r="C1834" s="76" t="s">
        <v>304</v>
      </c>
      <c r="D1834" s="76" t="s">
        <v>902</v>
      </c>
      <c r="E1834" s="79" t="s">
        <v>1785</v>
      </c>
      <c r="F1834" s="79" t="s">
        <v>1786</v>
      </c>
    </row>
    <row r="1835" spans="1:6">
      <c r="A1835" s="77">
        <f t="shared" ca="1" si="140"/>
        <v>45980</v>
      </c>
      <c r="B1835" s="80">
        <f t="shared" ca="1" si="141"/>
        <v>45980.030270023148</v>
      </c>
      <c r="C1835" s="76" t="s">
        <v>304</v>
      </c>
      <c r="D1835" s="76" t="s">
        <v>902</v>
      </c>
      <c r="E1835" s="79" t="s">
        <v>1787</v>
      </c>
      <c r="F1835" s="79"/>
    </row>
    <row r="1836" spans="1:6">
      <c r="A1836" s="77">
        <f t="shared" ca="1" si="140"/>
        <v>45980</v>
      </c>
      <c r="B1836" s="80">
        <f t="shared" ca="1" si="141"/>
        <v>45980.032454050925</v>
      </c>
      <c r="C1836" s="76" t="s">
        <v>304</v>
      </c>
      <c r="D1836" s="76" t="s">
        <v>902</v>
      </c>
      <c r="E1836" s="79" t="s">
        <v>1314</v>
      </c>
      <c r="F1836" s="79"/>
    </row>
    <row r="1837" spans="1:6">
      <c r="A1837" s="77">
        <f t="shared" ca="1" si="140"/>
        <v>45980</v>
      </c>
      <c r="B1837" s="80">
        <f t="shared" ca="1" si="141"/>
        <v>45980.032851736112</v>
      </c>
      <c r="C1837" s="76" t="s">
        <v>304</v>
      </c>
      <c r="D1837" s="76" t="s">
        <v>902</v>
      </c>
      <c r="E1837" s="79" t="s">
        <v>1788</v>
      </c>
      <c r="F1837" s="79"/>
    </row>
    <row r="1838" spans="1:6">
      <c r="A1838" s="77">
        <f t="shared" ca="1" si="140"/>
        <v>45980</v>
      </c>
      <c r="B1838" s="80">
        <f t="shared" ca="1" si="141"/>
        <v>45980.034573379628</v>
      </c>
      <c r="C1838" s="76" t="s">
        <v>304</v>
      </c>
      <c r="D1838" s="76" t="s">
        <v>902</v>
      </c>
      <c r="E1838" s="79" t="s">
        <v>1789</v>
      </c>
      <c r="F1838" s="79"/>
    </row>
    <row r="1839" spans="1:6">
      <c r="A1839" s="77">
        <f t="shared" ca="1" si="140"/>
        <v>45980</v>
      </c>
      <c r="B1839" s="80">
        <f t="shared" ca="1" si="141"/>
        <v>45980.037989583332</v>
      </c>
      <c r="C1839" s="76" t="s">
        <v>304</v>
      </c>
      <c r="D1839" s="76" t="s">
        <v>902</v>
      </c>
      <c r="E1839" s="79" t="s">
        <v>1790</v>
      </c>
      <c r="F1839" s="79"/>
    </row>
    <row r="1840" spans="1:6">
      <c r="A1840" s="77">
        <f t="shared" ca="1" si="140"/>
        <v>45980</v>
      </c>
      <c r="B1840" s="80">
        <f t="shared" ca="1" si="141"/>
        <v>45980.03974039352</v>
      </c>
      <c r="C1840" s="76" t="s">
        <v>304</v>
      </c>
      <c r="D1840" s="76" t="s">
        <v>902</v>
      </c>
      <c r="E1840" s="79" t="s">
        <v>1784</v>
      </c>
      <c r="F1840" s="79"/>
    </row>
    <row r="1841" spans="1:7">
      <c r="A1841" s="77">
        <f t="shared" ca="1" si="140"/>
        <v>45980</v>
      </c>
      <c r="B1841" s="80">
        <f t="shared" ca="1" si="141"/>
        <v>45980.045591087961</v>
      </c>
      <c r="C1841" s="76" t="s">
        <v>304</v>
      </c>
      <c r="D1841" s="76" t="s">
        <v>902</v>
      </c>
      <c r="E1841" s="79" t="s">
        <v>1788</v>
      </c>
      <c r="F1841" s="79"/>
    </row>
    <row r="1842" spans="1:7">
      <c r="A1842" s="77">
        <f t="shared" ca="1" si="140"/>
        <v>45980</v>
      </c>
      <c r="B1842" s="80">
        <f t="shared" ca="1" si="141"/>
        <v>45980.053559490741</v>
      </c>
      <c r="C1842" s="76" t="s">
        <v>304</v>
      </c>
      <c r="D1842" s="76" t="s">
        <v>902</v>
      </c>
      <c r="E1842" s="79" t="s">
        <v>1314</v>
      </c>
      <c r="F1842" s="79"/>
    </row>
    <row r="1843" spans="1:7">
      <c r="A1843" s="77">
        <f t="shared" ca="1" si="140"/>
        <v>45980</v>
      </c>
      <c r="B1843" s="80">
        <f t="shared" ca="1" si="141"/>
        <v>45980.058503819448</v>
      </c>
      <c r="C1843" s="76" t="s">
        <v>304</v>
      </c>
      <c r="D1843" s="76" t="s">
        <v>902</v>
      </c>
      <c r="E1843" s="79" t="s">
        <v>1791</v>
      </c>
      <c r="F1843" s="79"/>
    </row>
    <row r="1844" spans="1:7">
      <c r="A1844" s="77">
        <f t="shared" ca="1" si="140"/>
        <v>45980</v>
      </c>
      <c r="B1844" s="80">
        <f t="shared" ca="1" si="141"/>
        <v>45980.063063657406</v>
      </c>
      <c r="C1844" s="76" t="s">
        <v>304</v>
      </c>
      <c r="D1844" s="76" t="s">
        <v>902</v>
      </c>
      <c r="E1844" s="79" t="s">
        <v>1792</v>
      </c>
      <c r="F1844" s="79"/>
    </row>
    <row r="1845" spans="1:7">
      <c r="A1845" s="77">
        <f t="shared" ca="1" si="140"/>
        <v>45980</v>
      </c>
      <c r="B1845" s="80">
        <f t="shared" ca="1" si="141"/>
        <v>45980.080312500002</v>
      </c>
      <c r="C1845" s="76" t="s">
        <v>304</v>
      </c>
      <c r="D1845" s="76" t="s">
        <v>902</v>
      </c>
      <c r="E1845" s="79" t="s">
        <v>1793</v>
      </c>
      <c r="F1845" s="79"/>
    </row>
    <row r="1846" spans="1:7">
      <c r="A1846" s="77">
        <f t="shared" ref="A1846" ca="1" si="142">IF(C1846&lt;&gt;0,IF(A1846=0,TODAY(),A1846),)</f>
        <v>45980</v>
      </c>
      <c r="B1846" s="80">
        <f t="shared" ca="1" si="141"/>
        <v>45980.085568750001</v>
      </c>
      <c r="C1846" s="76" t="s">
        <v>304</v>
      </c>
      <c r="D1846" s="76" t="s">
        <v>902</v>
      </c>
      <c r="E1846" s="79"/>
      <c r="F1846" s="79"/>
      <c r="G1846" s="79" t="s">
        <v>1794</v>
      </c>
    </row>
    <row r="1847" spans="1:7">
      <c r="A1847" s="77">
        <f t="shared" ref="A1847:A1862" ca="1" si="143">IF(C1847&lt;&gt;0,IF(A1847=0,TODAY(),A1847),)</f>
        <v>45980</v>
      </c>
      <c r="B1847" s="80">
        <f t="shared" ca="1" si="141"/>
        <v>45980.090146296294</v>
      </c>
      <c r="C1847" s="76" t="s">
        <v>304</v>
      </c>
      <c r="D1847" s="150" t="s">
        <v>1007</v>
      </c>
      <c r="E1847" s="79" t="s">
        <v>1795</v>
      </c>
      <c r="F1847" s="79"/>
      <c r="G1847" s="76" t="s">
        <v>1796</v>
      </c>
    </row>
    <row r="1848" spans="1:7">
      <c r="A1848" s="77">
        <f t="shared" ca="1" si="143"/>
        <v>45980</v>
      </c>
      <c r="B1848" s="80">
        <f t="shared" ca="1" si="141"/>
        <v>45980.094365856479</v>
      </c>
      <c r="C1848" s="76" t="s">
        <v>304</v>
      </c>
      <c r="D1848" s="76" t="s">
        <v>902</v>
      </c>
      <c r="E1848" s="79"/>
      <c r="F1848" s="79"/>
      <c r="G1848" s="79" t="s">
        <v>1785</v>
      </c>
    </row>
    <row r="1849" spans="1:7">
      <c r="A1849" s="77">
        <f t="shared" ca="1" si="143"/>
        <v>45980</v>
      </c>
      <c r="B1849" s="80">
        <f t="shared" ca="1" si="141"/>
        <v>45980.098624768521</v>
      </c>
      <c r="C1849" s="76" t="s">
        <v>304</v>
      </c>
      <c r="D1849" s="76" t="s">
        <v>902</v>
      </c>
      <c r="E1849" s="79"/>
      <c r="F1849" s="79"/>
      <c r="G1849" s="79" t="s">
        <v>1797</v>
      </c>
    </row>
    <row r="1850" spans="1:7">
      <c r="A1850" s="77">
        <f t="shared" ca="1" si="143"/>
        <v>45980</v>
      </c>
      <c r="B1850" s="80">
        <f t="shared" ca="1" si="141"/>
        <v>45980.099424768516</v>
      </c>
      <c r="C1850" s="76" t="s">
        <v>304</v>
      </c>
      <c r="D1850" s="76" t="s">
        <v>902</v>
      </c>
      <c r="E1850" s="79" t="s">
        <v>1314</v>
      </c>
      <c r="F1850" s="79"/>
    </row>
    <row r="1851" spans="1:7">
      <c r="A1851" s="77">
        <f t="shared" ca="1" si="143"/>
        <v>45980</v>
      </c>
      <c r="B1851" s="80">
        <f t="shared" ca="1" si="141"/>
        <v>45980.104583217595</v>
      </c>
      <c r="C1851" s="76" t="s">
        <v>304</v>
      </c>
      <c r="D1851" s="76" t="s">
        <v>902</v>
      </c>
      <c r="E1851" s="79" t="s">
        <v>1781</v>
      </c>
      <c r="F1851" s="79"/>
    </row>
    <row r="1852" spans="1:7">
      <c r="A1852" s="77">
        <f t="shared" ca="1" si="143"/>
        <v>45980</v>
      </c>
      <c r="B1852" s="80">
        <f t="shared" ca="1" si="141"/>
        <v>45980.104713310182</v>
      </c>
      <c r="C1852" s="76" t="s">
        <v>304</v>
      </c>
      <c r="D1852" s="76" t="s">
        <v>902</v>
      </c>
      <c r="E1852" s="79" t="s">
        <v>1798</v>
      </c>
      <c r="F1852" s="79"/>
    </row>
    <row r="1853" spans="1:7">
      <c r="A1853" s="77">
        <f t="shared" ca="1" si="143"/>
        <v>45980</v>
      </c>
      <c r="B1853" s="80">
        <f t="shared" ca="1" si="141"/>
        <v>45980.104915625001</v>
      </c>
      <c r="C1853" s="76" t="s">
        <v>304</v>
      </c>
      <c r="D1853" s="76" t="s">
        <v>902</v>
      </c>
      <c r="E1853" s="79" t="s">
        <v>1770</v>
      </c>
      <c r="F1853" s="79"/>
    </row>
    <row r="1854" spans="1:7">
      <c r="A1854" s="77">
        <f t="shared" ca="1" si="143"/>
        <v>45980</v>
      </c>
      <c r="B1854" s="80">
        <f t="shared" ca="1" si="141"/>
        <v>45980.124820486111</v>
      </c>
      <c r="C1854" s="76" t="s">
        <v>304</v>
      </c>
      <c r="D1854" s="76" t="s">
        <v>902</v>
      </c>
      <c r="E1854" s="79" t="s">
        <v>1535</v>
      </c>
      <c r="F1854" s="79"/>
    </row>
    <row r="1855" spans="1:7">
      <c r="A1855" s="77">
        <f t="shared" ca="1" si="143"/>
        <v>45980</v>
      </c>
      <c r="B1855" s="80">
        <f t="shared" ca="1" si="141"/>
        <v>45980.127999537035</v>
      </c>
      <c r="C1855" s="76" t="s">
        <v>304</v>
      </c>
      <c r="D1855" s="76" t="s">
        <v>902</v>
      </c>
      <c r="E1855" s="79" t="s">
        <v>1799</v>
      </c>
      <c r="F1855" s="79"/>
    </row>
    <row r="1856" spans="1:7">
      <c r="A1856" s="77">
        <f t="shared" ca="1" si="143"/>
        <v>45980</v>
      </c>
      <c r="B1856" s="80">
        <f t="shared" ca="1" si="141"/>
        <v>45980.13511747685</v>
      </c>
      <c r="C1856" s="76" t="s">
        <v>304</v>
      </c>
      <c r="D1856" s="76" t="s">
        <v>902</v>
      </c>
      <c r="E1856" s="79" t="s">
        <v>1640</v>
      </c>
      <c r="F1856" s="79"/>
    </row>
    <row r="1857" spans="1:7">
      <c r="A1857" s="77">
        <f t="shared" ca="1" si="143"/>
        <v>45980</v>
      </c>
      <c r="B1857" s="80">
        <f t="shared" ca="1" si="141"/>
        <v>45980.139228356478</v>
      </c>
      <c r="C1857" s="76" t="s">
        <v>304</v>
      </c>
      <c r="D1857" s="76" t="s">
        <v>902</v>
      </c>
      <c r="E1857" s="79" t="s">
        <v>1800</v>
      </c>
      <c r="F1857" s="79"/>
    </row>
    <row r="1858" spans="1:7">
      <c r="A1858" s="77">
        <f t="shared" ca="1" si="143"/>
        <v>45980</v>
      </c>
      <c r="B1858" s="80">
        <f t="shared" ca="1" si="141"/>
        <v>45980.14335578704</v>
      </c>
      <c r="C1858" s="76" t="s">
        <v>304</v>
      </c>
      <c r="D1858" s="76" t="s">
        <v>902</v>
      </c>
      <c r="E1858" s="79" t="s">
        <v>1770</v>
      </c>
      <c r="F1858" s="79"/>
    </row>
    <row r="1859" spans="1:7">
      <c r="A1859" s="77">
        <f t="shared" ca="1" si="143"/>
        <v>45980</v>
      </c>
      <c r="B1859" s="80">
        <f t="shared" ca="1" si="141"/>
        <v>45980.144997685187</v>
      </c>
      <c r="C1859" s="76" t="s">
        <v>304</v>
      </c>
      <c r="D1859" s="76" t="s">
        <v>902</v>
      </c>
      <c r="E1859" s="79" t="s">
        <v>1792</v>
      </c>
      <c r="F1859" s="79"/>
    </row>
    <row r="1860" spans="1:7">
      <c r="A1860" s="77">
        <f t="shared" ca="1" si="143"/>
        <v>45980</v>
      </c>
      <c r="B1860" s="80">
        <f t="shared" ca="1" si="141"/>
        <v>45980.146027546296</v>
      </c>
      <c r="C1860" s="76" t="s">
        <v>304</v>
      </c>
      <c r="D1860" s="76" t="s">
        <v>902</v>
      </c>
      <c r="E1860" s="79" t="s">
        <v>1770</v>
      </c>
      <c r="F1860" s="79"/>
    </row>
    <row r="1861" spans="1:7">
      <c r="A1861" s="77">
        <f t="shared" ca="1" si="143"/>
        <v>45980</v>
      </c>
      <c r="B1861" s="80">
        <f t="shared" ca="1" si="141"/>
        <v>45980.14672650463</v>
      </c>
      <c r="C1861" s="76" t="s">
        <v>304</v>
      </c>
      <c r="D1861" s="76" t="s">
        <v>902</v>
      </c>
      <c r="E1861" s="79" t="s">
        <v>1801</v>
      </c>
      <c r="F1861" s="79"/>
    </row>
    <row r="1862" spans="1:7">
      <c r="A1862" s="77">
        <f t="shared" ca="1" si="143"/>
        <v>45980</v>
      </c>
      <c r="B1862" s="80">
        <f t="shared" ca="1" si="141"/>
        <v>45980.149350462962</v>
      </c>
      <c r="C1862" s="76" t="s">
        <v>304</v>
      </c>
      <c r="D1862" s="76" t="s">
        <v>902</v>
      </c>
      <c r="E1862" s="79" t="s">
        <v>1751</v>
      </c>
      <c r="F1862" s="79"/>
    </row>
    <row r="1863" spans="1:7">
      <c r="A1863" s="77">
        <f t="shared" ref="A1863:A1869" ca="1" si="144">IF(C1863&lt;&gt;0,IF(A1863=0,TODAY(),A1863),)</f>
        <v>45980</v>
      </c>
      <c r="B1863" s="80">
        <f t="shared" ca="1" si="141"/>
        <v>45980.149546875</v>
      </c>
      <c r="C1863" s="76" t="s">
        <v>304</v>
      </c>
      <c r="D1863" s="76" t="s">
        <v>902</v>
      </c>
      <c r="E1863" s="79" t="s">
        <v>1792</v>
      </c>
      <c r="F1863" s="79"/>
    </row>
    <row r="1864" spans="1:7">
      <c r="A1864" s="77">
        <f t="shared" ca="1" si="144"/>
        <v>45980</v>
      </c>
      <c r="B1864" s="80">
        <f t="shared" ca="1" si="141"/>
        <v>45980.151794212965</v>
      </c>
      <c r="C1864" s="76" t="s">
        <v>304</v>
      </c>
      <c r="D1864" s="76" t="s">
        <v>902</v>
      </c>
      <c r="E1864" s="79" t="s">
        <v>1063</v>
      </c>
      <c r="F1864" s="79"/>
    </row>
    <row r="1865" spans="1:7">
      <c r="A1865" s="77">
        <f t="shared" ca="1" si="144"/>
        <v>45980</v>
      </c>
      <c r="B1865" s="80">
        <f t="shared" ca="1" si="141"/>
        <v>45980.151823495369</v>
      </c>
      <c r="C1865" s="76" t="s">
        <v>304</v>
      </c>
      <c r="D1865" s="76" t="s">
        <v>902</v>
      </c>
      <c r="E1865" s="79" t="s">
        <v>1314</v>
      </c>
      <c r="F1865" s="79"/>
    </row>
    <row r="1866" spans="1:7">
      <c r="A1866" s="77">
        <f t="shared" ca="1" si="144"/>
        <v>45980</v>
      </c>
      <c r="B1866" s="80">
        <f t="shared" ca="1" si="141"/>
        <v>45980.152345486109</v>
      </c>
      <c r="C1866" s="76" t="s">
        <v>304</v>
      </c>
      <c r="D1866" s="76" t="s">
        <v>902</v>
      </c>
      <c r="E1866" s="79" t="s">
        <v>1751</v>
      </c>
      <c r="F1866" s="79"/>
    </row>
    <row r="1867" spans="1:7">
      <c r="A1867" s="77">
        <f t="shared" ca="1" si="144"/>
        <v>45980</v>
      </c>
      <c r="B1867" s="80">
        <f t="shared" ca="1" si="141"/>
        <v>45980.155490856479</v>
      </c>
      <c r="C1867" s="76" t="s">
        <v>304</v>
      </c>
      <c r="D1867" s="76" t="s">
        <v>902</v>
      </c>
      <c r="E1867" s="79" t="s">
        <v>1063</v>
      </c>
      <c r="F1867" s="79"/>
    </row>
    <row r="1868" spans="1:7">
      <c r="A1868" s="77">
        <f t="shared" ca="1" si="144"/>
        <v>45980</v>
      </c>
      <c r="B1868" s="80">
        <f t="shared" ca="1" si="141"/>
        <v>45980.159939004632</v>
      </c>
      <c r="C1868" s="76" t="s">
        <v>304</v>
      </c>
      <c r="D1868" s="210" t="s">
        <v>922</v>
      </c>
      <c r="E1868" s="79" t="s">
        <v>1569</v>
      </c>
      <c r="F1868" s="79"/>
    </row>
    <row r="1869" spans="1:7">
      <c r="A1869" s="77">
        <f t="shared" ca="1" si="144"/>
        <v>45980</v>
      </c>
      <c r="B1869" s="80">
        <f t="shared" ca="1" si="141"/>
        <v>45980.188152430557</v>
      </c>
      <c r="C1869" s="76" t="s">
        <v>304</v>
      </c>
      <c r="D1869" s="210" t="s">
        <v>1098</v>
      </c>
      <c r="E1869" s="79"/>
      <c r="F1869" s="79"/>
      <c r="G1869" s="76" t="s">
        <v>1802</v>
      </c>
    </row>
    <row r="1870" spans="1:7">
      <c r="A1870" s="77">
        <f t="shared" ref="A1870:A1904" ca="1" si="145">IF(C1870&lt;&gt;0,IF(A1870=0,TODAY(),A1870),)</f>
        <v>45980</v>
      </c>
      <c r="B1870" s="80">
        <f t="shared" ref="B1870:B1904" ca="1" si="146">IF(C1870&lt;&gt;0,IF(B1870=0,NOW(),B1870),)</f>
        <v>45980.709689236108</v>
      </c>
      <c r="C1870" s="76" t="s">
        <v>308</v>
      </c>
      <c r="D1870" s="210" t="s">
        <v>906</v>
      </c>
      <c r="E1870" s="79"/>
      <c r="F1870" s="79"/>
    </row>
    <row r="1871" spans="1:7">
      <c r="A1871" s="77">
        <f t="shared" ca="1" si="145"/>
        <v>45980</v>
      </c>
      <c r="B1871" s="80">
        <f t="shared" ca="1" si="146"/>
        <v>45980.721187847223</v>
      </c>
      <c r="C1871" s="76" t="s">
        <v>308</v>
      </c>
      <c r="D1871" s="210" t="s">
        <v>1098</v>
      </c>
      <c r="E1871" s="79"/>
      <c r="F1871" s="79"/>
    </row>
    <row r="1872" spans="1:7">
      <c r="A1872" s="77">
        <f t="shared" ca="1" si="145"/>
        <v>45980</v>
      </c>
      <c r="B1872" s="80">
        <f t="shared" ca="1" si="146"/>
        <v>45980.721220254629</v>
      </c>
      <c r="C1872" s="76" t="s">
        <v>308</v>
      </c>
      <c r="D1872" s="210" t="s">
        <v>906</v>
      </c>
      <c r="E1872" s="79"/>
      <c r="F1872" s="79"/>
      <c r="G1872" s="76" t="s">
        <v>1803</v>
      </c>
    </row>
    <row r="1873" spans="1:6">
      <c r="A1873" s="77">
        <f t="shared" ca="1" si="145"/>
        <v>45980</v>
      </c>
      <c r="B1873" s="80">
        <f t="shared" ca="1" si="146"/>
        <v>45980.735424537037</v>
      </c>
      <c r="C1873" s="76" t="s">
        <v>308</v>
      </c>
      <c r="D1873" s="210" t="s">
        <v>909</v>
      </c>
      <c r="E1873" s="79"/>
      <c r="F1873" s="79"/>
    </row>
    <row r="1874" spans="1:6">
      <c r="A1874" s="77">
        <f t="shared" ca="1" si="145"/>
        <v>45980</v>
      </c>
      <c r="B1874" s="80">
        <f t="shared" ca="1" si="146"/>
        <v>45980.736203935186</v>
      </c>
      <c r="C1874" s="76" t="s">
        <v>308</v>
      </c>
      <c r="D1874" s="76" t="s">
        <v>902</v>
      </c>
      <c r="E1874" s="79" t="s">
        <v>1804</v>
      </c>
      <c r="F1874" s="79"/>
    </row>
    <row r="1875" spans="1:6">
      <c r="A1875" s="77">
        <f t="shared" ca="1" si="145"/>
        <v>45980</v>
      </c>
      <c r="B1875" s="80">
        <f t="shared" ca="1" si="146"/>
        <v>45980.737095486111</v>
      </c>
      <c r="C1875" s="76" t="s">
        <v>308</v>
      </c>
      <c r="D1875" s="76" t="s">
        <v>902</v>
      </c>
      <c r="E1875" s="79" t="s">
        <v>1804</v>
      </c>
      <c r="F1875" s="79"/>
    </row>
    <row r="1876" spans="1:6">
      <c r="A1876" s="77">
        <f t="shared" ca="1" si="145"/>
        <v>45980</v>
      </c>
      <c r="B1876" s="80">
        <f t="shared" ca="1" si="146"/>
        <v>45980.739584027775</v>
      </c>
      <c r="C1876" s="76" t="s">
        <v>308</v>
      </c>
      <c r="D1876" s="76" t="s">
        <v>902</v>
      </c>
      <c r="E1876" s="79" t="s">
        <v>1745</v>
      </c>
      <c r="F1876" s="79"/>
    </row>
    <row r="1877" spans="1:6">
      <c r="A1877" s="77">
        <f t="shared" ca="1" si="145"/>
        <v>45980</v>
      </c>
      <c r="B1877" s="80">
        <f t="shared" ca="1" si="146"/>
        <v>45980.739742361111</v>
      </c>
      <c r="C1877" s="76" t="s">
        <v>308</v>
      </c>
      <c r="D1877" s="76" t="s">
        <v>902</v>
      </c>
      <c r="E1877" s="79" t="s">
        <v>1656</v>
      </c>
      <c r="F1877" s="79"/>
    </row>
    <row r="1878" spans="1:6">
      <c r="A1878" s="77">
        <f t="shared" ca="1" si="145"/>
        <v>45980</v>
      </c>
      <c r="B1878" s="80">
        <f t="shared" ca="1" si="146"/>
        <v>45980.740112384257</v>
      </c>
      <c r="C1878" s="76" t="s">
        <v>308</v>
      </c>
      <c r="D1878" s="76" t="s">
        <v>902</v>
      </c>
      <c r="E1878" s="79" t="s">
        <v>1115</v>
      </c>
      <c r="F1878" s="79"/>
    </row>
    <row r="1879" spans="1:6">
      <c r="A1879" s="77">
        <f t="shared" ca="1" si="145"/>
        <v>45980</v>
      </c>
      <c r="B1879" s="80">
        <f t="shared" ca="1" si="146"/>
        <v>45980.742026157408</v>
      </c>
      <c r="C1879" s="76" t="s">
        <v>308</v>
      </c>
      <c r="D1879" s="76" t="s">
        <v>902</v>
      </c>
      <c r="E1879" s="79" t="s">
        <v>1148</v>
      </c>
      <c r="F1879" s="79"/>
    </row>
    <row r="1880" spans="1:6">
      <c r="A1880" s="77">
        <f t="shared" ca="1" si="145"/>
        <v>45980</v>
      </c>
      <c r="B1880" s="80">
        <f t="shared" ca="1" si="146"/>
        <v>45980.742776273146</v>
      </c>
      <c r="C1880" s="76" t="s">
        <v>308</v>
      </c>
      <c r="D1880" s="76" t="s">
        <v>902</v>
      </c>
      <c r="E1880" s="79" t="s">
        <v>1656</v>
      </c>
      <c r="F1880" s="79"/>
    </row>
    <row r="1881" spans="1:6">
      <c r="A1881" s="77">
        <f t="shared" ca="1" si="145"/>
        <v>45980</v>
      </c>
      <c r="B1881" s="80">
        <f t="shared" ca="1" si="146"/>
        <v>45980.744089467589</v>
      </c>
      <c r="C1881" s="76" t="s">
        <v>308</v>
      </c>
      <c r="D1881" s="76" t="s">
        <v>902</v>
      </c>
      <c r="E1881" s="79" t="s">
        <v>961</v>
      </c>
      <c r="F1881" s="79"/>
    </row>
    <row r="1882" spans="1:6">
      <c r="A1882" s="77">
        <f t="shared" ca="1" si="145"/>
        <v>45980</v>
      </c>
      <c r="B1882" s="80">
        <f t="shared" ca="1" si="146"/>
        <v>45980.744511574077</v>
      </c>
      <c r="C1882" s="76" t="s">
        <v>308</v>
      </c>
      <c r="D1882" s="76" t="s">
        <v>902</v>
      </c>
      <c r="E1882" s="79" t="s">
        <v>1805</v>
      </c>
      <c r="F1882" s="79"/>
    </row>
    <row r="1883" spans="1:6">
      <c r="A1883" s="77">
        <f t="shared" ca="1" si="145"/>
        <v>45980</v>
      </c>
      <c r="B1883" s="80">
        <f t="shared" ca="1" si="146"/>
        <v>45980.751471296295</v>
      </c>
      <c r="C1883" s="76" t="s">
        <v>308</v>
      </c>
      <c r="D1883" s="76" t="s">
        <v>902</v>
      </c>
      <c r="E1883" s="79" t="s">
        <v>1115</v>
      </c>
      <c r="F1883" s="79"/>
    </row>
    <row r="1884" spans="1:6">
      <c r="A1884" s="77">
        <f t="shared" ca="1" si="145"/>
        <v>45980</v>
      </c>
      <c r="B1884" s="80">
        <f t="shared" ca="1" si="146"/>
        <v>45980.756747106483</v>
      </c>
      <c r="C1884" s="76" t="s">
        <v>308</v>
      </c>
      <c r="D1884" s="76" t="s">
        <v>902</v>
      </c>
      <c r="E1884" s="79" t="s">
        <v>1806</v>
      </c>
      <c r="F1884" s="79"/>
    </row>
    <row r="1885" spans="1:6">
      <c r="A1885" s="77">
        <f t="shared" ca="1" si="145"/>
        <v>45980</v>
      </c>
      <c r="B1885" s="80">
        <f t="shared" ca="1" si="146"/>
        <v>45980.758089583331</v>
      </c>
      <c r="C1885" s="76" t="s">
        <v>308</v>
      </c>
      <c r="D1885" s="76" t="s">
        <v>902</v>
      </c>
      <c r="E1885" s="79" t="s">
        <v>1807</v>
      </c>
      <c r="F1885" s="79"/>
    </row>
    <row r="1886" spans="1:6">
      <c r="A1886" s="77">
        <f t="shared" ca="1" si="145"/>
        <v>45980</v>
      </c>
      <c r="B1886" s="80">
        <f t="shared" ca="1" si="146"/>
        <v>45980.765132291664</v>
      </c>
      <c r="C1886" s="76" t="s">
        <v>308</v>
      </c>
      <c r="D1886" s="76" t="s">
        <v>902</v>
      </c>
      <c r="E1886" s="79" t="s">
        <v>1148</v>
      </c>
      <c r="F1886" s="79"/>
    </row>
    <row r="1887" spans="1:6">
      <c r="A1887" s="77">
        <f t="shared" ca="1" si="145"/>
        <v>45980</v>
      </c>
      <c r="B1887" s="80">
        <f t="shared" ca="1" si="146"/>
        <v>45980.770482060187</v>
      </c>
      <c r="C1887" s="76" t="s">
        <v>308</v>
      </c>
      <c r="D1887" s="76" t="s">
        <v>902</v>
      </c>
      <c r="E1887" s="79" t="s">
        <v>1734</v>
      </c>
      <c r="F1887" s="79"/>
    </row>
    <row r="1888" spans="1:6">
      <c r="A1888" s="77">
        <f t="shared" ca="1" si="145"/>
        <v>45980</v>
      </c>
      <c r="B1888" s="80">
        <f t="shared" ca="1" si="146"/>
        <v>45980.772463773152</v>
      </c>
      <c r="C1888" s="76" t="s">
        <v>308</v>
      </c>
      <c r="D1888" s="76" t="s">
        <v>902</v>
      </c>
      <c r="E1888" s="79" t="s">
        <v>1808</v>
      </c>
      <c r="F1888" s="79"/>
    </row>
    <row r="1889" spans="1:6">
      <c r="A1889" s="77">
        <f t="shared" ca="1" si="145"/>
        <v>45980</v>
      </c>
      <c r="B1889" s="80">
        <f t="shared" ca="1" si="146"/>
        <v>45980.777018055553</v>
      </c>
      <c r="C1889" s="76" t="s">
        <v>308</v>
      </c>
      <c r="D1889" s="76" t="s">
        <v>902</v>
      </c>
      <c r="E1889" s="79" t="s">
        <v>1809</v>
      </c>
      <c r="F1889" s="79"/>
    </row>
    <row r="1890" spans="1:6">
      <c r="A1890" s="77">
        <f t="shared" ca="1" si="145"/>
        <v>45980</v>
      </c>
      <c r="B1890" s="80">
        <f t="shared" ca="1" si="146"/>
        <v>45980.777198148149</v>
      </c>
      <c r="C1890" s="76" t="s">
        <v>308</v>
      </c>
      <c r="D1890" s="76" t="s">
        <v>902</v>
      </c>
      <c r="E1890" s="79" t="s">
        <v>1788</v>
      </c>
      <c r="F1890" s="79"/>
    </row>
    <row r="1891" spans="1:6">
      <c r="A1891" s="77">
        <f t="shared" ca="1" si="145"/>
        <v>45980</v>
      </c>
      <c r="B1891" s="80">
        <f t="shared" ca="1" si="146"/>
        <v>45980.777850115737</v>
      </c>
      <c r="C1891" s="76" t="s">
        <v>308</v>
      </c>
      <c r="D1891" s="76" t="s">
        <v>902</v>
      </c>
      <c r="E1891" s="79" t="s">
        <v>1810</v>
      </c>
      <c r="F1891" s="79"/>
    </row>
    <row r="1892" spans="1:6">
      <c r="A1892" s="77">
        <f t="shared" ca="1" si="145"/>
        <v>45980</v>
      </c>
      <c r="B1892" s="80">
        <f t="shared" ca="1" si="146"/>
        <v>45980.778624537037</v>
      </c>
      <c r="C1892" s="76" t="s">
        <v>308</v>
      </c>
      <c r="D1892" s="76" t="s">
        <v>902</v>
      </c>
      <c r="E1892" s="79" t="s">
        <v>1811</v>
      </c>
      <c r="F1892" s="79"/>
    </row>
    <row r="1893" spans="1:6">
      <c r="A1893" s="77">
        <f t="shared" ca="1" si="145"/>
        <v>45980</v>
      </c>
      <c r="B1893" s="80">
        <f t="shared" ca="1" si="146"/>
        <v>45980.782139467592</v>
      </c>
      <c r="C1893" s="76" t="s">
        <v>308</v>
      </c>
      <c r="D1893" s="76" t="s">
        <v>902</v>
      </c>
      <c r="E1893" s="79" t="s">
        <v>1812</v>
      </c>
      <c r="F1893" s="79"/>
    </row>
    <row r="1894" spans="1:6">
      <c r="A1894" s="77">
        <f t="shared" ca="1" si="145"/>
        <v>45980</v>
      </c>
      <c r="B1894" s="80">
        <f t="shared" ca="1" si="146"/>
        <v>45980.786082638886</v>
      </c>
      <c r="C1894" s="76" t="s">
        <v>308</v>
      </c>
      <c r="D1894" s="76" t="s">
        <v>902</v>
      </c>
      <c r="E1894" s="79" t="s">
        <v>1813</v>
      </c>
      <c r="F1894" s="79"/>
    </row>
    <row r="1895" spans="1:6">
      <c r="A1895" s="77">
        <f t="shared" ca="1" si="145"/>
        <v>45980</v>
      </c>
      <c r="B1895" s="80">
        <f t="shared" ca="1" si="146"/>
        <v>45980.790427430555</v>
      </c>
      <c r="C1895" s="76" t="s">
        <v>308</v>
      </c>
      <c r="D1895" s="76" t="s">
        <v>902</v>
      </c>
      <c r="E1895" s="79" t="s">
        <v>1814</v>
      </c>
      <c r="F1895" s="79"/>
    </row>
    <row r="1896" spans="1:6">
      <c r="A1896" s="77">
        <f t="shared" ca="1" si="145"/>
        <v>45980</v>
      </c>
      <c r="B1896" s="80">
        <f t="shared" ca="1" si="146"/>
        <v>45980.794443171297</v>
      </c>
      <c r="C1896" s="76" t="s">
        <v>308</v>
      </c>
      <c r="D1896" s="76" t="s">
        <v>902</v>
      </c>
      <c r="E1896" s="79" t="s">
        <v>1815</v>
      </c>
      <c r="F1896" s="79"/>
    </row>
    <row r="1897" spans="1:6">
      <c r="A1897" s="77">
        <f t="shared" ca="1" si="145"/>
        <v>45980</v>
      </c>
      <c r="B1897" s="80">
        <f t="shared" ca="1" si="146"/>
        <v>45980.79840983796</v>
      </c>
      <c r="C1897" s="76" t="s">
        <v>308</v>
      </c>
      <c r="D1897" s="76" t="s">
        <v>902</v>
      </c>
      <c r="E1897" s="79" t="s">
        <v>1239</v>
      </c>
      <c r="F1897" s="79"/>
    </row>
    <row r="1898" spans="1:6">
      <c r="A1898" s="77">
        <f t="shared" ca="1" si="145"/>
        <v>45980</v>
      </c>
      <c r="B1898" s="80">
        <f t="shared" ca="1" si="146"/>
        <v>45980.798812847221</v>
      </c>
      <c r="C1898" s="76" t="s">
        <v>308</v>
      </c>
      <c r="D1898" s="76" t="s">
        <v>902</v>
      </c>
      <c r="E1898" s="79" t="s">
        <v>1809</v>
      </c>
      <c r="F1898" s="79"/>
    </row>
    <row r="1899" spans="1:6">
      <c r="A1899" s="77">
        <f t="shared" ca="1" si="145"/>
        <v>45980</v>
      </c>
      <c r="B1899" s="80">
        <f t="shared" ca="1" si="146"/>
        <v>45980.800694444442</v>
      </c>
      <c r="C1899" s="76" t="s">
        <v>308</v>
      </c>
      <c r="D1899" s="76" t="s">
        <v>902</v>
      </c>
      <c r="E1899" s="79" t="s">
        <v>1809</v>
      </c>
      <c r="F1899" s="79"/>
    </row>
    <row r="1900" spans="1:6">
      <c r="A1900" s="77">
        <f t="shared" ca="1" si="145"/>
        <v>45980</v>
      </c>
      <c r="B1900" s="80">
        <f t="shared" ca="1" si="146"/>
        <v>45980.805204398152</v>
      </c>
      <c r="C1900" s="76" t="s">
        <v>308</v>
      </c>
      <c r="D1900" s="76" t="s">
        <v>902</v>
      </c>
      <c r="E1900" s="79" t="s">
        <v>1814</v>
      </c>
      <c r="F1900" s="79"/>
    </row>
    <row r="1901" spans="1:6">
      <c r="A1901" s="77">
        <f t="shared" ca="1" si="145"/>
        <v>45980</v>
      </c>
      <c r="B1901" s="80">
        <f t="shared" ca="1" si="146"/>
        <v>45980.808023726851</v>
      </c>
      <c r="C1901" s="76" t="s">
        <v>308</v>
      </c>
      <c r="D1901" s="76" t="s">
        <v>902</v>
      </c>
      <c r="E1901" s="79" t="s">
        <v>1816</v>
      </c>
      <c r="F1901" s="79"/>
    </row>
    <row r="1902" spans="1:6">
      <c r="A1902" s="77">
        <f t="shared" ca="1" si="145"/>
        <v>45980</v>
      </c>
      <c r="B1902" s="80">
        <v>0.81041666666666667</v>
      </c>
      <c r="C1902" s="76" t="s">
        <v>308</v>
      </c>
      <c r="D1902" s="210" t="s">
        <v>922</v>
      </c>
      <c r="E1902" s="79"/>
      <c r="F1902" s="79"/>
    </row>
    <row r="1903" spans="1:6">
      <c r="A1903" s="77">
        <f t="shared" ca="1" si="145"/>
        <v>45980</v>
      </c>
      <c r="B1903" s="80">
        <f t="shared" ca="1" si="146"/>
        <v>45980.831828240742</v>
      </c>
      <c r="C1903" s="76" t="s">
        <v>308</v>
      </c>
      <c r="D1903" s="210" t="s">
        <v>1098</v>
      </c>
      <c r="E1903" s="79"/>
      <c r="F1903" s="79"/>
    </row>
    <row r="1904" spans="1:6">
      <c r="A1904" s="77">
        <f t="shared" ca="1" si="145"/>
        <v>45980</v>
      </c>
      <c r="B1904" s="80">
        <f t="shared" ca="1" si="146"/>
        <v>45980.888306828703</v>
      </c>
      <c r="C1904" s="76" t="s">
        <v>311</v>
      </c>
      <c r="D1904" s="210" t="s">
        <v>906</v>
      </c>
      <c r="E1904" s="79"/>
      <c r="F1904" s="79"/>
    </row>
    <row r="1905" spans="1:7">
      <c r="A1905" s="77">
        <f t="shared" ref="A1905:A1936" ca="1" si="147">IF(C1905&lt;&gt;0,IF(A1905=0,TODAY(),A1905),)</f>
        <v>45980</v>
      </c>
      <c r="B1905" s="80">
        <f t="shared" ref="B1905:B1936" ca="1" si="148">IF(C1905&lt;&gt;0,IF(B1905=0,NOW(),B1905),)</f>
        <v>45980.912962847222</v>
      </c>
      <c r="C1905" s="76" t="s">
        <v>311</v>
      </c>
      <c r="D1905" s="210" t="s">
        <v>909</v>
      </c>
      <c r="E1905" s="79"/>
      <c r="F1905" s="79"/>
    </row>
    <row r="1906" spans="1:7">
      <c r="A1906" s="77">
        <f t="shared" ca="1" si="147"/>
        <v>45980</v>
      </c>
      <c r="B1906" s="80">
        <f t="shared" ca="1" si="148"/>
        <v>45980.913475462963</v>
      </c>
      <c r="C1906" s="76" t="s">
        <v>311</v>
      </c>
      <c r="D1906" s="76" t="s">
        <v>902</v>
      </c>
      <c r="E1906" s="79" t="s">
        <v>1770</v>
      </c>
      <c r="F1906" s="79"/>
    </row>
    <row r="1907" spans="1:7">
      <c r="A1907" s="77">
        <f t="shared" ca="1" si="147"/>
        <v>45980</v>
      </c>
      <c r="B1907" s="80">
        <f t="shared" ca="1" si="148"/>
        <v>45980.914503935186</v>
      </c>
      <c r="C1907" s="76" t="s">
        <v>311</v>
      </c>
      <c r="D1907" s="76" t="s">
        <v>902</v>
      </c>
      <c r="E1907" s="79" t="s">
        <v>1770</v>
      </c>
      <c r="F1907" s="79"/>
    </row>
    <row r="1908" spans="1:7">
      <c r="A1908" s="77">
        <f t="shared" ca="1" si="147"/>
        <v>45980</v>
      </c>
      <c r="B1908" s="80">
        <f t="shared" ca="1" si="148"/>
        <v>45980.917159375</v>
      </c>
      <c r="C1908" s="76" t="s">
        <v>311</v>
      </c>
      <c r="D1908" s="76" t="s">
        <v>902</v>
      </c>
      <c r="E1908" s="79" t="s">
        <v>1555</v>
      </c>
      <c r="F1908" s="79"/>
    </row>
    <row r="1909" spans="1:7">
      <c r="A1909" s="77">
        <f t="shared" ca="1" si="147"/>
        <v>45980</v>
      </c>
      <c r="B1909" s="80">
        <f t="shared" ca="1" si="148"/>
        <v>45980.930685648149</v>
      </c>
      <c r="C1909" s="76" t="s">
        <v>311</v>
      </c>
      <c r="D1909" s="76" t="s">
        <v>902</v>
      </c>
      <c r="E1909" s="79" t="s">
        <v>1817</v>
      </c>
      <c r="F1909" s="79"/>
      <c r="G1909" s="76" t="s">
        <v>1818</v>
      </c>
    </row>
    <row r="1910" spans="1:7">
      <c r="A1910" s="77">
        <f t="shared" ca="1" si="147"/>
        <v>45980</v>
      </c>
      <c r="B1910" s="80">
        <f t="shared" ca="1" si="148"/>
        <v>45980.936766319443</v>
      </c>
      <c r="C1910" s="76" t="s">
        <v>311</v>
      </c>
      <c r="D1910" s="76" t="s">
        <v>902</v>
      </c>
      <c r="E1910" s="79" t="s">
        <v>1555</v>
      </c>
      <c r="F1910" s="79"/>
    </row>
    <row r="1911" spans="1:7">
      <c r="A1911" s="77">
        <f t="shared" ca="1" si="147"/>
        <v>45980</v>
      </c>
      <c r="B1911" s="80">
        <f t="shared" ca="1" si="148"/>
        <v>45980.94300983796</v>
      </c>
      <c r="C1911" s="76" t="s">
        <v>311</v>
      </c>
      <c r="D1911" s="150" t="s">
        <v>1007</v>
      </c>
      <c r="E1911" s="79" t="s">
        <v>1819</v>
      </c>
      <c r="F1911" s="79"/>
      <c r="G1911" s="76" t="s">
        <v>1728</v>
      </c>
    </row>
    <row r="1912" spans="1:7">
      <c r="A1912" s="77">
        <f t="shared" ca="1" si="147"/>
        <v>45980</v>
      </c>
      <c r="B1912" s="80">
        <f t="shared" ca="1" si="148"/>
        <v>45980.949991319445</v>
      </c>
      <c r="C1912" s="76" t="s">
        <v>311</v>
      </c>
      <c r="D1912" s="76" t="s">
        <v>902</v>
      </c>
      <c r="E1912" s="79" t="s">
        <v>1770</v>
      </c>
      <c r="F1912" s="79"/>
    </row>
    <row r="1913" spans="1:7">
      <c r="A1913" s="77">
        <f t="shared" ca="1" si="147"/>
        <v>45980</v>
      </c>
      <c r="B1913" s="80">
        <f t="shared" ca="1" si="148"/>
        <v>45980.952468055555</v>
      </c>
      <c r="C1913" s="76" t="s">
        <v>311</v>
      </c>
      <c r="D1913" s="76" t="s">
        <v>902</v>
      </c>
      <c r="E1913" s="79" t="s">
        <v>1770</v>
      </c>
      <c r="F1913" s="79"/>
    </row>
    <row r="1914" spans="1:7">
      <c r="A1914" s="77">
        <f t="shared" ca="1" si="147"/>
        <v>45980</v>
      </c>
      <c r="B1914" s="80">
        <f t="shared" ca="1" si="148"/>
        <v>45980.953858564812</v>
      </c>
      <c r="C1914" s="76" t="s">
        <v>311</v>
      </c>
      <c r="D1914" s="76" t="s">
        <v>902</v>
      </c>
      <c r="E1914" s="79" t="s">
        <v>1770</v>
      </c>
      <c r="F1914" s="79"/>
    </row>
    <row r="1915" spans="1:7">
      <c r="A1915" s="77">
        <f t="shared" ca="1" si="147"/>
        <v>45980</v>
      </c>
      <c r="B1915" s="80">
        <f t="shared" ca="1" si="148"/>
        <v>45980.954685763892</v>
      </c>
      <c r="C1915" s="76" t="s">
        <v>311</v>
      </c>
      <c r="D1915" s="76" t="s">
        <v>902</v>
      </c>
      <c r="E1915" s="79" t="s">
        <v>1810</v>
      </c>
      <c r="F1915" s="79"/>
    </row>
    <row r="1916" spans="1:7">
      <c r="A1916" s="77">
        <f t="shared" ca="1" si="147"/>
        <v>45980</v>
      </c>
      <c r="B1916" s="80">
        <f t="shared" ca="1" si="148"/>
        <v>45980.954866666667</v>
      </c>
      <c r="C1916" s="76" t="s">
        <v>311</v>
      </c>
      <c r="D1916" s="76" t="s">
        <v>902</v>
      </c>
      <c r="E1916" s="79" t="s">
        <v>1770</v>
      </c>
      <c r="F1916" s="79"/>
    </row>
    <row r="1917" spans="1:7">
      <c r="A1917" s="77">
        <f t="shared" ca="1" si="147"/>
        <v>45980</v>
      </c>
      <c r="B1917" s="80">
        <f t="shared" ca="1" si="148"/>
        <v>45980.957851504631</v>
      </c>
      <c r="C1917" s="76" t="s">
        <v>311</v>
      </c>
      <c r="D1917" s="76" t="s">
        <v>902</v>
      </c>
      <c r="E1917" s="79" t="s">
        <v>1770</v>
      </c>
      <c r="F1917" s="79"/>
    </row>
    <row r="1918" spans="1:7">
      <c r="A1918" s="77">
        <f t="shared" ca="1" si="147"/>
        <v>45980</v>
      </c>
      <c r="B1918" s="80">
        <f t="shared" ca="1" si="148"/>
        <v>45980.95795625</v>
      </c>
      <c r="C1918" s="76" t="s">
        <v>311</v>
      </c>
      <c r="D1918" s="76" t="s">
        <v>902</v>
      </c>
      <c r="E1918" s="79" t="s">
        <v>1770</v>
      </c>
      <c r="F1918" s="79"/>
    </row>
    <row r="1919" spans="1:7">
      <c r="A1919" s="77">
        <f t="shared" ca="1" si="147"/>
        <v>45980</v>
      </c>
      <c r="B1919" s="80">
        <f t="shared" ca="1" si="148"/>
        <v>45980.958346874999</v>
      </c>
      <c r="C1919" s="76" t="s">
        <v>311</v>
      </c>
      <c r="D1919" s="76" t="s">
        <v>902</v>
      </c>
      <c r="E1919" s="79" t="s">
        <v>1770</v>
      </c>
      <c r="F1919" s="79"/>
    </row>
    <row r="1920" spans="1:7">
      <c r="A1920" s="77">
        <f t="shared" ca="1" si="147"/>
        <v>45980</v>
      </c>
      <c r="B1920" s="80">
        <f t="shared" ca="1" si="148"/>
        <v>45980.959093750003</v>
      </c>
      <c r="C1920" s="76" t="s">
        <v>311</v>
      </c>
      <c r="D1920" s="76" t="s">
        <v>902</v>
      </c>
      <c r="E1920" s="79" t="s">
        <v>1820</v>
      </c>
      <c r="F1920" s="79"/>
    </row>
    <row r="1921" spans="1:6">
      <c r="A1921" s="77">
        <f t="shared" ca="1" si="147"/>
        <v>45980</v>
      </c>
      <c r="B1921" s="80">
        <f t="shared" ca="1" si="148"/>
        <v>45980.959263194447</v>
      </c>
      <c r="C1921" s="76" t="s">
        <v>311</v>
      </c>
      <c r="D1921" s="76" t="s">
        <v>902</v>
      </c>
      <c r="E1921" s="79" t="s">
        <v>1770</v>
      </c>
      <c r="F1921" s="79"/>
    </row>
    <row r="1922" spans="1:6">
      <c r="A1922" s="77">
        <f t="shared" ca="1" si="147"/>
        <v>45980</v>
      </c>
      <c r="B1922" s="80">
        <f t="shared" ca="1" si="148"/>
        <v>45980.959446412038</v>
      </c>
      <c r="C1922" s="76" t="s">
        <v>311</v>
      </c>
      <c r="D1922" s="76" t="s">
        <v>902</v>
      </c>
      <c r="E1922" s="79" t="s">
        <v>1770</v>
      </c>
      <c r="F1922" s="79"/>
    </row>
    <row r="1923" spans="1:6">
      <c r="A1923" s="77">
        <f t="shared" ca="1" si="147"/>
        <v>45980</v>
      </c>
      <c r="B1923" s="80">
        <f t="shared" ca="1" si="148"/>
        <v>45980.961477083336</v>
      </c>
      <c r="C1923" s="76" t="s">
        <v>311</v>
      </c>
      <c r="D1923" s="76" t="s">
        <v>902</v>
      </c>
      <c r="E1923" s="79" t="s">
        <v>1770</v>
      </c>
      <c r="F1923" s="79"/>
    </row>
    <row r="1924" spans="1:6">
      <c r="A1924" s="77">
        <f t="shared" ca="1" si="147"/>
        <v>45980</v>
      </c>
      <c r="B1924" s="80">
        <f t="shared" ca="1" si="148"/>
        <v>45980.961825810184</v>
      </c>
      <c r="C1924" s="76" t="s">
        <v>311</v>
      </c>
      <c r="D1924" s="76" t="s">
        <v>902</v>
      </c>
      <c r="E1924" s="79" t="s">
        <v>1810</v>
      </c>
      <c r="F1924" s="79"/>
    </row>
    <row r="1925" spans="1:6">
      <c r="A1925" s="77">
        <f t="shared" ca="1" si="147"/>
        <v>45980</v>
      </c>
      <c r="B1925" s="80">
        <f t="shared" ca="1" si="148"/>
        <v>45980.962049074071</v>
      </c>
      <c r="C1925" s="76" t="s">
        <v>311</v>
      </c>
      <c r="D1925" s="76" t="s">
        <v>902</v>
      </c>
      <c r="E1925" s="79" t="s">
        <v>1821</v>
      </c>
      <c r="F1925" s="79"/>
    </row>
    <row r="1926" spans="1:6">
      <c r="A1926" s="77">
        <f t="shared" ca="1" si="147"/>
        <v>45980</v>
      </c>
      <c r="B1926" s="80">
        <f t="shared" ca="1" si="148"/>
        <v>45980.962601620369</v>
      </c>
      <c r="C1926" s="76" t="s">
        <v>311</v>
      </c>
      <c r="D1926" s="76" t="s">
        <v>902</v>
      </c>
      <c r="E1926" s="79" t="s">
        <v>1770</v>
      </c>
      <c r="F1926" s="79"/>
    </row>
    <row r="1927" spans="1:6">
      <c r="A1927" s="77">
        <f t="shared" ca="1" si="147"/>
        <v>45980</v>
      </c>
      <c r="B1927" s="80">
        <f t="shared" ca="1" si="148"/>
        <v>45980.962774537038</v>
      </c>
      <c r="C1927" s="76" t="s">
        <v>311</v>
      </c>
      <c r="D1927" s="76" t="s">
        <v>902</v>
      </c>
      <c r="E1927" s="79" t="s">
        <v>1770</v>
      </c>
      <c r="F1927" s="79"/>
    </row>
    <row r="1928" spans="1:6">
      <c r="A1928" s="77">
        <f t="shared" ca="1" si="147"/>
        <v>45980</v>
      </c>
      <c r="B1928" s="80">
        <f t="shared" ca="1" si="148"/>
        <v>45980.964568518517</v>
      </c>
      <c r="C1928" s="76" t="s">
        <v>311</v>
      </c>
      <c r="D1928" s="76" t="s">
        <v>902</v>
      </c>
      <c r="E1928" s="79" t="s">
        <v>1770</v>
      </c>
      <c r="F1928" s="79"/>
    </row>
    <row r="1929" spans="1:6">
      <c r="A1929" s="77">
        <f t="shared" ca="1" si="147"/>
        <v>45980</v>
      </c>
      <c r="B1929" s="80">
        <f t="shared" ca="1" si="148"/>
        <v>45980.964603819448</v>
      </c>
      <c r="C1929" s="76" t="s">
        <v>311</v>
      </c>
      <c r="D1929" s="76" t="s">
        <v>902</v>
      </c>
      <c r="E1929" s="79" t="s">
        <v>1770</v>
      </c>
      <c r="F1929" s="79"/>
    </row>
    <row r="1930" spans="1:6">
      <c r="A1930" s="77">
        <f t="shared" ca="1" si="147"/>
        <v>45980</v>
      </c>
      <c r="B1930" s="80">
        <f t="shared" ca="1" si="148"/>
        <v>45980.964917013887</v>
      </c>
      <c r="C1930" s="76" t="s">
        <v>311</v>
      </c>
      <c r="D1930" s="76" t="s">
        <v>902</v>
      </c>
      <c r="E1930" s="79" t="s">
        <v>1770</v>
      </c>
      <c r="F1930" s="79"/>
    </row>
    <row r="1931" spans="1:6">
      <c r="A1931" s="77">
        <f t="shared" ca="1" si="147"/>
        <v>45980</v>
      </c>
      <c r="B1931" s="80">
        <f t="shared" ca="1" si="148"/>
        <v>45980.965329050923</v>
      </c>
      <c r="C1931" s="76" t="s">
        <v>311</v>
      </c>
      <c r="D1931" s="76" t="s">
        <v>902</v>
      </c>
      <c r="E1931" s="79" t="s">
        <v>1770</v>
      </c>
      <c r="F1931" s="79"/>
    </row>
    <row r="1932" spans="1:6">
      <c r="A1932" s="77">
        <f t="shared" ca="1" si="147"/>
        <v>45980</v>
      </c>
      <c r="B1932" s="80">
        <f t="shared" ca="1" si="148"/>
        <v>45980.965788425929</v>
      </c>
      <c r="C1932" s="76" t="s">
        <v>311</v>
      </c>
      <c r="D1932" s="76" t="s">
        <v>902</v>
      </c>
      <c r="E1932" s="79" t="s">
        <v>1770</v>
      </c>
      <c r="F1932" s="79"/>
    </row>
    <row r="1933" spans="1:6">
      <c r="A1933" s="77">
        <f t="shared" ca="1" si="147"/>
        <v>45980</v>
      </c>
      <c r="B1933" s="80">
        <f t="shared" ca="1" si="148"/>
        <v>45980.966039004627</v>
      </c>
      <c r="C1933" s="76" t="s">
        <v>311</v>
      </c>
      <c r="D1933" s="76" t="s">
        <v>902</v>
      </c>
      <c r="E1933" s="79" t="s">
        <v>1770</v>
      </c>
      <c r="F1933" s="79"/>
    </row>
    <row r="1934" spans="1:6">
      <c r="A1934" s="77">
        <f t="shared" ca="1" si="147"/>
        <v>45980</v>
      </c>
      <c r="B1934" s="80">
        <f t="shared" ca="1" si="148"/>
        <v>45980.968037268518</v>
      </c>
      <c r="C1934" s="76" t="s">
        <v>311</v>
      </c>
      <c r="D1934" s="76" t="s">
        <v>902</v>
      </c>
      <c r="E1934" s="79" t="s">
        <v>1770</v>
      </c>
      <c r="F1934" s="79"/>
    </row>
    <row r="1935" spans="1:6">
      <c r="A1935" s="77">
        <f t="shared" ca="1" si="147"/>
        <v>45980</v>
      </c>
      <c r="B1935" s="80">
        <f t="shared" ca="1" si="148"/>
        <v>45980.96833171296</v>
      </c>
      <c r="C1935" s="76" t="s">
        <v>311</v>
      </c>
      <c r="D1935" s="76" t="s">
        <v>902</v>
      </c>
      <c r="E1935" s="79" t="s">
        <v>1804</v>
      </c>
      <c r="F1935" s="79"/>
    </row>
    <row r="1936" spans="1:6">
      <c r="A1936" s="77">
        <f t="shared" ca="1" si="147"/>
        <v>45980</v>
      </c>
      <c r="B1936" s="80">
        <f t="shared" ca="1" si="148"/>
        <v>45980.96903576389</v>
      </c>
      <c r="C1936" s="76" t="s">
        <v>311</v>
      </c>
      <c r="D1936" s="76" t="s">
        <v>902</v>
      </c>
      <c r="E1936" s="79" t="s">
        <v>1063</v>
      </c>
      <c r="F1936" s="79"/>
    </row>
    <row r="1937" spans="1:6">
      <c r="A1937" s="77">
        <f t="shared" ref="A1937:A1968" ca="1" si="149">IF(C1937&lt;&gt;0,IF(A1937=0,TODAY(),A1937),)</f>
        <v>45980</v>
      </c>
      <c r="B1937" s="80">
        <f t="shared" ref="B1937:B1968" ca="1" si="150">IF(C1937&lt;&gt;0,IF(B1937=0,NOW(),B1937),)</f>
        <v>45980.969269791669</v>
      </c>
      <c r="C1937" s="76" t="s">
        <v>311</v>
      </c>
      <c r="D1937" s="76" t="s">
        <v>902</v>
      </c>
      <c r="E1937" s="79" t="s">
        <v>1770</v>
      </c>
      <c r="F1937" s="79"/>
    </row>
    <row r="1938" spans="1:6">
      <c r="A1938" s="77">
        <f t="shared" ca="1" si="149"/>
        <v>45980</v>
      </c>
      <c r="B1938" s="80">
        <f t="shared" ca="1" si="150"/>
        <v>45980.969368981481</v>
      </c>
      <c r="C1938" s="76" t="s">
        <v>311</v>
      </c>
      <c r="D1938" s="76" t="s">
        <v>902</v>
      </c>
      <c r="E1938" s="79" t="s">
        <v>1770</v>
      </c>
      <c r="F1938" s="79"/>
    </row>
    <row r="1939" spans="1:6">
      <c r="A1939" s="77">
        <f t="shared" ca="1" si="149"/>
        <v>45980</v>
      </c>
      <c r="B1939" s="80">
        <f t="shared" ca="1" si="150"/>
        <v>45980.969664699071</v>
      </c>
      <c r="C1939" s="76" t="s">
        <v>311</v>
      </c>
      <c r="D1939" s="76" t="s">
        <v>902</v>
      </c>
      <c r="E1939" s="79" t="s">
        <v>1770</v>
      </c>
      <c r="F1939" s="79"/>
    </row>
    <row r="1940" spans="1:6">
      <c r="A1940" s="77">
        <f t="shared" ca="1" si="149"/>
        <v>45980</v>
      </c>
      <c r="B1940" s="80">
        <f t="shared" ca="1" si="150"/>
        <v>45980.969833101852</v>
      </c>
      <c r="C1940" s="76" t="s">
        <v>311</v>
      </c>
      <c r="D1940" s="76" t="s">
        <v>902</v>
      </c>
      <c r="E1940" s="79" t="s">
        <v>1770</v>
      </c>
      <c r="F1940" s="79"/>
    </row>
    <row r="1941" spans="1:6">
      <c r="A1941" s="77">
        <f t="shared" ca="1" si="149"/>
        <v>45980</v>
      </c>
      <c r="B1941" s="80">
        <f t="shared" ca="1" si="150"/>
        <v>45980.96994560185</v>
      </c>
      <c r="C1941" s="76" t="s">
        <v>311</v>
      </c>
      <c r="D1941" s="76" t="s">
        <v>902</v>
      </c>
      <c r="E1941" s="79" t="s">
        <v>1770</v>
      </c>
      <c r="F1941" s="79"/>
    </row>
    <row r="1942" spans="1:6">
      <c r="A1942" s="77">
        <f t="shared" ca="1" si="149"/>
        <v>45980</v>
      </c>
      <c r="B1942" s="80">
        <f t="shared" ca="1" si="150"/>
        <v>45980.970290393518</v>
      </c>
      <c r="C1942" s="76" t="s">
        <v>311</v>
      </c>
      <c r="D1942" s="76" t="s">
        <v>902</v>
      </c>
      <c r="E1942" s="79" t="s">
        <v>1770</v>
      </c>
      <c r="F1942" s="79"/>
    </row>
    <row r="1943" spans="1:6">
      <c r="A1943" s="77">
        <f t="shared" ca="1" si="149"/>
        <v>45980</v>
      </c>
      <c r="B1943" s="80">
        <f t="shared" ca="1" si="150"/>
        <v>45980.970331481483</v>
      </c>
      <c r="C1943" s="76" t="s">
        <v>311</v>
      </c>
      <c r="D1943" s="76" t="s">
        <v>902</v>
      </c>
      <c r="E1943" s="79" t="s">
        <v>1770</v>
      </c>
      <c r="F1943" s="79"/>
    </row>
    <row r="1944" spans="1:6">
      <c r="A1944" s="77">
        <f t="shared" ca="1" si="149"/>
        <v>45980</v>
      </c>
      <c r="B1944" s="80">
        <f t="shared" ca="1" si="150"/>
        <v>45980.970365162037</v>
      </c>
      <c r="C1944" s="76" t="s">
        <v>311</v>
      </c>
      <c r="D1944" s="76" t="s">
        <v>902</v>
      </c>
      <c r="E1944" s="79" t="s">
        <v>1770</v>
      </c>
      <c r="F1944" s="79"/>
    </row>
    <row r="1945" spans="1:6">
      <c r="A1945" s="77">
        <f t="shared" ca="1" si="149"/>
        <v>45980</v>
      </c>
      <c r="B1945" s="80">
        <f t="shared" ca="1" si="150"/>
        <v>45980.970804398145</v>
      </c>
      <c r="C1945" s="76" t="s">
        <v>311</v>
      </c>
      <c r="D1945" s="76" t="s">
        <v>902</v>
      </c>
      <c r="E1945" s="79" t="s">
        <v>1770</v>
      </c>
      <c r="F1945" s="79"/>
    </row>
    <row r="1946" spans="1:6">
      <c r="A1946" s="77">
        <f t="shared" ca="1" si="149"/>
        <v>45980</v>
      </c>
      <c r="B1946" s="80">
        <f t="shared" ca="1" si="150"/>
        <v>45980.970966435183</v>
      </c>
      <c r="C1946" s="76" t="s">
        <v>311</v>
      </c>
      <c r="D1946" s="76" t="s">
        <v>902</v>
      </c>
      <c r="E1946" s="79" t="s">
        <v>1770</v>
      </c>
      <c r="F1946" s="79"/>
    </row>
    <row r="1947" spans="1:6">
      <c r="A1947" s="77">
        <f t="shared" ca="1" si="149"/>
        <v>45980</v>
      </c>
      <c r="B1947" s="80">
        <f t="shared" ca="1" si="150"/>
        <v>45980.971157060187</v>
      </c>
      <c r="C1947" s="76" t="s">
        <v>311</v>
      </c>
      <c r="D1947" s="76" t="s">
        <v>902</v>
      </c>
      <c r="E1947" s="79" t="s">
        <v>1770</v>
      </c>
      <c r="F1947" s="79"/>
    </row>
    <row r="1948" spans="1:6">
      <c r="A1948" s="77">
        <f t="shared" ca="1" si="149"/>
        <v>45980</v>
      </c>
      <c r="B1948" s="80">
        <f t="shared" ca="1" si="150"/>
        <v>45980.971214351855</v>
      </c>
      <c r="C1948" s="76" t="s">
        <v>311</v>
      </c>
      <c r="D1948" s="76" t="s">
        <v>902</v>
      </c>
      <c r="E1948" s="79" t="s">
        <v>1770</v>
      </c>
      <c r="F1948" s="79"/>
    </row>
    <row r="1949" spans="1:6">
      <c r="A1949" s="77">
        <f t="shared" ca="1" si="149"/>
        <v>45980</v>
      </c>
      <c r="B1949" s="80">
        <f t="shared" ca="1" si="150"/>
        <v>45980.971293750001</v>
      </c>
      <c r="C1949" s="76" t="s">
        <v>311</v>
      </c>
      <c r="D1949" s="210" t="s">
        <v>922</v>
      </c>
      <c r="E1949" s="79"/>
      <c r="F1949" s="79"/>
    </row>
    <row r="1950" spans="1:6">
      <c r="A1950" s="77">
        <f t="shared" ca="1" si="149"/>
        <v>45980</v>
      </c>
      <c r="B1950" s="80">
        <f t="shared" ca="1" si="150"/>
        <v>45980.993451620372</v>
      </c>
      <c r="C1950" s="76" t="s">
        <v>311</v>
      </c>
      <c r="D1950" s="210" t="s">
        <v>1098</v>
      </c>
      <c r="E1950" s="79"/>
      <c r="F1950" s="79"/>
    </row>
    <row r="1951" spans="1:6">
      <c r="A1951" s="77">
        <f t="shared" ca="1" si="149"/>
        <v>45981</v>
      </c>
      <c r="B1951" s="80">
        <f t="shared" ca="1" si="150"/>
        <v>45981.029223495367</v>
      </c>
      <c r="C1951" s="76" t="s">
        <v>315</v>
      </c>
      <c r="D1951" s="210" t="s">
        <v>906</v>
      </c>
      <c r="E1951" s="79"/>
      <c r="F1951" s="79"/>
    </row>
    <row r="1952" spans="1:6">
      <c r="A1952" s="77">
        <f t="shared" ca="1" si="149"/>
        <v>45981</v>
      </c>
      <c r="B1952" s="80">
        <f t="shared" ca="1" si="150"/>
        <v>45981.045172106482</v>
      </c>
      <c r="C1952" s="76" t="s">
        <v>315</v>
      </c>
      <c r="D1952" s="210" t="s">
        <v>909</v>
      </c>
      <c r="E1952" s="79"/>
      <c r="F1952" s="79"/>
    </row>
    <row r="1953" spans="1:6">
      <c r="A1953" s="77">
        <f t="shared" ca="1" si="149"/>
        <v>45981</v>
      </c>
      <c r="B1953" s="80">
        <f t="shared" ca="1" si="150"/>
        <v>45981.045247453701</v>
      </c>
      <c r="C1953" s="76" t="s">
        <v>315</v>
      </c>
      <c r="D1953" s="76" t="s">
        <v>902</v>
      </c>
      <c r="E1953" s="79" t="s">
        <v>1822</v>
      </c>
      <c r="F1953" s="79"/>
    </row>
    <row r="1954" spans="1:6">
      <c r="A1954" s="77">
        <f t="shared" ca="1" si="149"/>
        <v>45981</v>
      </c>
      <c r="B1954" s="80">
        <f t="shared" ca="1" si="150"/>
        <v>45981.049588773145</v>
      </c>
      <c r="C1954" s="76" t="s">
        <v>315</v>
      </c>
      <c r="D1954" s="76" t="s">
        <v>902</v>
      </c>
      <c r="E1954" s="79" t="s">
        <v>1823</v>
      </c>
      <c r="F1954" s="79"/>
    </row>
    <row r="1955" spans="1:6">
      <c r="A1955" s="77">
        <f t="shared" ca="1" si="149"/>
        <v>45981</v>
      </c>
      <c r="B1955" s="80">
        <f t="shared" ca="1" si="150"/>
        <v>45981.050054513886</v>
      </c>
      <c r="C1955" s="76" t="s">
        <v>315</v>
      </c>
      <c r="D1955" s="76" t="s">
        <v>902</v>
      </c>
      <c r="E1955" s="79" t="s">
        <v>1810</v>
      </c>
      <c r="F1955" s="79"/>
    </row>
    <row r="1956" spans="1:6">
      <c r="A1956" s="77">
        <f t="shared" ca="1" si="149"/>
        <v>45981</v>
      </c>
      <c r="B1956" s="80">
        <f t="shared" ca="1" si="150"/>
        <v>45981.050531134257</v>
      </c>
      <c r="C1956" s="76" t="s">
        <v>315</v>
      </c>
      <c r="D1956" s="76" t="s">
        <v>902</v>
      </c>
      <c r="E1956" s="79" t="s">
        <v>1199</v>
      </c>
      <c r="F1956" s="79"/>
    </row>
    <row r="1957" spans="1:6">
      <c r="A1957" s="77">
        <f t="shared" ca="1" si="149"/>
        <v>45981</v>
      </c>
      <c r="B1957" s="80">
        <f t="shared" ca="1" si="150"/>
        <v>45981.05223252315</v>
      </c>
      <c r="C1957" s="76" t="s">
        <v>315</v>
      </c>
      <c r="D1957" s="76" t="s">
        <v>902</v>
      </c>
      <c r="E1957" s="79" t="s">
        <v>1115</v>
      </c>
      <c r="F1957" s="79"/>
    </row>
    <row r="1958" spans="1:6">
      <c r="A1958" s="77">
        <f t="shared" ca="1" si="149"/>
        <v>45981</v>
      </c>
      <c r="B1958" s="80">
        <f t="shared" ca="1" si="150"/>
        <v>45981.054015162037</v>
      </c>
      <c r="C1958" s="76" t="s">
        <v>315</v>
      </c>
      <c r="D1958" s="76" t="s">
        <v>902</v>
      </c>
      <c r="E1958" s="79" t="s">
        <v>1824</v>
      </c>
      <c r="F1958" s="79"/>
    </row>
    <row r="1959" spans="1:6">
      <c r="A1959" s="77">
        <f t="shared" ca="1" si="149"/>
        <v>45981</v>
      </c>
      <c r="B1959" s="80">
        <f t="shared" ca="1" si="150"/>
        <v>45981.054513888892</v>
      </c>
      <c r="C1959" s="76" t="s">
        <v>315</v>
      </c>
      <c r="D1959" s="76" t="s">
        <v>902</v>
      </c>
      <c r="E1959" s="79" t="s">
        <v>968</v>
      </c>
      <c r="F1959" s="79"/>
    </row>
    <row r="1960" spans="1:6">
      <c r="A1960" s="77">
        <f t="shared" ca="1" si="149"/>
        <v>45981</v>
      </c>
      <c r="B1960" s="80">
        <f t="shared" ca="1" si="150"/>
        <v>45981.054766898145</v>
      </c>
      <c r="C1960" s="76" t="s">
        <v>315</v>
      </c>
      <c r="D1960" s="76" t="s">
        <v>902</v>
      </c>
      <c r="E1960" s="79" t="s">
        <v>1825</v>
      </c>
      <c r="F1960" s="79"/>
    </row>
    <row r="1961" spans="1:6">
      <c r="A1961" s="77">
        <f t="shared" ca="1" si="149"/>
        <v>45981</v>
      </c>
      <c r="B1961" s="80">
        <f t="shared" ca="1" si="150"/>
        <v>45981.055353935182</v>
      </c>
      <c r="C1961" s="76" t="s">
        <v>315</v>
      </c>
      <c r="D1961" s="76" t="s">
        <v>902</v>
      </c>
      <c r="E1961" s="79" t="s">
        <v>1826</v>
      </c>
      <c r="F1961" s="79"/>
    </row>
    <row r="1962" spans="1:6">
      <c r="A1962" s="77">
        <f t="shared" ca="1" si="149"/>
        <v>45981</v>
      </c>
      <c r="B1962" s="80">
        <f t="shared" ca="1" si="150"/>
        <v>45981.055465046295</v>
      </c>
      <c r="C1962" s="76" t="s">
        <v>315</v>
      </c>
      <c r="D1962" s="76" t="s">
        <v>902</v>
      </c>
      <c r="E1962" s="79" t="s">
        <v>1827</v>
      </c>
      <c r="F1962" s="79"/>
    </row>
    <row r="1963" spans="1:6">
      <c r="A1963" s="77">
        <f t="shared" ca="1" si="149"/>
        <v>45981</v>
      </c>
      <c r="B1963" s="80">
        <f t="shared" ca="1" si="150"/>
        <v>45981.05668530093</v>
      </c>
      <c r="C1963" s="76" t="s">
        <v>315</v>
      </c>
      <c r="D1963" s="76" t="s">
        <v>902</v>
      </c>
      <c r="E1963" s="79" t="s">
        <v>1824</v>
      </c>
      <c r="F1963" s="79"/>
    </row>
    <row r="1964" spans="1:6">
      <c r="A1964" s="77">
        <f t="shared" ca="1" si="149"/>
        <v>45981</v>
      </c>
      <c r="B1964" s="80">
        <f t="shared" ca="1" si="150"/>
        <v>45981.060425694443</v>
      </c>
      <c r="C1964" s="76" t="s">
        <v>315</v>
      </c>
      <c r="D1964" s="76" t="s">
        <v>902</v>
      </c>
      <c r="E1964" s="79" t="s">
        <v>1115</v>
      </c>
      <c r="F1964" s="79"/>
    </row>
    <row r="1965" spans="1:6">
      <c r="A1965" s="77">
        <f t="shared" ca="1" si="149"/>
        <v>45981</v>
      </c>
      <c r="B1965" s="80">
        <f t="shared" ca="1" si="150"/>
        <v>45981.060883680555</v>
      </c>
      <c r="C1965" s="76" t="s">
        <v>315</v>
      </c>
      <c r="D1965" s="76" t="s">
        <v>902</v>
      </c>
      <c r="E1965" s="79" t="s">
        <v>968</v>
      </c>
      <c r="F1965" s="79"/>
    </row>
    <row r="1966" spans="1:6">
      <c r="A1966" s="77">
        <f t="shared" ca="1" si="149"/>
        <v>45981</v>
      </c>
      <c r="B1966" s="80">
        <f t="shared" ca="1" si="150"/>
        <v>45981.061552777777</v>
      </c>
      <c r="C1966" s="76" t="s">
        <v>315</v>
      </c>
      <c r="D1966" s="76" t="s">
        <v>902</v>
      </c>
      <c r="E1966" s="79" t="s">
        <v>1808</v>
      </c>
      <c r="F1966" s="79"/>
    </row>
    <row r="1967" spans="1:6">
      <c r="A1967" s="77">
        <f t="shared" ca="1" si="149"/>
        <v>45981</v>
      </c>
      <c r="B1967" s="80">
        <f t="shared" ca="1" si="150"/>
        <v>45981.066639351855</v>
      </c>
      <c r="C1967" s="76" t="s">
        <v>315</v>
      </c>
      <c r="D1967" s="76" t="s">
        <v>902</v>
      </c>
      <c r="E1967" s="79" t="s">
        <v>1828</v>
      </c>
      <c r="F1967" s="79"/>
    </row>
    <row r="1968" spans="1:6">
      <c r="A1968" s="77">
        <f t="shared" ca="1" si="149"/>
        <v>45981</v>
      </c>
      <c r="B1968" s="80">
        <f t="shared" ca="1" si="150"/>
        <v>45981.06986747685</v>
      </c>
      <c r="C1968" s="76" t="s">
        <v>315</v>
      </c>
      <c r="D1968" s="150" t="s">
        <v>1007</v>
      </c>
      <c r="E1968" s="79" t="s">
        <v>1829</v>
      </c>
      <c r="F1968" s="79"/>
    </row>
    <row r="1969" spans="1:6">
      <c r="A1969" s="77">
        <f t="shared" ref="A1969:A2000" ca="1" si="151">IF(C1969&lt;&gt;0,IF(A1969=0,TODAY(),A1969),)</f>
        <v>45981</v>
      </c>
      <c r="B1969" s="80">
        <f t="shared" ref="B1969:B2000" ca="1" si="152">IF(C1969&lt;&gt;0,IF(B1969=0,NOW(),B1969),)</f>
        <v>45981.073017013892</v>
      </c>
      <c r="C1969" s="76" t="s">
        <v>315</v>
      </c>
      <c r="D1969" s="76" t="s">
        <v>902</v>
      </c>
      <c r="E1969" s="79" t="s">
        <v>1181</v>
      </c>
      <c r="F1969" s="79"/>
    </row>
    <row r="1970" spans="1:6">
      <c r="A1970" s="77">
        <f t="shared" ca="1" si="151"/>
        <v>45981</v>
      </c>
      <c r="B1970" s="80">
        <f t="shared" ca="1" si="152"/>
        <v>45981.073697453707</v>
      </c>
      <c r="C1970" s="76" t="s">
        <v>315</v>
      </c>
      <c r="D1970" s="76" t="s">
        <v>902</v>
      </c>
      <c r="E1970" s="79" t="s">
        <v>968</v>
      </c>
      <c r="F1970" s="79"/>
    </row>
    <row r="1971" spans="1:6">
      <c r="A1971" s="77">
        <f t="shared" ca="1" si="151"/>
        <v>45981</v>
      </c>
      <c r="B1971" s="80">
        <f t="shared" ca="1" si="152"/>
        <v>45981.074429629633</v>
      </c>
      <c r="C1971" s="76" t="s">
        <v>315</v>
      </c>
      <c r="D1971" s="76" t="s">
        <v>902</v>
      </c>
      <c r="E1971" s="79" t="s">
        <v>1830</v>
      </c>
      <c r="F1971" s="79"/>
    </row>
    <row r="1972" spans="1:6">
      <c r="A1972" s="77">
        <f t="shared" ca="1" si="151"/>
        <v>45981</v>
      </c>
      <c r="B1972" s="80">
        <f t="shared" ca="1" si="152"/>
        <v>45981.076228819446</v>
      </c>
      <c r="C1972" s="76" t="s">
        <v>315</v>
      </c>
      <c r="D1972" s="76" t="s">
        <v>902</v>
      </c>
      <c r="E1972" s="79" t="s">
        <v>1831</v>
      </c>
      <c r="F1972" s="79"/>
    </row>
    <row r="1973" spans="1:6">
      <c r="A1973" s="77">
        <f t="shared" ca="1" si="151"/>
        <v>45981</v>
      </c>
      <c r="B1973" s="80">
        <f t="shared" ca="1" si="152"/>
        <v>45981.078833796295</v>
      </c>
      <c r="C1973" s="76" t="s">
        <v>315</v>
      </c>
      <c r="D1973" s="76" t="s">
        <v>902</v>
      </c>
      <c r="E1973" s="79" t="s">
        <v>1832</v>
      </c>
      <c r="F1973" s="79"/>
    </row>
    <row r="1974" spans="1:6">
      <c r="A1974" s="77">
        <f t="shared" ca="1" si="151"/>
        <v>45981</v>
      </c>
      <c r="B1974" s="80">
        <f t="shared" ca="1" si="152"/>
        <v>45981.07968761574</v>
      </c>
      <c r="C1974" s="76" t="s">
        <v>315</v>
      </c>
      <c r="D1974" s="76" t="s">
        <v>902</v>
      </c>
      <c r="E1974" s="79" t="s">
        <v>1833</v>
      </c>
      <c r="F1974" s="79"/>
    </row>
    <row r="1975" spans="1:6">
      <c r="A1975" s="77">
        <f t="shared" ca="1" si="151"/>
        <v>45981</v>
      </c>
      <c r="B1975" s="80">
        <f t="shared" ca="1" si="152"/>
        <v>45981.079916898147</v>
      </c>
      <c r="C1975" s="76" t="s">
        <v>315</v>
      </c>
      <c r="D1975" s="76" t="s">
        <v>902</v>
      </c>
      <c r="E1975" s="79" t="s">
        <v>1832</v>
      </c>
      <c r="F1975" s="79"/>
    </row>
    <row r="1976" spans="1:6">
      <c r="A1976" s="77">
        <f t="shared" ca="1" si="151"/>
        <v>45981</v>
      </c>
      <c r="B1976" s="80">
        <f t="shared" ca="1" si="152"/>
        <v>45981.081512847224</v>
      </c>
      <c r="C1976" s="76" t="s">
        <v>315</v>
      </c>
      <c r="D1976" s="76" t="s">
        <v>902</v>
      </c>
      <c r="E1976" s="79" t="s">
        <v>1834</v>
      </c>
      <c r="F1976" s="79"/>
    </row>
    <row r="1977" spans="1:6">
      <c r="A1977" s="77">
        <f t="shared" ca="1" si="151"/>
        <v>45981</v>
      </c>
      <c r="B1977" s="80">
        <f t="shared" ca="1" si="152"/>
        <v>45981.083178819441</v>
      </c>
      <c r="C1977" s="76" t="s">
        <v>315</v>
      </c>
      <c r="D1977" s="76" t="s">
        <v>902</v>
      </c>
      <c r="E1977" s="79" t="s">
        <v>1116</v>
      </c>
      <c r="F1977" s="79"/>
    </row>
    <row r="1978" spans="1:6">
      <c r="A1978" s="77">
        <f t="shared" ca="1" si="151"/>
        <v>45981</v>
      </c>
      <c r="B1978" s="80">
        <f t="shared" ca="1" si="152"/>
        <v>45981.08399861111</v>
      </c>
      <c r="C1978" s="76" t="s">
        <v>315</v>
      </c>
      <c r="D1978" s="76" t="s">
        <v>902</v>
      </c>
      <c r="E1978" s="79" t="s">
        <v>968</v>
      </c>
      <c r="F1978" s="79"/>
    </row>
    <row r="1979" spans="1:6">
      <c r="A1979" s="77">
        <f t="shared" ca="1" si="151"/>
        <v>45981</v>
      </c>
      <c r="B1979" s="80">
        <f t="shared" ca="1" si="152"/>
        <v>45981.086984027781</v>
      </c>
      <c r="C1979" s="76" t="s">
        <v>315</v>
      </c>
      <c r="D1979" s="76" t="s">
        <v>902</v>
      </c>
      <c r="E1979" s="79" t="s">
        <v>1181</v>
      </c>
      <c r="F1979" s="79"/>
    </row>
    <row r="1980" spans="1:6">
      <c r="A1980" s="77">
        <f t="shared" ca="1" si="151"/>
        <v>45981</v>
      </c>
      <c r="B1980" s="80">
        <f t="shared" ca="1" si="152"/>
        <v>45981.093494212961</v>
      </c>
      <c r="C1980" s="76" t="s">
        <v>315</v>
      </c>
      <c r="D1980" s="76" t="s">
        <v>902</v>
      </c>
      <c r="E1980" s="79" t="s">
        <v>1832</v>
      </c>
      <c r="F1980" s="79"/>
    </row>
    <row r="1981" spans="1:6">
      <c r="A1981" s="77">
        <f t="shared" ca="1" si="151"/>
        <v>45981</v>
      </c>
      <c r="B1981" s="80">
        <f t="shared" ca="1" si="152"/>
        <v>45981.094781481479</v>
      </c>
      <c r="C1981" s="76" t="s">
        <v>315</v>
      </c>
      <c r="D1981" s="76" t="s">
        <v>902</v>
      </c>
      <c r="E1981" s="79" t="s">
        <v>1835</v>
      </c>
      <c r="F1981" s="79"/>
    </row>
    <row r="1982" spans="1:6">
      <c r="A1982" s="77">
        <f t="shared" ca="1" si="151"/>
        <v>45981</v>
      </c>
      <c r="B1982" s="80">
        <v>0.10694444444444444</v>
      </c>
      <c r="C1982" s="76" t="s">
        <v>315</v>
      </c>
      <c r="D1982" s="210" t="s">
        <v>1098</v>
      </c>
      <c r="E1982" s="79"/>
      <c r="F1982" s="79"/>
    </row>
    <row r="1983" spans="1:6">
      <c r="A1983" s="77">
        <f t="shared" ca="1" si="151"/>
        <v>45981</v>
      </c>
      <c r="B1983" s="80">
        <f t="shared" ca="1" si="152"/>
        <v>45981.142527777774</v>
      </c>
      <c r="C1983" s="76" t="s">
        <v>319</v>
      </c>
      <c r="D1983" s="210" t="s">
        <v>906</v>
      </c>
      <c r="E1983" s="79"/>
      <c r="F1983" s="79"/>
    </row>
    <row r="1984" spans="1:6">
      <c r="A1984" s="77">
        <f t="shared" ca="1" si="151"/>
        <v>45981</v>
      </c>
      <c r="B1984" s="80">
        <f t="shared" ca="1" si="152"/>
        <v>45981.162036574075</v>
      </c>
      <c r="C1984" s="76" t="s">
        <v>319</v>
      </c>
      <c r="D1984" s="210" t="s">
        <v>909</v>
      </c>
      <c r="E1984" s="79"/>
      <c r="F1984" s="79"/>
    </row>
    <row r="1985" spans="1:6">
      <c r="A1985" s="77">
        <f t="shared" ca="1" si="151"/>
        <v>45981</v>
      </c>
      <c r="B1985" s="80">
        <f t="shared" ca="1" si="152"/>
        <v>45981.166223148146</v>
      </c>
      <c r="C1985" s="76" t="s">
        <v>319</v>
      </c>
      <c r="D1985" s="76" t="s">
        <v>902</v>
      </c>
      <c r="E1985" s="79" t="s">
        <v>1836</v>
      </c>
      <c r="F1985" s="79"/>
    </row>
    <row r="1986" spans="1:6">
      <c r="A1986" s="77">
        <f t="shared" ca="1" si="151"/>
        <v>45981</v>
      </c>
      <c r="B1986" s="80">
        <f t="shared" ca="1" si="152"/>
        <v>45981.168354513888</v>
      </c>
      <c r="C1986" s="76" t="s">
        <v>319</v>
      </c>
      <c r="D1986" s="76" t="s">
        <v>902</v>
      </c>
      <c r="E1986" s="79" t="s">
        <v>1837</v>
      </c>
      <c r="F1986" s="79"/>
    </row>
    <row r="1987" spans="1:6">
      <c r="A1987" s="77">
        <f t="shared" ca="1" si="151"/>
        <v>45981</v>
      </c>
      <c r="B1987" s="80">
        <f t="shared" ca="1" si="152"/>
        <v>45981.170162037037</v>
      </c>
      <c r="C1987" s="76" t="s">
        <v>319</v>
      </c>
      <c r="D1987" s="76" t="s">
        <v>902</v>
      </c>
      <c r="E1987" s="79" t="s">
        <v>1770</v>
      </c>
      <c r="F1987" s="79"/>
    </row>
    <row r="1988" spans="1:6">
      <c r="A1988" s="77">
        <f t="shared" ca="1" si="151"/>
        <v>45981</v>
      </c>
      <c r="B1988" s="80">
        <f t="shared" ca="1" si="152"/>
        <v>45981.1723375</v>
      </c>
      <c r="C1988" s="76" t="s">
        <v>319</v>
      </c>
      <c r="D1988" s="76" t="s">
        <v>902</v>
      </c>
      <c r="E1988" s="79" t="s">
        <v>1063</v>
      </c>
      <c r="F1988" s="79"/>
    </row>
    <row r="1989" spans="1:6">
      <c r="A1989" s="77">
        <f t="shared" ca="1" si="151"/>
        <v>45981</v>
      </c>
      <c r="B1989" s="80">
        <f t="shared" ca="1" si="152"/>
        <v>45981.174010185183</v>
      </c>
      <c r="C1989" s="76" t="s">
        <v>319</v>
      </c>
      <c r="D1989" s="76" t="s">
        <v>902</v>
      </c>
      <c r="E1989" s="79" t="s">
        <v>1770</v>
      </c>
      <c r="F1989" s="79"/>
    </row>
    <row r="1990" spans="1:6">
      <c r="A1990" s="77">
        <f t="shared" ca="1" si="151"/>
        <v>45981</v>
      </c>
      <c r="B1990" s="80">
        <f t="shared" ca="1" si="152"/>
        <v>45981.174981018521</v>
      </c>
      <c r="C1990" s="76" t="s">
        <v>319</v>
      </c>
      <c r="D1990" s="76" t="s">
        <v>902</v>
      </c>
      <c r="E1990" s="79" t="s">
        <v>1063</v>
      </c>
      <c r="F1990" s="79"/>
    </row>
    <row r="1991" spans="1:6">
      <c r="A1991" s="77">
        <f t="shared" ca="1" si="151"/>
        <v>45981</v>
      </c>
      <c r="B1991" s="80">
        <f t="shared" ca="1" si="152"/>
        <v>45981.175414699072</v>
      </c>
      <c r="C1991" s="76" t="s">
        <v>319</v>
      </c>
      <c r="D1991" s="76" t="s">
        <v>902</v>
      </c>
      <c r="E1991" s="79" t="s">
        <v>1836</v>
      </c>
      <c r="F1991" s="79"/>
    </row>
    <row r="1992" spans="1:6">
      <c r="A1992" s="77">
        <f t="shared" ca="1" si="151"/>
        <v>45981</v>
      </c>
      <c r="B1992" s="80">
        <f t="shared" ca="1" si="152"/>
        <v>45981.177868287035</v>
      </c>
      <c r="C1992" s="76" t="s">
        <v>319</v>
      </c>
      <c r="D1992" s="76" t="s">
        <v>902</v>
      </c>
      <c r="E1992" s="79" t="s">
        <v>1836</v>
      </c>
      <c r="F1992" s="79"/>
    </row>
    <row r="1993" spans="1:6">
      <c r="A1993" s="77">
        <f t="shared" ca="1" si="151"/>
        <v>45981</v>
      </c>
      <c r="B1993" s="80">
        <f t="shared" ca="1" si="152"/>
        <v>45981.178260416666</v>
      </c>
      <c r="C1993" s="76" t="s">
        <v>319</v>
      </c>
      <c r="D1993" s="76" t="s">
        <v>902</v>
      </c>
      <c r="E1993" s="79" t="s">
        <v>1770</v>
      </c>
      <c r="F1993" s="79"/>
    </row>
    <row r="1994" spans="1:6">
      <c r="A1994" s="77">
        <f t="shared" ca="1" si="151"/>
        <v>45981</v>
      </c>
      <c r="B1994" s="80">
        <f t="shared" ca="1" si="152"/>
        <v>45981.181018634263</v>
      </c>
      <c r="C1994" s="76" t="s">
        <v>319</v>
      </c>
      <c r="D1994" s="76" t="s">
        <v>902</v>
      </c>
      <c r="E1994" s="79" t="s">
        <v>1770</v>
      </c>
      <c r="F1994" s="79"/>
    </row>
    <row r="1995" spans="1:6">
      <c r="A1995" s="77">
        <f t="shared" ca="1" si="151"/>
        <v>45981</v>
      </c>
      <c r="B1995" s="80">
        <f t="shared" ca="1" si="152"/>
        <v>45981.181156828701</v>
      </c>
      <c r="C1995" s="76" t="s">
        <v>319</v>
      </c>
      <c r="D1995" s="76" t="s">
        <v>902</v>
      </c>
      <c r="E1995" s="79" t="s">
        <v>1836</v>
      </c>
      <c r="F1995" s="79"/>
    </row>
    <row r="1996" spans="1:6">
      <c r="A1996" s="77">
        <f t="shared" ca="1" si="151"/>
        <v>45981</v>
      </c>
      <c r="B1996" s="80">
        <f t="shared" ca="1" si="152"/>
        <v>45981.194368055556</v>
      </c>
      <c r="C1996" s="76" t="s">
        <v>319</v>
      </c>
      <c r="D1996" s="76" t="s">
        <v>902</v>
      </c>
      <c r="E1996" s="79" t="s">
        <v>1792</v>
      </c>
      <c r="F1996" s="79"/>
    </row>
    <row r="1997" spans="1:6">
      <c r="A1997" s="77">
        <f t="shared" ca="1" si="151"/>
        <v>45981</v>
      </c>
      <c r="B1997" s="80">
        <f t="shared" ca="1" si="152"/>
        <v>45981.194478240737</v>
      </c>
      <c r="C1997" s="76" t="s">
        <v>319</v>
      </c>
      <c r="D1997" s="76" t="s">
        <v>902</v>
      </c>
      <c r="E1997" s="79" t="s">
        <v>1833</v>
      </c>
      <c r="F1997" s="79"/>
    </row>
    <row r="1998" spans="1:6">
      <c r="A1998" s="77">
        <f t="shared" ca="1" si="151"/>
        <v>45981</v>
      </c>
      <c r="B1998" s="80">
        <f t="shared" ca="1" si="152"/>
        <v>45981.199872337966</v>
      </c>
      <c r="C1998" s="76" t="s">
        <v>319</v>
      </c>
      <c r="D1998" s="210" t="s">
        <v>922</v>
      </c>
      <c r="E1998" s="79"/>
      <c r="F1998" s="79"/>
    </row>
    <row r="1999" spans="1:6">
      <c r="A1999" s="77">
        <f t="shared" ca="1" si="151"/>
        <v>45981</v>
      </c>
      <c r="B1999" s="80">
        <f t="shared" ca="1" si="152"/>
        <v>45981.220676273151</v>
      </c>
      <c r="C1999" s="76" t="s">
        <v>319</v>
      </c>
      <c r="D1999" s="210" t="s">
        <v>1098</v>
      </c>
      <c r="E1999" s="79"/>
      <c r="F1999" s="79"/>
    </row>
    <row r="2000" spans="1:6">
      <c r="A2000" s="77">
        <f t="shared" ca="1" si="151"/>
        <v>45981</v>
      </c>
      <c r="B2000" s="80">
        <f t="shared" ca="1" si="152"/>
        <v>45981.255651273146</v>
      </c>
      <c r="C2000" s="76" t="s">
        <v>322</v>
      </c>
      <c r="D2000" s="210" t="s">
        <v>906</v>
      </c>
      <c r="E2000" s="79"/>
      <c r="F2000" s="79"/>
    </row>
    <row r="2001" spans="1:7">
      <c r="A2001" s="77">
        <f t="shared" ref="A2001:A2034" ca="1" si="153">IF(C2001&lt;&gt;0,IF(A2001=0,TODAY(),A2001),)</f>
        <v>45981</v>
      </c>
      <c r="B2001" s="80">
        <f t="shared" ref="B2001:B2032" ca="1" si="154">IF(C2001&lt;&gt;0,IF(B2001=0,NOW(),B2001),)</f>
        <v>45981.278271875002</v>
      </c>
      <c r="C2001" s="76" t="s">
        <v>322</v>
      </c>
      <c r="D2001" s="210" t="s">
        <v>909</v>
      </c>
      <c r="E2001" s="79"/>
      <c r="F2001" s="79"/>
      <c r="G2001" s="76" t="s">
        <v>1838</v>
      </c>
    </row>
    <row r="2002" spans="1:7">
      <c r="A2002" s="77">
        <f t="shared" ca="1" si="153"/>
        <v>45981</v>
      </c>
      <c r="B2002" s="80">
        <f t="shared" ca="1" si="154"/>
        <v>45981.282066666667</v>
      </c>
      <c r="C2002" s="76" t="s">
        <v>322</v>
      </c>
      <c r="D2002" s="76" t="s">
        <v>902</v>
      </c>
      <c r="E2002" s="79" t="s">
        <v>1839</v>
      </c>
      <c r="F2002" s="79"/>
    </row>
    <row r="2003" spans="1:7">
      <c r="A2003" s="77">
        <f t="shared" ca="1" si="153"/>
        <v>45981</v>
      </c>
      <c r="B2003" s="80">
        <f t="shared" ca="1" si="154"/>
        <v>45981.284133796296</v>
      </c>
      <c r="C2003" s="76" t="s">
        <v>322</v>
      </c>
      <c r="D2003" s="76" t="s">
        <v>902</v>
      </c>
      <c r="E2003" s="79" t="s">
        <v>1601</v>
      </c>
      <c r="F2003" s="79"/>
    </row>
    <row r="2004" spans="1:7">
      <c r="A2004" s="77">
        <f t="shared" ca="1" si="153"/>
        <v>45981</v>
      </c>
      <c r="B2004" s="80">
        <f t="shared" ca="1" si="154"/>
        <v>45981.28941863426</v>
      </c>
      <c r="C2004" s="76" t="s">
        <v>322</v>
      </c>
      <c r="D2004" s="76" t="s">
        <v>902</v>
      </c>
      <c r="E2004" s="79" t="s">
        <v>1840</v>
      </c>
      <c r="F2004" s="79"/>
    </row>
    <row r="2005" spans="1:7">
      <c r="A2005" s="77">
        <f t="shared" ca="1" si="153"/>
        <v>45981</v>
      </c>
      <c r="B2005" s="80">
        <f t="shared" ca="1" si="154"/>
        <v>45981.290191319444</v>
      </c>
      <c r="C2005" s="76" t="s">
        <v>322</v>
      </c>
      <c r="D2005" s="76" t="s">
        <v>902</v>
      </c>
      <c r="E2005" s="79" t="s">
        <v>1063</v>
      </c>
      <c r="F2005" s="79"/>
    </row>
    <row r="2006" spans="1:7">
      <c r="A2006" s="77">
        <f t="shared" ca="1" si="153"/>
        <v>45981</v>
      </c>
      <c r="B2006" s="80">
        <f t="shared" ca="1" si="154"/>
        <v>45981.294755092589</v>
      </c>
      <c r="C2006" s="76" t="s">
        <v>322</v>
      </c>
      <c r="D2006" s="76" t="s">
        <v>902</v>
      </c>
      <c r="E2006" s="79" t="s">
        <v>1148</v>
      </c>
      <c r="F2006" s="79"/>
    </row>
    <row r="2007" spans="1:7">
      <c r="A2007" s="77">
        <f t="shared" ca="1" si="153"/>
        <v>45981</v>
      </c>
      <c r="B2007" s="80">
        <f t="shared" ca="1" si="154"/>
        <v>45981.295317939817</v>
      </c>
      <c r="C2007" s="76" t="s">
        <v>322</v>
      </c>
      <c r="D2007" s="76" t="s">
        <v>902</v>
      </c>
      <c r="E2007" s="79" t="s">
        <v>1841</v>
      </c>
      <c r="F2007" s="79"/>
    </row>
    <row r="2008" spans="1:7">
      <c r="A2008" s="77">
        <f t="shared" ca="1" si="153"/>
        <v>45981</v>
      </c>
      <c r="B2008" s="80">
        <f t="shared" ca="1" si="154"/>
        <v>45981.295834606484</v>
      </c>
      <c r="C2008" s="76" t="s">
        <v>322</v>
      </c>
      <c r="D2008" s="76" t="s">
        <v>902</v>
      </c>
      <c r="E2008" s="79" t="s">
        <v>1026</v>
      </c>
      <c r="F2008" s="79"/>
    </row>
    <row r="2009" spans="1:7">
      <c r="A2009" s="77">
        <f t="shared" ca="1" si="153"/>
        <v>45981</v>
      </c>
      <c r="B2009" s="80">
        <f t="shared" ca="1" si="154"/>
        <v>45981.297580324077</v>
      </c>
      <c r="C2009" s="76" t="s">
        <v>322</v>
      </c>
      <c r="D2009" s="76" t="s">
        <v>902</v>
      </c>
      <c r="E2009" s="79" t="s">
        <v>1026</v>
      </c>
      <c r="F2009" s="79"/>
    </row>
    <row r="2010" spans="1:7">
      <c r="A2010" s="77">
        <f t="shared" ca="1" si="153"/>
        <v>45981</v>
      </c>
      <c r="B2010" s="80">
        <f t="shared" ca="1" si="154"/>
        <v>45981.300318865739</v>
      </c>
      <c r="C2010" s="76" t="s">
        <v>322</v>
      </c>
      <c r="D2010" s="76" t="s">
        <v>902</v>
      </c>
      <c r="E2010" s="79" t="s">
        <v>932</v>
      </c>
      <c r="F2010" s="79"/>
    </row>
    <row r="2011" spans="1:7">
      <c r="A2011" s="77">
        <f t="shared" ca="1" si="153"/>
        <v>45981</v>
      </c>
      <c r="B2011" s="80">
        <f t="shared" ca="1" si="154"/>
        <v>45981.300608912039</v>
      </c>
      <c r="C2011" s="76" t="s">
        <v>322</v>
      </c>
      <c r="D2011" s="76" t="s">
        <v>902</v>
      </c>
      <c r="E2011" s="79" t="s">
        <v>1805</v>
      </c>
      <c r="F2011" s="79"/>
    </row>
    <row r="2012" spans="1:7">
      <c r="A2012" s="77">
        <f t="shared" ca="1" si="153"/>
        <v>45981</v>
      </c>
      <c r="B2012" s="80">
        <f t="shared" ca="1" si="154"/>
        <v>45981.302599652779</v>
      </c>
      <c r="C2012" s="76" t="s">
        <v>322</v>
      </c>
      <c r="D2012" s="76" t="s">
        <v>902</v>
      </c>
      <c r="E2012" s="79" t="s">
        <v>1837</v>
      </c>
      <c r="F2012" s="79"/>
    </row>
    <row r="2013" spans="1:7">
      <c r="A2013" s="77">
        <f t="shared" ca="1" si="153"/>
        <v>45981</v>
      </c>
      <c r="B2013" s="80">
        <f t="shared" ca="1" si="154"/>
        <v>45981.306126736112</v>
      </c>
      <c r="C2013" s="76" t="s">
        <v>322</v>
      </c>
      <c r="D2013" s="76" t="s">
        <v>902</v>
      </c>
      <c r="E2013" s="79" t="s">
        <v>1314</v>
      </c>
      <c r="F2013" s="79"/>
    </row>
    <row r="2014" spans="1:7">
      <c r="A2014" s="77">
        <f t="shared" ca="1" si="153"/>
        <v>45981</v>
      </c>
      <c r="B2014" s="80">
        <f t="shared" ca="1" si="154"/>
        <v>45981.307243055555</v>
      </c>
      <c r="C2014" s="76" t="s">
        <v>322</v>
      </c>
      <c r="D2014" s="76" t="s">
        <v>902</v>
      </c>
      <c r="E2014" s="79" t="s">
        <v>1026</v>
      </c>
      <c r="F2014" s="79"/>
    </row>
    <row r="2015" spans="1:7">
      <c r="A2015" s="77">
        <f t="shared" ca="1" si="153"/>
        <v>45981</v>
      </c>
      <c r="B2015" s="80">
        <f t="shared" ca="1" si="154"/>
        <v>45981.31247488426</v>
      </c>
      <c r="C2015" s="76" t="s">
        <v>322</v>
      </c>
      <c r="D2015" s="76" t="s">
        <v>902</v>
      </c>
      <c r="E2015" s="79" t="s">
        <v>1197</v>
      </c>
      <c r="F2015" s="79"/>
    </row>
    <row r="2016" spans="1:7">
      <c r="A2016" s="77">
        <f t="shared" ca="1" si="153"/>
        <v>45981</v>
      </c>
      <c r="B2016" s="80">
        <f t="shared" ca="1" si="154"/>
        <v>45981.316819097221</v>
      </c>
      <c r="C2016" s="76" t="s">
        <v>322</v>
      </c>
      <c r="D2016" s="210" t="s">
        <v>922</v>
      </c>
      <c r="E2016" s="79"/>
      <c r="F2016" s="79"/>
    </row>
    <row r="2017" spans="1:7">
      <c r="A2017" s="77">
        <f t="shared" ca="1" si="153"/>
        <v>45981</v>
      </c>
      <c r="B2017" s="80">
        <f t="shared" ca="1" si="154"/>
        <v>45981.318421412034</v>
      </c>
      <c r="C2017" s="76" t="s">
        <v>322</v>
      </c>
      <c r="D2017" s="210" t="s">
        <v>1098</v>
      </c>
      <c r="E2017" s="79"/>
      <c r="F2017" s="79"/>
      <c r="G2017" s="76" t="s">
        <v>1842</v>
      </c>
    </row>
    <row r="2018" spans="1:7">
      <c r="A2018" s="77">
        <f t="shared" ca="1" si="153"/>
        <v>45981</v>
      </c>
      <c r="B2018" s="80">
        <f t="shared" ca="1" si="154"/>
        <v>45981.385642361114</v>
      </c>
      <c r="C2018" s="76" t="s">
        <v>325</v>
      </c>
      <c r="D2018" s="210" t="s">
        <v>909</v>
      </c>
      <c r="E2018" s="79"/>
      <c r="F2018" s="79"/>
      <c r="G2018" s="76" t="s">
        <v>1843</v>
      </c>
    </row>
    <row r="2019" spans="1:7">
      <c r="A2019" s="77">
        <f t="shared" ca="1" si="153"/>
        <v>45981</v>
      </c>
      <c r="B2019" s="80">
        <f t="shared" ca="1" si="154"/>
        <v>45981.38574351852</v>
      </c>
      <c r="C2019" s="76" t="s">
        <v>325</v>
      </c>
      <c r="D2019" s="76" t="s">
        <v>902</v>
      </c>
      <c r="E2019" s="79"/>
      <c r="F2019" s="79"/>
      <c r="G2019" s="76" t="s">
        <v>1311</v>
      </c>
    </row>
    <row r="2020" spans="1:7">
      <c r="A2020" s="77">
        <f t="shared" ca="1" si="153"/>
        <v>45981</v>
      </c>
      <c r="B2020" s="80">
        <f t="shared" ca="1" si="154"/>
        <v>45981.392420717595</v>
      </c>
      <c r="C2020" s="76" t="s">
        <v>325</v>
      </c>
      <c r="D2020" s="76" t="s">
        <v>902</v>
      </c>
      <c r="E2020" s="79" t="s">
        <v>1844</v>
      </c>
      <c r="F2020" s="79"/>
    </row>
    <row r="2021" spans="1:7">
      <c r="A2021" s="77">
        <f t="shared" ca="1" si="153"/>
        <v>45981</v>
      </c>
      <c r="B2021" s="80">
        <f t="shared" ca="1" si="154"/>
        <v>45981.397621759257</v>
      </c>
      <c r="C2021" s="76" t="s">
        <v>325</v>
      </c>
      <c r="D2021" s="76" t="s">
        <v>902</v>
      </c>
      <c r="E2021" s="79" t="s">
        <v>1844</v>
      </c>
      <c r="F2021" s="79"/>
    </row>
    <row r="2022" spans="1:7">
      <c r="A2022" s="77">
        <f t="shared" ca="1" si="153"/>
        <v>45981</v>
      </c>
      <c r="B2022" s="80">
        <f t="shared" ca="1" si="154"/>
        <v>45981.401143055555</v>
      </c>
      <c r="C2022" s="76" t="s">
        <v>325</v>
      </c>
      <c r="D2022" s="76" t="s">
        <v>902</v>
      </c>
      <c r="E2022" s="79" t="s">
        <v>1845</v>
      </c>
      <c r="F2022" s="79"/>
    </row>
    <row r="2023" spans="1:7">
      <c r="A2023" s="77">
        <f t="shared" ca="1" si="153"/>
        <v>45981</v>
      </c>
      <c r="B2023" s="80">
        <f t="shared" ca="1" si="154"/>
        <v>45981.407921064812</v>
      </c>
      <c r="C2023" s="76" t="s">
        <v>325</v>
      </c>
      <c r="D2023" s="76" t="s">
        <v>902</v>
      </c>
      <c r="E2023" s="79" t="s">
        <v>1844</v>
      </c>
      <c r="F2023" s="79"/>
    </row>
    <row r="2024" spans="1:7">
      <c r="A2024" s="77">
        <f t="shared" ca="1" si="153"/>
        <v>45981</v>
      </c>
      <c r="B2024" s="80">
        <v>0.41041666666666665</v>
      </c>
      <c r="C2024" s="76" t="s">
        <v>325</v>
      </c>
      <c r="D2024" s="210" t="s">
        <v>922</v>
      </c>
      <c r="E2024" s="79"/>
      <c r="F2024" s="79"/>
      <c r="G2024" s="76" t="s">
        <v>1846</v>
      </c>
    </row>
    <row r="2025" spans="1:7">
      <c r="A2025" s="77">
        <f t="shared" ca="1" si="153"/>
        <v>45981</v>
      </c>
      <c r="B2025" s="80">
        <f t="shared" ca="1" si="154"/>
        <v>45981.423918981483</v>
      </c>
      <c r="C2025" s="76" t="s">
        <v>328</v>
      </c>
      <c r="D2025" s="210" t="s">
        <v>909</v>
      </c>
      <c r="E2025" s="79"/>
      <c r="F2025" s="79"/>
      <c r="G2025" s="76" t="s">
        <v>1847</v>
      </c>
    </row>
    <row r="2026" spans="1:7">
      <c r="A2026" s="77">
        <f t="shared" ca="1" si="153"/>
        <v>45981</v>
      </c>
      <c r="B2026" s="80">
        <f t="shared" ca="1" si="154"/>
        <v>45981.426326736109</v>
      </c>
      <c r="C2026" s="76" t="s">
        <v>328</v>
      </c>
      <c r="D2026" s="76" t="s">
        <v>902</v>
      </c>
      <c r="E2026" s="79" t="s">
        <v>1695</v>
      </c>
      <c r="F2026" s="79"/>
    </row>
    <row r="2027" spans="1:7">
      <c r="A2027" s="77">
        <f t="shared" ca="1" si="153"/>
        <v>45981</v>
      </c>
      <c r="B2027" s="80">
        <f t="shared" ca="1" si="154"/>
        <v>45981.436079398147</v>
      </c>
      <c r="C2027" s="76" t="s">
        <v>328</v>
      </c>
      <c r="D2027" s="210" t="s">
        <v>922</v>
      </c>
      <c r="E2027" s="79"/>
      <c r="F2027" s="79"/>
      <c r="G2027" s="76" t="s">
        <v>1848</v>
      </c>
    </row>
    <row r="2028" spans="1:7">
      <c r="A2028" s="77">
        <f t="shared" ca="1" si="153"/>
        <v>45981</v>
      </c>
      <c r="B2028" s="80">
        <f t="shared" ca="1" si="154"/>
        <v>45981.475231018521</v>
      </c>
      <c r="C2028" s="76" t="s">
        <v>1849</v>
      </c>
      <c r="D2028" s="210" t="s">
        <v>909</v>
      </c>
      <c r="E2028" s="79"/>
      <c r="F2028" s="79"/>
    </row>
    <row r="2029" spans="1:7">
      <c r="A2029" s="77">
        <f t="shared" ca="1" si="153"/>
        <v>45981</v>
      </c>
      <c r="B2029" s="80">
        <f t="shared" ca="1" si="154"/>
        <v>45981.47890347222</v>
      </c>
      <c r="C2029" s="76" t="s">
        <v>1849</v>
      </c>
      <c r="D2029" s="76" t="s">
        <v>902</v>
      </c>
      <c r="E2029" s="79"/>
      <c r="F2029" s="79"/>
      <c r="G2029" s="76" t="s">
        <v>1535</v>
      </c>
    </row>
    <row r="2030" spans="1:7">
      <c r="A2030" s="77">
        <f t="shared" ca="1" si="153"/>
        <v>45981</v>
      </c>
      <c r="B2030" s="80">
        <f t="shared" ca="1" si="154"/>
        <v>45981.480595601854</v>
      </c>
      <c r="C2030" s="76" t="s">
        <v>1849</v>
      </c>
      <c r="D2030" s="76" t="s">
        <v>902</v>
      </c>
      <c r="E2030" s="79" t="s">
        <v>1850</v>
      </c>
      <c r="F2030" s="79"/>
    </row>
    <row r="2031" spans="1:7">
      <c r="A2031" s="77">
        <f t="shared" ca="1" si="153"/>
        <v>45981</v>
      </c>
      <c r="B2031" s="80">
        <f t="shared" ca="1" si="154"/>
        <v>45981.483470486113</v>
      </c>
      <c r="C2031" s="76" t="s">
        <v>1849</v>
      </c>
      <c r="D2031" s="76" t="s">
        <v>902</v>
      </c>
      <c r="E2031" s="79" t="s">
        <v>1026</v>
      </c>
      <c r="F2031" s="79"/>
    </row>
    <row r="2032" spans="1:7">
      <c r="A2032" s="77">
        <f t="shared" ca="1" si="153"/>
        <v>45981</v>
      </c>
      <c r="B2032" s="80">
        <f t="shared" ca="1" si="154"/>
        <v>45981.492591550923</v>
      </c>
      <c r="C2032" s="76" t="s">
        <v>1849</v>
      </c>
      <c r="D2032" s="76" t="s">
        <v>902</v>
      </c>
      <c r="E2032" s="79" t="s">
        <v>1026</v>
      </c>
      <c r="F2032" s="79"/>
    </row>
    <row r="2033" spans="1:7">
      <c r="A2033" s="77">
        <f t="shared" ca="1" si="153"/>
        <v>45981</v>
      </c>
      <c r="B2033" s="80">
        <f t="shared" ref="B2033:B2034" ca="1" si="155">IF(C2033&lt;&gt;0,IF(B2033=0,NOW(),B2033),)</f>
        <v>45981.505084722223</v>
      </c>
      <c r="C2033" s="76" t="s">
        <v>1849</v>
      </c>
      <c r="D2033" s="76" t="s">
        <v>902</v>
      </c>
      <c r="E2033" s="79"/>
      <c r="F2033" s="79"/>
      <c r="G2033" s="76" t="s">
        <v>1851</v>
      </c>
    </row>
    <row r="2034" spans="1:7">
      <c r="A2034" s="77">
        <f t="shared" ca="1" si="153"/>
        <v>45981</v>
      </c>
      <c r="B2034" s="80">
        <f t="shared" ca="1" si="155"/>
        <v>45981.512704976849</v>
      </c>
      <c r="C2034" s="76" t="s">
        <v>1849</v>
      </c>
      <c r="D2034" s="150" t="s">
        <v>1007</v>
      </c>
      <c r="E2034" s="79" t="s">
        <v>1584</v>
      </c>
      <c r="F2034" s="79"/>
      <c r="G2034" s="76" t="s">
        <v>1852</v>
      </c>
    </row>
    <row r="2035" spans="1:7">
      <c r="A2035" s="77">
        <f t="shared" ref="A2035:A2075" ca="1" si="156">IF(C2035&lt;&gt;0,IF(A2035=0,TODAY(),A2035),)</f>
        <v>45981</v>
      </c>
      <c r="B2035" s="80">
        <f t="shared" ref="B2035:B2075" ca="1" si="157">IF(C2035&lt;&gt;0,IF(B2035=0,NOW(),B2035),)</f>
        <v>45981.520341550924</v>
      </c>
      <c r="C2035" s="76" t="s">
        <v>1849</v>
      </c>
      <c r="D2035" s="76" t="s">
        <v>902</v>
      </c>
      <c r="E2035" s="79" t="s">
        <v>1234</v>
      </c>
      <c r="F2035" s="79"/>
    </row>
    <row r="2036" spans="1:7">
      <c r="A2036" s="77">
        <f t="shared" ca="1" si="156"/>
        <v>45981</v>
      </c>
      <c r="B2036" s="80">
        <f t="shared" ca="1" si="157"/>
        <v>45981.520850810186</v>
      </c>
      <c r="C2036" s="76" t="s">
        <v>1849</v>
      </c>
      <c r="D2036" s="76" t="s">
        <v>902</v>
      </c>
      <c r="E2036" s="79" t="s">
        <v>1631</v>
      </c>
      <c r="F2036" s="79"/>
    </row>
    <row r="2037" spans="1:7">
      <c r="A2037" s="77">
        <f t="shared" ca="1" si="156"/>
        <v>45981</v>
      </c>
      <c r="B2037" s="80">
        <f t="shared" ca="1" si="157"/>
        <v>45981.528365972219</v>
      </c>
      <c r="C2037" s="76" t="s">
        <v>1849</v>
      </c>
      <c r="D2037" s="76" t="s">
        <v>902</v>
      </c>
      <c r="E2037" s="79"/>
      <c r="F2037" s="79"/>
      <c r="G2037" s="76" t="s">
        <v>1851</v>
      </c>
    </row>
    <row r="2038" spans="1:7">
      <c r="A2038" s="77">
        <f t="shared" ca="1" si="156"/>
        <v>45981</v>
      </c>
      <c r="B2038" s="80">
        <f t="shared" ca="1" si="157"/>
        <v>45981.534887384259</v>
      </c>
      <c r="C2038" s="76" t="s">
        <v>1849</v>
      </c>
      <c r="D2038" s="150" t="s">
        <v>1007</v>
      </c>
      <c r="E2038" s="79" t="s">
        <v>1853</v>
      </c>
      <c r="F2038" s="79"/>
      <c r="G2038" s="76" t="s">
        <v>1854</v>
      </c>
    </row>
    <row r="2039" spans="1:7">
      <c r="A2039" s="77">
        <f t="shared" ca="1" si="156"/>
        <v>45981</v>
      </c>
      <c r="B2039" s="80">
        <f t="shared" ca="1" si="157"/>
        <v>45981.548765624997</v>
      </c>
      <c r="C2039" s="76" t="s">
        <v>1849</v>
      </c>
      <c r="D2039" s="150" t="s">
        <v>1007</v>
      </c>
      <c r="E2039" s="79" t="s">
        <v>1855</v>
      </c>
      <c r="F2039" s="79"/>
      <c r="G2039" s="76" t="s">
        <v>1856</v>
      </c>
    </row>
    <row r="2040" spans="1:7">
      <c r="A2040" s="77">
        <f t="shared" ca="1" si="156"/>
        <v>45981</v>
      </c>
      <c r="B2040" s="80">
        <f t="shared" ca="1" si="157"/>
        <v>45981.551739467592</v>
      </c>
      <c r="C2040" s="76" t="s">
        <v>1849</v>
      </c>
      <c r="D2040" s="76" t="s">
        <v>902</v>
      </c>
      <c r="E2040" s="79" t="s">
        <v>1305</v>
      </c>
      <c r="F2040" s="79"/>
    </row>
    <row r="2041" spans="1:7">
      <c r="A2041" s="77">
        <f t="shared" ca="1" si="156"/>
        <v>45981</v>
      </c>
      <c r="B2041" s="80">
        <f t="shared" ca="1" si="157"/>
        <v>45981.552253935188</v>
      </c>
      <c r="C2041" s="76" t="s">
        <v>1849</v>
      </c>
      <c r="D2041" s="76" t="s">
        <v>902</v>
      </c>
      <c r="E2041" s="79" t="s">
        <v>1229</v>
      </c>
      <c r="F2041" s="79"/>
    </row>
    <row r="2042" spans="1:7">
      <c r="A2042" s="77">
        <f t="shared" ca="1" si="156"/>
        <v>45981</v>
      </c>
      <c r="B2042" s="80">
        <f t="shared" ca="1" si="157"/>
        <v>45981.560123958334</v>
      </c>
      <c r="C2042" s="76" t="s">
        <v>1849</v>
      </c>
      <c r="D2042" s="76" t="s">
        <v>902</v>
      </c>
      <c r="E2042" s="79" t="s">
        <v>1229</v>
      </c>
      <c r="F2042" s="79"/>
    </row>
    <row r="2043" spans="1:7">
      <c r="A2043" s="77">
        <f t="shared" ca="1" si="156"/>
        <v>45981</v>
      </c>
      <c r="B2043" s="80">
        <f t="shared" ca="1" si="157"/>
        <v>45981.560323958336</v>
      </c>
      <c r="C2043" s="76" t="s">
        <v>1849</v>
      </c>
      <c r="D2043" s="76" t="s">
        <v>902</v>
      </c>
      <c r="E2043" s="79" t="s">
        <v>1148</v>
      </c>
      <c r="F2043" s="79"/>
    </row>
    <row r="2044" spans="1:7">
      <c r="A2044" s="77">
        <f t="shared" ca="1" si="156"/>
        <v>45981</v>
      </c>
      <c r="B2044" s="80">
        <f t="shared" ca="1" si="157"/>
        <v>45981.564539814812</v>
      </c>
      <c r="C2044" s="76" t="s">
        <v>1849</v>
      </c>
      <c r="D2044" s="76" t="s">
        <v>902</v>
      </c>
      <c r="E2044" s="79"/>
      <c r="F2044" s="79"/>
      <c r="G2044" s="76" t="s">
        <v>1583</v>
      </c>
    </row>
    <row r="2045" spans="1:7">
      <c r="A2045" s="77">
        <f t="shared" ca="1" si="156"/>
        <v>45981</v>
      </c>
      <c r="B2045" s="80">
        <f t="shared" ca="1" si="157"/>
        <v>45981.566990856481</v>
      </c>
      <c r="C2045" s="76" t="s">
        <v>1849</v>
      </c>
      <c r="D2045" s="150" t="s">
        <v>1007</v>
      </c>
      <c r="E2045" s="79" t="s">
        <v>1584</v>
      </c>
      <c r="F2045" s="79"/>
      <c r="G2045" s="76" t="s">
        <v>1857</v>
      </c>
    </row>
    <row r="2046" spans="1:7">
      <c r="A2046" s="77">
        <f t="shared" ca="1" si="156"/>
        <v>45981</v>
      </c>
      <c r="B2046" s="80">
        <f t="shared" ca="1" si="157"/>
        <v>45981.575795370372</v>
      </c>
      <c r="C2046" s="76" t="s">
        <v>1849</v>
      </c>
      <c r="D2046" s="76" t="s">
        <v>902</v>
      </c>
      <c r="E2046" s="79" t="s">
        <v>1197</v>
      </c>
      <c r="F2046" s="79"/>
    </row>
    <row r="2047" spans="1:7">
      <c r="A2047" s="77">
        <f t="shared" ca="1" si="156"/>
        <v>45981</v>
      </c>
      <c r="B2047" s="80">
        <f t="shared" ca="1" si="157"/>
        <v>45981.577379861112</v>
      </c>
      <c r="C2047" s="76" t="s">
        <v>1849</v>
      </c>
      <c r="D2047" s="76" t="s">
        <v>902</v>
      </c>
      <c r="E2047" s="79" t="s">
        <v>1234</v>
      </c>
      <c r="F2047" s="79"/>
    </row>
    <row r="2048" spans="1:7">
      <c r="A2048" s="77">
        <f t="shared" ca="1" si="156"/>
        <v>45981</v>
      </c>
      <c r="B2048" s="80">
        <f t="shared" ca="1" si="157"/>
        <v>45981.581330671295</v>
      </c>
      <c r="C2048" s="76" t="s">
        <v>1849</v>
      </c>
      <c r="D2048" s="76" t="s">
        <v>902</v>
      </c>
      <c r="E2048" s="79" t="s">
        <v>1229</v>
      </c>
      <c r="F2048" s="79"/>
    </row>
    <row r="2049" spans="1:7">
      <c r="A2049" s="77">
        <f t="shared" ca="1" si="156"/>
        <v>45981</v>
      </c>
      <c r="B2049" s="80">
        <f t="shared" ca="1" si="157"/>
        <v>45981.581810995369</v>
      </c>
      <c r="C2049" s="76" t="s">
        <v>1849</v>
      </c>
      <c r="D2049" s="76" t="s">
        <v>902</v>
      </c>
      <c r="E2049" s="79" t="s">
        <v>1234</v>
      </c>
      <c r="F2049" s="79"/>
    </row>
    <row r="2050" spans="1:7">
      <c r="A2050" s="77">
        <f t="shared" ca="1" si="156"/>
        <v>45981</v>
      </c>
      <c r="B2050" s="80">
        <f t="shared" ca="1" si="157"/>
        <v>45981.581989236111</v>
      </c>
      <c r="C2050" s="76" t="s">
        <v>1849</v>
      </c>
      <c r="D2050" s="76" t="s">
        <v>902</v>
      </c>
      <c r="E2050" s="79" t="s">
        <v>1181</v>
      </c>
      <c r="F2050" s="79"/>
    </row>
    <row r="2051" spans="1:7">
      <c r="A2051" s="77">
        <f t="shared" ca="1" si="156"/>
        <v>45981</v>
      </c>
      <c r="B2051" s="80">
        <v>0.58472222222222225</v>
      </c>
      <c r="C2051" s="76" t="s">
        <v>1849</v>
      </c>
      <c r="D2051" s="210" t="s">
        <v>922</v>
      </c>
      <c r="E2051" s="79"/>
      <c r="F2051" s="79"/>
      <c r="G2051" s="76" t="s">
        <v>1858</v>
      </c>
    </row>
    <row r="2052" spans="1:7">
      <c r="A2052" s="77">
        <f t="shared" ca="1" si="156"/>
        <v>45981</v>
      </c>
      <c r="B2052" s="80">
        <f t="shared" ca="1" si="157"/>
        <v>45981.964475810186</v>
      </c>
      <c r="C2052" s="76" t="s">
        <v>249</v>
      </c>
      <c r="D2052" s="210" t="s">
        <v>906</v>
      </c>
      <c r="E2052" s="79"/>
      <c r="F2052" s="79"/>
    </row>
    <row r="2053" spans="1:7">
      <c r="A2053" s="77">
        <f t="shared" ca="1" si="156"/>
        <v>45981</v>
      </c>
      <c r="B2053" s="80">
        <f t="shared" ca="1" si="157"/>
        <v>45981.999183564818</v>
      </c>
      <c r="C2053" s="76" t="s">
        <v>249</v>
      </c>
      <c r="D2053" s="76" t="s">
        <v>902</v>
      </c>
      <c r="E2053" s="79" t="s">
        <v>1859</v>
      </c>
      <c r="F2053" s="79"/>
    </row>
    <row r="2054" spans="1:7">
      <c r="A2054" s="77">
        <f t="shared" ca="1" si="156"/>
        <v>45982</v>
      </c>
      <c r="B2054" s="80">
        <f t="shared" ca="1" si="157"/>
        <v>45982.001024884259</v>
      </c>
      <c r="C2054" s="76" t="s">
        <v>249</v>
      </c>
      <c r="D2054" s="210" t="s">
        <v>909</v>
      </c>
      <c r="E2054" s="79"/>
      <c r="F2054" s="79"/>
    </row>
    <row r="2055" spans="1:7">
      <c r="A2055" s="77">
        <f t="shared" ca="1" si="156"/>
        <v>45982</v>
      </c>
      <c r="B2055" s="80">
        <f t="shared" ca="1" si="157"/>
        <v>45982.005949189814</v>
      </c>
      <c r="C2055" s="76" t="s">
        <v>249</v>
      </c>
      <c r="D2055" s="76" t="s">
        <v>902</v>
      </c>
      <c r="E2055" s="79" t="s">
        <v>1860</v>
      </c>
      <c r="F2055" s="79"/>
    </row>
    <row r="2056" spans="1:7">
      <c r="A2056" s="77">
        <f t="shared" ca="1" si="156"/>
        <v>45982</v>
      </c>
      <c r="B2056" s="80">
        <f t="shared" ca="1" si="157"/>
        <v>45982.014768287037</v>
      </c>
      <c r="C2056" s="76" t="s">
        <v>249</v>
      </c>
      <c r="D2056" s="76" t="s">
        <v>902</v>
      </c>
      <c r="E2056" s="79" t="s">
        <v>1861</v>
      </c>
      <c r="F2056" s="79"/>
    </row>
    <row r="2057" spans="1:7">
      <c r="A2057" s="77">
        <f t="shared" ca="1" si="156"/>
        <v>45982</v>
      </c>
      <c r="B2057" s="80">
        <f t="shared" ca="1" si="157"/>
        <v>45982.016433912038</v>
      </c>
      <c r="C2057" s="76" t="s">
        <v>249</v>
      </c>
      <c r="D2057" s="76" t="s">
        <v>902</v>
      </c>
      <c r="E2057" s="79" t="s">
        <v>1063</v>
      </c>
      <c r="F2057" s="79"/>
    </row>
    <row r="2058" spans="1:7">
      <c r="A2058" s="77">
        <f t="shared" ca="1" si="156"/>
        <v>45982</v>
      </c>
      <c r="B2058" s="80">
        <f t="shared" ca="1" si="157"/>
        <v>45982.018843287035</v>
      </c>
      <c r="C2058" s="76" t="s">
        <v>249</v>
      </c>
      <c r="D2058" s="76" t="s">
        <v>902</v>
      </c>
      <c r="E2058" s="79" t="s">
        <v>1751</v>
      </c>
      <c r="F2058" s="79"/>
    </row>
    <row r="2059" spans="1:7">
      <c r="A2059" s="77">
        <f t="shared" ca="1" si="156"/>
        <v>45982</v>
      </c>
      <c r="B2059" s="80">
        <f t="shared" ca="1" si="157"/>
        <v>45982.030788194446</v>
      </c>
      <c r="C2059" s="76" t="s">
        <v>249</v>
      </c>
      <c r="D2059" s="76" t="s">
        <v>902</v>
      </c>
      <c r="E2059" s="79" t="s">
        <v>1583</v>
      </c>
      <c r="F2059" s="79"/>
    </row>
    <row r="2060" spans="1:7">
      <c r="A2060" s="77">
        <f t="shared" ca="1" si="156"/>
        <v>45982</v>
      </c>
      <c r="B2060" s="80">
        <f t="shared" ca="1" si="157"/>
        <v>45982.03145613426</v>
      </c>
      <c r="C2060" s="76" t="s">
        <v>249</v>
      </c>
      <c r="D2060" s="150" t="s">
        <v>1007</v>
      </c>
      <c r="E2060" s="79" t="s">
        <v>1862</v>
      </c>
      <c r="F2060" s="79"/>
      <c r="G2060" s="76" t="s">
        <v>1863</v>
      </c>
    </row>
    <row r="2061" spans="1:7">
      <c r="A2061" s="77">
        <f t="shared" ca="1" si="156"/>
        <v>45982</v>
      </c>
      <c r="B2061" s="80">
        <f t="shared" ca="1" si="157"/>
        <v>45982.051659606484</v>
      </c>
      <c r="C2061" s="76" t="s">
        <v>249</v>
      </c>
      <c r="D2061" s="76" t="s">
        <v>902</v>
      </c>
      <c r="E2061" s="79" t="s">
        <v>1751</v>
      </c>
      <c r="F2061" s="79"/>
    </row>
    <row r="2062" spans="1:7">
      <c r="A2062" s="77">
        <f t="shared" ca="1" si="156"/>
        <v>45982</v>
      </c>
      <c r="B2062" s="80">
        <f t="shared" ca="1" si="157"/>
        <v>45982.062560648148</v>
      </c>
      <c r="C2062" s="76" t="s">
        <v>249</v>
      </c>
      <c r="D2062" s="76" t="s">
        <v>902</v>
      </c>
      <c r="E2062" s="79" t="s">
        <v>1515</v>
      </c>
      <c r="F2062" s="79"/>
    </row>
    <row r="2063" spans="1:7">
      <c r="A2063" s="77">
        <f t="shared" ca="1" si="156"/>
        <v>45982</v>
      </c>
      <c r="B2063" s="80">
        <f t="shared" ca="1" si="157"/>
        <v>45982.069117013889</v>
      </c>
      <c r="C2063" s="76" t="s">
        <v>249</v>
      </c>
      <c r="D2063" s="76" t="s">
        <v>902</v>
      </c>
      <c r="E2063" s="79" t="s">
        <v>1864</v>
      </c>
      <c r="F2063" s="79"/>
    </row>
    <row r="2064" spans="1:7">
      <c r="A2064" s="77">
        <f t="shared" ca="1" si="156"/>
        <v>45982</v>
      </c>
      <c r="B2064" s="80">
        <f t="shared" ca="1" si="157"/>
        <v>45982.079304629631</v>
      </c>
      <c r="C2064" s="76" t="s">
        <v>249</v>
      </c>
      <c r="D2064" s="76" t="s">
        <v>902</v>
      </c>
      <c r="E2064" s="79" t="s">
        <v>1865</v>
      </c>
      <c r="F2064" s="79"/>
    </row>
    <row r="2065" spans="1:7">
      <c r="A2065" s="77">
        <f t="shared" ca="1" si="156"/>
        <v>45982</v>
      </c>
      <c r="B2065" s="80">
        <f t="shared" ca="1" si="157"/>
        <v>45982.085474768515</v>
      </c>
      <c r="C2065" s="76" t="s">
        <v>249</v>
      </c>
      <c r="D2065" s="210" t="s">
        <v>922</v>
      </c>
      <c r="E2065" s="79" t="s">
        <v>1866</v>
      </c>
      <c r="F2065" s="79"/>
      <c r="G2065" s="76" t="s">
        <v>1867</v>
      </c>
    </row>
    <row r="2066" spans="1:7">
      <c r="A2066" s="77">
        <f t="shared" ca="1" si="156"/>
        <v>45982</v>
      </c>
      <c r="B2066" s="80">
        <f t="shared" ca="1" si="157"/>
        <v>45982.117522222223</v>
      </c>
      <c r="C2066" s="76" t="s">
        <v>249</v>
      </c>
      <c r="D2066" s="210" t="s">
        <v>1098</v>
      </c>
      <c r="E2066" s="79"/>
      <c r="F2066" s="79"/>
    </row>
    <row r="2067" spans="1:7">
      <c r="A2067" s="77">
        <f t="shared" ca="1" si="156"/>
        <v>45982</v>
      </c>
      <c r="B2067" s="80">
        <f t="shared" ca="1" si="157"/>
        <v>45982.152359027779</v>
      </c>
      <c r="C2067" s="76" t="s">
        <v>336</v>
      </c>
      <c r="D2067" s="210" t="s">
        <v>906</v>
      </c>
      <c r="E2067" s="79"/>
      <c r="F2067" s="79"/>
    </row>
    <row r="2068" spans="1:7">
      <c r="A2068" s="77">
        <f t="shared" ca="1" si="156"/>
        <v>45982</v>
      </c>
      <c r="B2068" s="80">
        <f t="shared" ca="1" si="157"/>
        <v>45982.182332870369</v>
      </c>
      <c r="C2068" s="76" t="s">
        <v>336</v>
      </c>
      <c r="D2068" s="210" t="s">
        <v>909</v>
      </c>
      <c r="E2068" s="79"/>
      <c r="F2068" s="79"/>
    </row>
    <row r="2069" spans="1:7">
      <c r="A2069" s="77">
        <f t="shared" ca="1" si="156"/>
        <v>45982</v>
      </c>
      <c r="B2069" s="80">
        <f t="shared" ca="1" si="157"/>
        <v>45982.186581712966</v>
      </c>
      <c r="C2069" s="76" t="s">
        <v>336</v>
      </c>
      <c r="D2069" s="76" t="s">
        <v>902</v>
      </c>
      <c r="E2069" s="79" t="s">
        <v>1063</v>
      </c>
      <c r="F2069" s="79"/>
    </row>
    <row r="2070" spans="1:7">
      <c r="A2070" s="77">
        <f t="shared" ca="1" si="156"/>
        <v>45982</v>
      </c>
      <c r="B2070" s="80">
        <f t="shared" ca="1" si="157"/>
        <v>45982.188174768518</v>
      </c>
      <c r="C2070" s="76" t="s">
        <v>336</v>
      </c>
      <c r="D2070" s="76" t="s">
        <v>902</v>
      </c>
      <c r="E2070" s="79" t="s">
        <v>1063</v>
      </c>
      <c r="F2070" s="79"/>
    </row>
    <row r="2071" spans="1:7">
      <c r="A2071" s="77">
        <f t="shared" ca="1" si="156"/>
        <v>45982</v>
      </c>
      <c r="B2071" s="80">
        <f t="shared" ca="1" si="157"/>
        <v>45982.189975000001</v>
      </c>
      <c r="C2071" s="76" t="s">
        <v>336</v>
      </c>
      <c r="D2071" s="76" t="s">
        <v>902</v>
      </c>
      <c r="E2071" s="79" t="s">
        <v>1868</v>
      </c>
      <c r="F2071" s="79"/>
    </row>
    <row r="2072" spans="1:7">
      <c r="A2072" s="77">
        <f t="shared" ca="1" si="156"/>
        <v>45982</v>
      </c>
      <c r="B2072" s="80">
        <f t="shared" ca="1" si="157"/>
        <v>45982.190929166667</v>
      </c>
      <c r="C2072" s="76" t="s">
        <v>336</v>
      </c>
      <c r="D2072" s="76" t="s">
        <v>902</v>
      </c>
      <c r="E2072" s="79" t="s">
        <v>1504</v>
      </c>
      <c r="F2072" s="79"/>
    </row>
    <row r="2073" spans="1:7">
      <c r="A2073" s="77">
        <f t="shared" ca="1" si="156"/>
        <v>45982</v>
      </c>
      <c r="B2073" s="80">
        <f t="shared" ca="1" si="157"/>
        <v>45982.197033564815</v>
      </c>
      <c r="C2073" s="76" t="s">
        <v>336</v>
      </c>
      <c r="D2073" s="76" t="s">
        <v>902</v>
      </c>
      <c r="E2073" s="79" t="s">
        <v>1869</v>
      </c>
      <c r="F2073" s="79"/>
      <c r="G2073" s="76" t="s">
        <v>1870</v>
      </c>
    </row>
    <row r="2074" spans="1:7">
      <c r="A2074" s="77">
        <f t="shared" ca="1" si="156"/>
        <v>45982</v>
      </c>
      <c r="B2074" s="80">
        <f t="shared" ca="1" si="157"/>
        <v>45982.198139236112</v>
      </c>
      <c r="C2074" s="76" t="s">
        <v>336</v>
      </c>
      <c r="D2074" s="76" t="s">
        <v>902</v>
      </c>
      <c r="E2074" s="79" t="s">
        <v>1869</v>
      </c>
      <c r="F2074" s="79"/>
      <c r="G2074" s="76" t="s">
        <v>1870</v>
      </c>
    </row>
    <row r="2075" spans="1:7">
      <c r="A2075" s="77">
        <f t="shared" ca="1" si="156"/>
        <v>45982</v>
      </c>
      <c r="B2075" s="80">
        <f t="shared" ca="1" si="157"/>
        <v>45982.203451504633</v>
      </c>
      <c r="C2075" s="76" t="s">
        <v>336</v>
      </c>
      <c r="D2075" s="76" t="s">
        <v>902</v>
      </c>
      <c r="E2075" s="79" t="s">
        <v>1505</v>
      </c>
      <c r="F2075" s="79"/>
    </row>
    <row r="2076" spans="1:7">
      <c r="A2076" s="77">
        <f t="shared" ref="A2076:A2110" ca="1" si="158">IF(C2076&lt;&gt;0,IF(A2076=0,TODAY(),A2076),)</f>
        <v>45982</v>
      </c>
      <c r="B2076" s="80">
        <f t="shared" ref="B2076:B2110" ca="1" si="159">IF(C2076&lt;&gt;0,IF(B2076=0,NOW(),B2076),)</f>
        <v>45982.204970833336</v>
      </c>
      <c r="C2076" s="76" t="s">
        <v>336</v>
      </c>
      <c r="D2076" s="76" t="s">
        <v>902</v>
      </c>
      <c r="E2076" s="79" t="s">
        <v>1869</v>
      </c>
      <c r="F2076" s="79"/>
    </row>
    <row r="2077" spans="1:7">
      <c r="A2077" s="77">
        <f t="shared" ca="1" si="158"/>
        <v>45982</v>
      </c>
      <c r="B2077" s="80">
        <f t="shared" ca="1" si="159"/>
        <v>45982.212510532408</v>
      </c>
      <c r="C2077" s="76" t="s">
        <v>336</v>
      </c>
      <c r="D2077" s="76" t="s">
        <v>902</v>
      </c>
      <c r="E2077" s="79" t="s">
        <v>1751</v>
      </c>
      <c r="F2077" s="79"/>
    </row>
    <row r="2078" spans="1:7">
      <c r="A2078" s="77">
        <f t="shared" ca="1" si="158"/>
        <v>45982</v>
      </c>
      <c r="B2078" s="80">
        <f t="shared" ca="1" si="159"/>
        <v>45982.214656597222</v>
      </c>
      <c r="C2078" s="76" t="s">
        <v>336</v>
      </c>
      <c r="D2078" s="76" t="s">
        <v>902</v>
      </c>
      <c r="E2078" s="79" t="s">
        <v>1871</v>
      </c>
      <c r="F2078" s="79"/>
    </row>
    <row r="2079" spans="1:7">
      <c r="A2079" s="77">
        <f t="shared" ca="1" si="158"/>
        <v>45982</v>
      </c>
      <c r="B2079" s="80">
        <f t="shared" ca="1" si="159"/>
        <v>45982.233292476849</v>
      </c>
      <c r="C2079" s="76" t="s">
        <v>336</v>
      </c>
      <c r="D2079" s="76" t="s">
        <v>1872</v>
      </c>
      <c r="E2079" s="79" t="s">
        <v>1555</v>
      </c>
      <c r="F2079" s="79"/>
    </row>
    <row r="2080" spans="1:7">
      <c r="A2080" s="77">
        <f t="shared" ca="1" si="158"/>
        <v>45982</v>
      </c>
      <c r="B2080" s="80">
        <f t="shared" ca="1" si="159"/>
        <v>45982.236118287037</v>
      </c>
      <c r="C2080" s="76" t="s">
        <v>336</v>
      </c>
      <c r="D2080" s="150" t="s">
        <v>1007</v>
      </c>
      <c r="E2080" s="79" t="s">
        <v>1873</v>
      </c>
      <c r="F2080" s="79"/>
    </row>
    <row r="2081" spans="1:7">
      <c r="A2081" s="77">
        <f t="shared" ca="1" si="158"/>
        <v>45982</v>
      </c>
      <c r="B2081" s="80">
        <f t="shared" ca="1" si="159"/>
        <v>45982.236135069441</v>
      </c>
      <c r="C2081" s="76" t="s">
        <v>336</v>
      </c>
      <c r="D2081" s="76" t="s">
        <v>1872</v>
      </c>
      <c r="E2081" s="79" t="s">
        <v>1874</v>
      </c>
      <c r="F2081" s="79"/>
      <c r="G2081" s="76" t="s">
        <v>1875</v>
      </c>
    </row>
    <row r="2082" spans="1:7">
      <c r="A2082" s="77">
        <f t="shared" ca="1" si="158"/>
        <v>45982</v>
      </c>
      <c r="B2082" s="80">
        <f t="shared" ca="1" si="159"/>
        <v>45982.243514236114</v>
      </c>
      <c r="C2082" s="76" t="s">
        <v>336</v>
      </c>
      <c r="D2082" s="76" t="s">
        <v>1872</v>
      </c>
      <c r="E2082" s="79" t="s">
        <v>1876</v>
      </c>
      <c r="F2082" s="79"/>
    </row>
    <row r="2083" spans="1:7">
      <c r="A2083" s="77">
        <f t="shared" ca="1" si="158"/>
        <v>45982</v>
      </c>
      <c r="B2083" s="80">
        <f t="shared" ca="1" si="159"/>
        <v>45982.246134259258</v>
      </c>
      <c r="C2083" s="76" t="s">
        <v>336</v>
      </c>
      <c r="D2083" s="76" t="s">
        <v>1872</v>
      </c>
      <c r="E2083" s="76" t="s">
        <v>1875</v>
      </c>
      <c r="F2083" s="79"/>
    </row>
    <row r="2084" spans="1:7">
      <c r="A2084" s="77">
        <f t="shared" ca="1" si="158"/>
        <v>45982</v>
      </c>
      <c r="B2084" s="80">
        <f t="shared" ca="1" si="159"/>
        <v>45982.250688425927</v>
      </c>
      <c r="C2084" s="76" t="s">
        <v>336</v>
      </c>
      <c r="D2084" s="76" t="s">
        <v>1872</v>
      </c>
      <c r="E2084" s="79" t="s">
        <v>1357</v>
      </c>
      <c r="F2084" s="79"/>
    </row>
    <row r="2085" spans="1:7">
      <c r="A2085" s="77">
        <f t="shared" ca="1" si="158"/>
        <v>45982</v>
      </c>
      <c r="B2085" s="80">
        <f t="shared" ca="1" si="159"/>
        <v>45982.253497916667</v>
      </c>
      <c r="C2085" s="76" t="s">
        <v>336</v>
      </c>
      <c r="D2085" s="76" t="s">
        <v>1872</v>
      </c>
      <c r="E2085" s="79" t="s">
        <v>1874</v>
      </c>
      <c r="F2085" s="79"/>
      <c r="G2085" s="76" t="s">
        <v>1875</v>
      </c>
    </row>
    <row r="2086" spans="1:7">
      <c r="A2086" s="77">
        <f t="shared" ca="1" si="158"/>
        <v>45982</v>
      </c>
      <c r="B2086" s="80">
        <f t="shared" ca="1" si="159"/>
        <v>45982.253497916667</v>
      </c>
      <c r="C2086" s="76" t="s">
        <v>336</v>
      </c>
      <c r="D2086" s="76" t="s">
        <v>1872</v>
      </c>
      <c r="E2086" s="79" t="s">
        <v>1877</v>
      </c>
      <c r="F2086" s="79"/>
    </row>
    <row r="2087" spans="1:7">
      <c r="A2087" s="77">
        <f t="shared" ca="1" si="158"/>
        <v>45982</v>
      </c>
      <c r="B2087" s="80">
        <f t="shared" ca="1" si="159"/>
        <v>45982.271504282406</v>
      </c>
      <c r="C2087" s="76" t="s">
        <v>336</v>
      </c>
      <c r="D2087" s="76" t="s">
        <v>902</v>
      </c>
      <c r="E2087" s="79" t="s">
        <v>1877</v>
      </c>
      <c r="F2087" s="79"/>
      <c r="G2087" s="76" t="s">
        <v>1878</v>
      </c>
    </row>
    <row r="2088" spans="1:7">
      <c r="A2088" s="77">
        <f t="shared" ca="1" si="158"/>
        <v>45982</v>
      </c>
      <c r="B2088" s="80">
        <f t="shared" ca="1" si="159"/>
        <v>45982.273594675928</v>
      </c>
      <c r="C2088" s="76" t="s">
        <v>336</v>
      </c>
      <c r="D2088" s="76" t="s">
        <v>902</v>
      </c>
      <c r="E2088" s="79" t="s">
        <v>1879</v>
      </c>
      <c r="F2088" s="79"/>
    </row>
    <row r="2089" spans="1:7">
      <c r="A2089" s="77">
        <f t="shared" ca="1" si="158"/>
        <v>45982</v>
      </c>
      <c r="B2089" s="80">
        <f t="shared" ca="1" si="159"/>
        <v>45982.276209374999</v>
      </c>
      <c r="C2089" s="76" t="s">
        <v>336</v>
      </c>
      <c r="D2089" s="76" t="s">
        <v>902</v>
      </c>
      <c r="E2089" s="79"/>
      <c r="F2089" s="79"/>
      <c r="G2089" s="76" t="s">
        <v>1880</v>
      </c>
    </row>
    <row r="2090" spans="1:7">
      <c r="A2090" s="77">
        <f t="shared" ca="1" si="158"/>
        <v>45982</v>
      </c>
      <c r="B2090" s="80">
        <f t="shared" ca="1" si="159"/>
        <v>45982.282931365742</v>
      </c>
      <c r="C2090" s="76" t="s">
        <v>336</v>
      </c>
      <c r="D2090" s="76" t="s">
        <v>902</v>
      </c>
      <c r="E2090" s="79"/>
      <c r="F2090" s="79"/>
      <c r="G2090" s="76" t="s">
        <v>1881</v>
      </c>
    </row>
    <row r="2091" spans="1:7">
      <c r="A2091" s="77">
        <f t="shared" ca="1" si="158"/>
        <v>45982</v>
      </c>
      <c r="B2091" s="80">
        <f t="shared" ca="1" si="159"/>
        <v>45982.288945370368</v>
      </c>
      <c r="C2091" s="76" t="s">
        <v>336</v>
      </c>
      <c r="D2091" s="150" t="s">
        <v>1007</v>
      </c>
      <c r="E2091" s="79" t="s">
        <v>1882</v>
      </c>
      <c r="F2091" s="79"/>
      <c r="G2091" s="76" t="s">
        <v>1883</v>
      </c>
    </row>
    <row r="2092" spans="1:7">
      <c r="A2092" s="77">
        <f t="shared" ca="1" si="158"/>
        <v>45982</v>
      </c>
      <c r="B2092" s="80">
        <f t="shared" ca="1" si="159"/>
        <v>45982.296425462962</v>
      </c>
      <c r="C2092" s="76" t="s">
        <v>336</v>
      </c>
      <c r="D2092" s="76" t="s">
        <v>902</v>
      </c>
      <c r="E2092" s="79" t="s">
        <v>1879</v>
      </c>
      <c r="F2092" s="79"/>
    </row>
    <row r="2093" spans="1:7">
      <c r="A2093" s="77">
        <f t="shared" ca="1" si="158"/>
        <v>45982</v>
      </c>
      <c r="B2093" s="80">
        <f t="shared" ca="1" si="159"/>
        <v>45982.298998032406</v>
      </c>
      <c r="C2093" s="76" t="s">
        <v>336</v>
      </c>
      <c r="D2093" s="76" t="s">
        <v>902</v>
      </c>
      <c r="E2093" s="79" t="s">
        <v>1876</v>
      </c>
      <c r="F2093" s="79"/>
    </row>
    <row r="2094" spans="1:7">
      <c r="A2094" s="77">
        <f t="shared" ca="1" si="158"/>
        <v>45982</v>
      </c>
      <c r="B2094" s="80">
        <f t="shared" ca="1" si="159"/>
        <v>45982.300531597219</v>
      </c>
      <c r="C2094" s="76" t="s">
        <v>336</v>
      </c>
      <c r="D2094" s="76" t="s">
        <v>902</v>
      </c>
      <c r="E2094" s="79" t="s">
        <v>1884</v>
      </c>
      <c r="F2094" s="79"/>
    </row>
    <row r="2095" spans="1:7">
      <c r="A2095" s="77">
        <f t="shared" ca="1" si="158"/>
        <v>45982</v>
      </c>
      <c r="B2095" s="80">
        <f t="shared" ca="1" si="159"/>
        <v>45982.314394328707</v>
      </c>
      <c r="C2095" s="76" t="s">
        <v>336</v>
      </c>
      <c r="D2095" s="76" t="s">
        <v>902</v>
      </c>
      <c r="E2095" s="79" t="s">
        <v>1885</v>
      </c>
      <c r="F2095" s="79"/>
    </row>
    <row r="2096" spans="1:7">
      <c r="A2096" s="77">
        <f t="shared" ca="1" si="158"/>
        <v>45982</v>
      </c>
      <c r="B2096" s="80">
        <f t="shared" ca="1" si="159"/>
        <v>45982.316536458333</v>
      </c>
      <c r="C2096" s="76" t="s">
        <v>336</v>
      </c>
      <c r="D2096" s="150" t="s">
        <v>1007</v>
      </c>
      <c r="E2096" s="79" t="s">
        <v>1886</v>
      </c>
      <c r="F2096" s="79"/>
    </row>
    <row r="2097" spans="1:7">
      <c r="A2097" s="77">
        <f t="shared" ca="1" si="158"/>
        <v>45982</v>
      </c>
      <c r="B2097" s="80">
        <f t="shared" ca="1" si="159"/>
        <v>45982.324925925925</v>
      </c>
      <c r="C2097" s="76" t="s">
        <v>336</v>
      </c>
      <c r="D2097" s="210" t="s">
        <v>922</v>
      </c>
      <c r="E2097" s="79"/>
      <c r="F2097" s="79"/>
      <c r="G2097" s="76" t="s">
        <v>1887</v>
      </c>
    </row>
    <row r="2098" spans="1:7">
      <c r="A2098" s="77">
        <f t="shared" ca="1" si="158"/>
        <v>45982</v>
      </c>
      <c r="B2098" s="80">
        <f t="shared" ca="1" si="159"/>
        <v>45982.397746875002</v>
      </c>
      <c r="C2098" s="76" t="s">
        <v>339</v>
      </c>
      <c r="D2098" s="210" t="s">
        <v>906</v>
      </c>
      <c r="E2098" s="79"/>
      <c r="F2098" s="79"/>
      <c r="G2098" s="76" t="s">
        <v>1888</v>
      </c>
    </row>
    <row r="2099" spans="1:7">
      <c r="A2099" s="77">
        <f t="shared" ca="1" si="158"/>
        <v>45982</v>
      </c>
      <c r="B2099" s="80">
        <f t="shared" ca="1" si="159"/>
        <v>45982.419512731482</v>
      </c>
      <c r="C2099" s="76" t="s">
        <v>339</v>
      </c>
      <c r="D2099" s="210" t="s">
        <v>909</v>
      </c>
      <c r="E2099" s="79"/>
      <c r="F2099" s="79"/>
    </row>
    <row r="2100" spans="1:7">
      <c r="A2100" s="77">
        <f t="shared" ca="1" si="158"/>
        <v>45982</v>
      </c>
      <c r="B2100" s="80">
        <f t="shared" ca="1" si="159"/>
        <v>45982.424883796295</v>
      </c>
      <c r="C2100" s="76" t="s">
        <v>339</v>
      </c>
      <c r="D2100" s="76" t="s">
        <v>902</v>
      </c>
      <c r="E2100" s="79"/>
      <c r="F2100" s="79"/>
      <c r="G2100" s="76" t="s">
        <v>1889</v>
      </c>
    </row>
    <row r="2101" spans="1:7">
      <c r="A2101" s="77">
        <f t="shared" ca="1" si="158"/>
        <v>45982</v>
      </c>
      <c r="B2101" s="80">
        <f t="shared" ca="1" si="159"/>
        <v>45982.42998414352</v>
      </c>
      <c r="C2101" s="76" t="s">
        <v>339</v>
      </c>
      <c r="D2101" s="76" t="s">
        <v>902</v>
      </c>
      <c r="E2101" s="79" t="s">
        <v>1890</v>
      </c>
      <c r="F2101" s="79"/>
    </row>
    <row r="2102" spans="1:7">
      <c r="A2102" s="77">
        <f t="shared" ca="1" si="158"/>
        <v>45982</v>
      </c>
      <c r="B2102" s="80">
        <f t="shared" ca="1" si="159"/>
        <v>45982.432130324072</v>
      </c>
      <c r="C2102" s="76" t="s">
        <v>339</v>
      </c>
      <c r="D2102" s="76" t="s">
        <v>902</v>
      </c>
      <c r="E2102" s="79" t="s">
        <v>996</v>
      </c>
      <c r="F2102" s="79"/>
    </row>
    <row r="2103" spans="1:7">
      <c r="A2103" s="77">
        <f t="shared" ca="1" si="158"/>
        <v>45982</v>
      </c>
      <c r="B2103" s="80">
        <f t="shared" ca="1" si="159"/>
        <v>45982.440486574073</v>
      </c>
      <c r="C2103" s="76" t="s">
        <v>339</v>
      </c>
      <c r="D2103" s="76" t="s">
        <v>902</v>
      </c>
      <c r="E2103" s="79" t="s">
        <v>1890</v>
      </c>
      <c r="F2103" s="79"/>
    </row>
    <row r="2104" spans="1:7">
      <c r="A2104" s="77">
        <f t="shared" ca="1" si="158"/>
        <v>45982</v>
      </c>
      <c r="B2104" s="80">
        <f t="shared" ca="1" si="159"/>
        <v>45982.442414699071</v>
      </c>
      <c r="C2104" s="76" t="s">
        <v>339</v>
      </c>
      <c r="D2104" s="76" t="s">
        <v>902</v>
      </c>
      <c r="E2104" s="79" t="s">
        <v>1890</v>
      </c>
      <c r="F2104" s="79"/>
    </row>
    <row r="2105" spans="1:7">
      <c r="A2105" s="77">
        <f t="shared" ca="1" si="158"/>
        <v>45982</v>
      </c>
      <c r="B2105" s="80">
        <f t="shared" ca="1" si="159"/>
        <v>45982.445850115742</v>
      </c>
      <c r="C2105" s="76" t="s">
        <v>339</v>
      </c>
      <c r="D2105" s="76" t="s">
        <v>902</v>
      </c>
      <c r="E2105" s="79" t="s">
        <v>996</v>
      </c>
      <c r="F2105" s="79"/>
    </row>
    <row r="2106" spans="1:7">
      <c r="A2106" s="77">
        <f t="shared" ca="1" si="158"/>
        <v>45982</v>
      </c>
      <c r="B2106" s="80">
        <f t="shared" ca="1" si="159"/>
        <v>45982.451306481482</v>
      </c>
      <c r="C2106" s="76" t="s">
        <v>339</v>
      </c>
      <c r="D2106" s="150" t="s">
        <v>1007</v>
      </c>
      <c r="E2106" s="79" t="s">
        <v>1891</v>
      </c>
      <c r="F2106" s="79"/>
    </row>
    <row r="2107" spans="1:7">
      <c r="A2107" s="77">
        <f t="shared" ca="1" si="158"/>
        <v>45982</v>
      </c>
      <c r="B2107" s="80">
        <f t="shared" ca="1" si="159"/>
        <v>45982.468112731483</v>
      </c>
      <c r="C2107" s="76" t="s">
        <v>339</v>
      </c>
      <c r="D2107" s="76" t="s">
        <v>902</v>
      </c>
      <c r="E2107" s="79" t="s">
        <v>1063</v>
      </c>
      <c r="F2107" s="79"/>
    </row>
    <row r="2108" spans="1:7">
      <c r="A2108" s="77">
        <f t="shared" ca="1" si="158"/>
        <v>45982</v>
      </c>
      <c r="B2108" s="80">
        <f t="shared" ca="1" si="159"/>
        <v>45982.470535416665</v>
      </c>
      <c r="C2108" s="76" t="s">
        <v>339</v>
      </c>
      <c r="D2108" s="76" t="s">
        <v>902</v>
      </c>
      <c r="E2108" s="79" t="s">
        <v>996</v>
      </c>
      <c r="F2108" s="79"/>
    </row>
    <row r="2109" spans="1:7">
      <c r="A2109" s="77">
        <f t="shared" ca="1" si="158"/>
        <v>45982</v>
      </c>
      <c r="B2109" s="80">
        <f t="shared" ca="1" si="159"/>
        <v>45982.472828703707</v>
      </c>
      <c r="C2109" s="76" t="s">
        <v>339</v>
      </c>
      <c r="D2109" s="76" t="s">
        <v>902</v>
      </c>
      <c r="E2109" s="79" t="s">
        <v>1504</v>
      </c>
      <c r="F2109" s="79"/>
    </row>
    <row r="2110" spans="1:7">
      <c r="A2110" s="77">
        <f t="shared" ca="1" si="158"/>
        <v>45982</v>
      </c>
      <c r="B2110" s="80">
        <f t="shared" ca="1" si="159"/>
        <v>45982.474913194441</v>
      </c>
      <c r="C2110" s="76" t="s">
        <v>339</v>
      </c>
      <c r="D2110" s="76" t="s">
        <v>902</v>
      </c>
      <c r="E2110" s="79" t="s">
        <v>1063</v>
      </c>
      <c r="F2110" s="79"/>
    </row>
    <row r="2111" spans="1:7">
      <c r="A2111" s="77">
        <f t="shared" ref="A2111:A2120" ca="1" si="160">IF(C2111&lt;&gt;0,IF(A2111=0,TODAY(),A2111),)</f>
        <v>45982</v>
      </c>
      <c r="B2111" s="80">
        <f t="shared" ref="B2111:B2120" ca="1" si="161">IF(C2111&lt;&gt;0,IF(B2111=0,NOW(),B2111),)</f>
        <v>45982.48246215278</v>
      </c>
      <c r="C2111" s="76" t="s">
        <v>339</v>
      </c>
      <c r="D2111" s="76" t="s">
        <v>902</v>
      </c>
      <c r="E2111" s="79" t="s">
        <v>1063</v>
      </c>
      <c r="F2111" s="79"/>
    </row>
    <row r="2112" spans="1:7">
      <c r="A2112" s="77">
        <f t="shared" ca="1" si="160"/>
        <v>45982</v>
      </c>
      <c r="B2112" s="80">
        <f t="shared" ca="1" si="161"/>
        <v>45982.494345370367</v>
      </c>
      <c r="C2112" s="76" t="s">
        <v>339</v>
      </c>
      <c r="D2112" s="76" t="s">
        <v>902</v>
      </c>
      <c r="E2112" s="79" t="s">
        <v>1504</v>
      </c>
      <c r="F2112" s="79"/>
    </row>
    <row r="2113" spans="1:7">
      <c r="A2113" s="77">
        <f t="shared" ca="1" si="160"/>
        <v>45982</v>
      </c>
      <c r="B2113" s="80">
        <f t="shared" ca="1" si="161"/>
        <v>45982.499042129632</v>
      </c>
      <c r="C2113" s="76" t="s">
        <v>339</v>
      </c>
      <c r="D2113" s="76" t="s">
        <v>902</v>
      </c>
      <c r="E2113" s="79" t="s">
        <v>1063</v>
      </c>
      <c r="F2113" s="79"/>
    </row>
    <row r="2114" spans="1:7">
      <c r="A2114" s="77">
        <f t="shared" ca="1" si="160"/>
        <v>45982</v>
      </c>
      <c r="B2114" s="80">
        <f t="shared" ca="1" si="161"/>
        <v>45982.505651388892</v>
      </c>
      <c r="C2114" s="76" t="s">
        <v>339</v>
      </c>
      <c r="D2114" s="76" t="s">
        <v>902</v>
      </c>
      <c r="E2114" s="79" t="s">
        <v>1063</v>
      </c>
      <c r="F2114" s="79"/>
    </row>
    <row r="2115" spans="1:7">
      <c r="A2115" s="77">
        <f t="shared" ca="1" si="160"/>
        <v>45982</v>
      </c>
      <c r="B2115" s="80">
        <f t="shared" ca="1" si="161"/>
        <v>45982.510923379632</v>
      </c>
      <c r="C2115" s="76" t="s">
        <v>339</v>
      </c>
      <c r="D2115" s="76" t="s">
        <v>902</v>
      </c>
      <c r="E2115" s="79" t="s">
        <v>996</v>
      </c>
      <c r="F2115" s="79"/>
    </row>
    <row r="2116" spans="1:7">
      <c r="A2116" s="77">
        <f t="shared" ca="1" si="160"/>
        <v>45982</v>
      </c>
      <c r="B2116" s="80">
        <f t="shared" ca="1" si="161"/>
        <v>45982.512551967593</v>
      </c>
      <c r="C2116" s="76" t="s">
        <v>339</v>
      </c>
      <c r="D2116" s="76" t="s">
        <v>902</v>
      </c>
      <c r="E2116" s="79" t="s">
        <v>1063</v>
      </c>
      <c r="F2116" s="79"/>
    </row>
    <row r="2117" spans="1:7">
      <c r="A2117" s="77">
        <f t="shared" ca="1" si="160"/>
        <v>45982</v>
      </c>
      <c r="B2117" s="80">
        <f t="shared" ca="1" si="161"/>
        <v>45982.517804976851</v>
      </c>
      <c r="C2117" s="76" t="s">
        <v>339</v>
      </c>
      <c r="D2117" s="76" t="s">
        <v>902</v>
      </c>
      <c r="E2117" s="79" t="s">
        <v>1504</v>
      </c>
      <c r="F2117" s="79"/>
    </row>
    <row r="2118" spans="1:7">
      <c r="A2118" s="77">
        <f t="shared" ca="1" si="160"/>
        <v>45982</v>
      </c>
      <c r="B2118" s="80">
        <f t="shared" ca="1" si="161"/>
        <v>45982.519006481481</v>
      </c>
      <c r="C2118" s="76" t="s">
        <v>339</v>
      </c>
      <c r="D2118" s="150" t="s">
        <v>1070</v>
      </c>
      <c r="E2118" s="79"/>
      <c r="F2118" s="79"/>
    </row>
    <row r="2119" spans="1:7">
      <c r="A2119" s="77">
        <f t="shared" ca="1" si="160"/>
        <v>45982</v>
      </c>
      <c r="B2119" s="80">
        <f t="shared" ca="1" si="161"/>
        <v>45982.522198032406</v>
      </c>
      <c r="C2119" s="76" t="s">
        <v>339</v>
      </c>
      <c r="D2119" s="210" t="s">
        <v>922</v>
      </c>
      <c r="E2119" s="79"/>
      <c r="F2119" s="79"/>
    </row>
    <row r="2120" spans="1:7">
      <c r="A2120" s="77">
        <f t="shared" ca="1" si="160"/>
        <v>45982</v>
      </c>
      <c r="B2120" s="80">
        <f t="shared" ca="1" si="161"/>
        <v>45982.557627430557</v>
      </c>
      <c r="C2120" s="76" t="s">
        <v>339</v>
      </c>
      <c r="D2120" s="210" t="s">
        <v>1098</v>
      </c>
      <c r="E2120" s="79"/>
      <c r="F2120" s="79"/>
    </row>
    <row r="2121" spans="1:7">
      <c r="A2121" s="77">
        <v>45982</v>
      </c>
      <c r="B2121" s="80">
        <v>0.64444444444444449</v>
      </c>
      <c r="C2121" s="76" t="s">
        <v>578</v>
      </c>
      <c r="E2121" s="79"/>
      <c r="F2121" s="79"/>
      <c r="G2121" s="76" t="s">
        <v>1892</v>
      </c>
    </row>
    <row r="2122" spans="1:7">
      <c r="A2122" s="77">
        <f t="shared" ref="A2122:A2152" ca="1" si="162">IF(C2122&lt;&gt;0,IF(A2122=0,TODAY(),A2122),)</f>
        <v>45984</v>
      </c>
      <c r="B2122" s="80">
        <f t="shared" ref="B2122:B2152" ca="1" si="163">IF(C2122&lt;&gt;0,IF(B2122=0,NOW(),B2122),)</f>
        <v>45984.963805439816</v>
      </c>
      <c r="C2122" s="76" t="s">
        <v>343</v>
      </c>
      <c r="D2122" s="210" t="s">
        <v>906</v>
      </c>
      <c r="E2122" s="79"/>
      <c r="F2122" s="79"/>
    </row>
    <row r="2123" spans="1:7">
      <c r="A2123" s="77">
        <f t="shared" ca="1" si="162"/>
        <v>45985</v>
      </c>
      <c r="B2123" s="80">
        <f t="shared" ca="1" si="163"/>
        <v>45985.004178356481</v>
      </c>
      <c r="C2123" s="76" t="s">
        <v>343</v>
      </c>
      <c r="D2123" s="76" t="s">
        <v>902</v>
      </c>
      <c r="E2123" s="79" t="s">
        <v>1893</v>
      </c>
      <c r="F2123" s="79"/>
      <c r="G2123" s="76" t="s">
        <v>1894</v>
      </c>
    </row>
    <row r="2124" spans="1:7">
      <c r="A2124" s="77">
        <f t="shared" ca="1" si="162"/>
        <v>45985</v>
      </c>
      <c r="B2124" s="80">
        <f t="shared" ca="1" si="163"/>
        <v>45985.014843518518</v>
      </c>
      <c r="C2124" s="76" t="s">
        <v>343</v>
      </c>
      <c r="D2124" s="210" t="s">
        <v>909</v>
      </c>
      <c r="E2124" s="79"/>
      <c r="F2124" s="79"/>
    </row>
    <row r="2125" spans="1:7">
      <c r="A2125" s="77">
        <f t="shared" ca="1" si="162"/>
        <v>45985</v>
      </c>
      <c r="B2125" s="80">
        <f t="shared" ca="1" si="163"/>
        <v>45985.016630555554</v>
      </c>
      <c r="C2125" s="76" t="s">
        <v>343</v>
      </c>
      <c r="D2125" s="76" t="s">
        <v>902</v>
      </c>
      <c r="E2125" s="79" t="s">
        <v>1895</v>
      </c>
      <c r="F2125" s="79"/>
    </row>
    <row r="2126" spans="1:7">
      <c r="A2126" s="77">
        <f t="shared" ca="1" si="162"/>
        <v>45985</v>
      </c>
      <c r="B2126" s="80">
        <f t="shared" ca="1" si="163"/>
        <v>45985.021865740739</v>
      </c>
      <c r="C2126" s="76" t="s">
        <v>343</v>
      </c>
      <c r="D2126" s="76" t="s">
        <v>902</v>
      </c>
      <c r="E2126" s="79" t="s">
        <v>1896</v>
      </c>
      <c r="F2126" s="79"/>
    </row>
    <row r="2127" spans="1:7">
      <c r="A2127" s="77">
        <f t="shared" ca="1" si="162"/>
        <v>45985</v>
      </c>
      <c r="B2127" s="80">
        <f t="shared" ca="1" si="163"/>
        <v>45985.039956365741</v>
      </c>
      <c r="C2127" s="76" t="s">
        <v>343</v>
      </c>
      <c r="D2127" s="76" t="s">
        <v>902</v>
      </c>
      <c r="E2127" s="79" t="s">
        <v>1781</v>
      </c>
      <c r="F2127" s="79"/>
    </row>
    <row r="2128" spans="1:7">
      <c r="A2128" s="77">
        <f t="shared" ca="1" si="162"/>
        <v>45985</v>
      </c>
      <c r="B2128" s="80">
        <f t="shared" ca="1" si="163"/>
        <v>45985.041353703702</v>
      </c>
      <c r="C2128" s="76" t="s">
        <v>343</v>
      </c>
      <c r="D2128" s="76" t="s">
        <v>902</v>
      </c>
      <c r="E2128" s="79" t="s">
        <v>1505</v>
      </c>
      <c r="F2128" s="79"/>
    </row>
    <row r="2129" spans="1:7">
      <c r="A2129" s="77">
        <f t="shared" ca="1" si="162"/>
        <v>45985</v>
      </c>
      <c r="B2129" s="80">
        <f t="shared" ca="1" si="163"/>
        <v>45985.048688541669</v>
      </c>
      <c r="C2129" s="76" t="s">
        <v>343</v>
      </c>
      <c r="D2129" s="76" t="s">
        <v>902</v>
      </c>
      <c r="E2129" s="79" t="s">
        <v>1897</v>
      </c>
      <c r="F2129" s="79"/>
    </row>
    <row r="2130" spans="1:7">
      <c r="A2130" s="77">
        <f t="shared" ca="1" si="162"/>
        <v>45985</v>
      </c>
      <c r="B2130" s="80">
        <f t="shared" ca="1" si="163"/>
        <v>45985.053744560188</v>
      </c>
      <c r="C2130" s="76" t="s">
        <v>343</v>
      </c>
      <c r="D2130" s="76" t="s">
        <v>902</v>
      </c>
      <c r="E2130" s="79" t="s">
        <v>1898</v>
      </c>
      <c r="F2130" s="79"/>
    </row>
    <row r="2131" spans="1:7">
      <c r="A2131" s="77">
        <f t="shared" ca="1" si="162"/>
        <v>45985</v>
      </c>
      <c r="B2131" s="80">
        <f t="shared" ca="1" si="163"/>
        <v>45985.071659490743</v>
      </c>
      <c r="C2131" s="76" t="s">
        <v>343</v>
      </c>
      <c r="D2131" s="76" t="s">
        <v>902</v>
      </c>
      <c r="E2131" s="79" t="s">
        <v>1899</v>
      </c>
      <c r="F2131" s="79"/>
    </row>
    <row r="2132" spans="1:7">
      <c r="A2132" s="77">
        <f t="shared" ca="1" si="162"/>
        <v>45985</v>
      </c>
      <c r="B2132" s="80">
        <f t="shared" ca="1" si="163"/>
        <v>45985.07285798611</v>
      </c>
      <c r="C2132" s="76" t="s">
        <v>343</v>
      </c>
      <c r="D2132" s="76" t="s">
        <v>902</v>
      </c>
      <c r="E2132" s="79" t="s">
        <v>1900</v>
      </c>
      <c r="F2132" s="79"/>
      <c r="G2132" s="76" t="s">
        <v>1901</v>
      </c>
    </row>
    <row r="2133" spans="1:7">
      <c r="A2133" s="77">
        <f t="shared" ca="1" si="162"/>
        <v>45985</v>
      </c>
      <c r="B2133" s="80">
        <f t="shared" ca="1" si="163"/>
        <v>45985.083525000002</v>
      </c>
      <c r="C2133" s="76" t="s">
        <v>343</v>
      </c>
      <c r="D2133" s="76" t="s">
        <v>902</v>
      </c>
      <c r="E2133" s="79" t="s">
        <v>1902</v>
      </c>
      <c r="F2133" s="79"/>
      <c r="G2133" s="76" t="s">
        <v>1903</v>
      </c>
    </row>
    <row r="2134" spans="1:7">
      <c r="A2134" s="77">
        <f t="shared" ca="1" si="162"/>
        <v>45985</v>
      </c>
      <c r="B2134" s="80">
        <f t="shared" ca="1" si="163"/>
        <v>45985.110100115744</v>
      </c>
      <c r="C2134" s="76" t="s">
        <v>343</v>
      </c>
      <c r="D2134" s="76" t="s">
        <v>902</v>
      </c>
      <c r="E2134" s="79" t="s">
        <v>1904</v>
      </c>
      <c r="F2134" s="79"/>
    </row>
    <row r="2135" spans="1:7">
      <c r="A2135" s="77">
        <f t="shared" ca="1" si="162"/>
        <v>45985</v>
      </c>
      <c r="B2135" s="80">
        <f t="shared" ca="1" si="163"/>
        <v>45985.110285995368</v>
      </c>
      <c r="C2135" s="76" t="s">
        <v>343</v>
      </c>
      <c r="D2135" s="76" t="s">
        <v>902</v>
      </c>
      <c r="E2135" s="79" t="s">
        <v>1905</v>
      </c>
      <c r="F2135" s="79"/>
    </row>
    <row r="2136" spans="1:7">
      <c r="A2136" s="77">
        <f t="shared" ca="1" si="162"/>
        <v>45985</v>
      </c>
      <c r="B2136" s="80">
        <f t="shared" ca="1" si="163"/>
        <v>45985.11124953704</v>
      </c>
      <c r="C2136" s="76" t="s">
        <v>343</v>
      </c>
      <c r="D2136" s="76" t="s">
        <v>902</v>
      </c>
      <c r="E2136" s="79" t="s">
        <v>1781</v>
      </c>
      <c r="F2136" s="79"/>
    </row>
    <row r="2137" spans="1:7">
      <c r="A2137" s="77">
        <f t="shared" ca="1" si="162"/>
        <v>45985</v>
      </c>
      <c r="B2137" s="80">
        <f t="shared" ca="1" si="163"/>
        <v>45985.145589004627</v>
      </c>
      <c r="C2137" s="76" t="s">
        <v>343</v>
      </c>
      <c r="D2137" s="76" t="s">
        <v>902</v>
      </c>
      <c r="E2137" s="79" t="s">
        <v>1751</v>
      </c>
      <c r="F2137" s="79"/>
    </row>
    <row r="2138" spans="1:7">
      <c r="A2138" s="77">
        <f t="shared" ca="1" si="162"/>
        <v>45985</v>
      </c>
      <c r="B2138" s="80">
        <f t="shared" ca="1" si="163"/>
        <v>45985.145681828704</v>
      </c>
      <c r="C2138" s="76" t="s">
        <v>343</v>
      </c>
      <c r="D2138" s="76" t="s">
        <v>902</v>
      </c>
      <c r="E2138" s="79" t="s">
        <v>1781</v>
      </c>
      <c r="F2138" s="79"/>
    </row>
    <row r="2139" spans="1:7">
      <c r="A2139" s="77">
        <f t="shared" ca="1" si="162"/>
        <v>45985</v>
      </c>
      <c r="B2139" s="80">
        <f t="shared" ca="1" si="163"/>
        <v>45985.154851504631</v>
      </c>
      <c r="C2139" s="76" t="s">
        <v>343</v>
      </c>
      <c r="D2139" s="210" t="s">
        <v>922</v>
      </c>
      <c r="E2139" s="79"/>
      <c r="F2139" s="79"/>
      <c r="G2139" s="76" t="s">
        <v>1906</v>
      </c>
    </row>
    <row r="2140" spans="1:7">
      <c r="A2140" s="77">
        <f t="shared" ca="1" si="162"/>
        <v>45985</v>
      </c>
      <c r="B2140" s="80">
        <f t="shared" ca="1" si="163"/>
        <v>45985.193011805553</v>
      </c>
      <c r="C2140" s="76" t="s">
        <v>343</v>
      </c>
      <c r="D2140" s="210" t="s">
        <v>1098</v>
      </c>
      <c r="E2140" s="79"/>
      <c r="F2140" s="79"/>
    </row>
    <row r="2141" spans="1:7">
      <c r="A2141" s="77">
        <f t="shared" ca="1" si="162"/>
        <v>45985</v>
      </c>
      <c r="B2141" s="80">
        <f t="shared" ca="1" si="163"/>
        <v>45985.254183333331</v>
      </c>
      <c r="C2141" s="76" t="s">
        <v>347</v>
      </c>
      <c r="D2141" s="210" t="s">
        <v>906</v>
      </c>
      <c r="E2141" s="79"/>
      <c r="F2141" s="79"/>
      <c r="G2141" s="76" t="s">
        <v>1907</v>
      </c>
    </row>
    <row r="2142" spans="1:7">
      <c r="A2142" s="77">
        <f t="shared" ca="1" si="162"/>
        <v>45985</v>
      </c>
      <c r="B2142" s="80">
        <f t="shared" ca="1" si="163"/>
        <v>45985.290034027777</v>
      </c>
      <c r="C2142" s="76" t="s">
        <v>347</v>
      </c>
      <c r="D2142" s="210" t="s">
        <v>909</v>
      </c>
      <c r="E2142" s="79"/>
      <c r="F2142" s="79"/>
    </row>
    <row r="2143" spans="1:7">
      <c r="A2143" s="77">
        <f t="shared" ca="1" si="162"/>
        <v>45985</v>
      </c>
      <c r="B2143" s="80">
        <f t="shared" ca="1" si="163"/>
        <v>45985.315096296297</v>
      </c>
      <c r="C2143" s="76" t="s">
        <v>347</v>
      </c>
      <c r="D2143" s="76" t="s">
        <v>902</v>
      </c>
      <c r="E2143" s="79"/>
      <c r="F2143" s="79"/>
      <c r="G2143" s="76" t="s">
        <v>1908</v>
      </c>
    </row>
    <row r="2144" spans="1:7">
      <c r="A2144" s="77">
        <f t="shared" ca="1" si="162"/>
        <v>45985</v>
      </c>
      <c r="B2144" s="80">
        <f t="shared" ca="1" si="163"/>
        <v>45985.317959837965</v>
      </c>
      <c r="C2144" s="76" t="s">
        <v>347</v>
      </c>
      <c r="D2144" s="76" t="s">
        <v>902</v>
      </c>
      <c r="E2144" s="79"/>
      <c r="F2144" s="79"/>
      <c r="G2144" s="76" t="s">
        <v>1909</v>
      </c>
    </row>
    <row r="2145" spans="1:7">
      <c r="A2145" s="77">
        <f t="shared" ca="1" si="162"/>
        <v>45985</v>
      </c>
      <c r="B2145" s="80">
        <f t="shared" ca="1" si="163"/>
        <v>45985.320557870371</v>
      </c>
      <c r="C2145" s="76" t="s">
        <v>347</v>
      </c>
      <c r="D2145" s="76" t="s">
        <v>902</v>
      </c>
      <c r="E2145" s="79" t="s">
        <v>1505</v>
      </c>
      <c r="F2145" s="79"/>
    </row>
    <row r="2146" spans="1:7">
      <c r="A2146" s="77">
        <f t="shared" ca="1" si="162"/>
        <v>45985</v>
      </c>
      <c r="B2146" s="80">
        <f t="shared" ca="1" si="163"/>
        <v>45985.322892592594</v>
      </c>
      <c r="C2146" s="76" t="s">
        <v>347</v>
      </c>
      <c r="D2146" s="76" t="s">
        <v>902</v>
      </c>
      <c r="E2146" s="79" t="s">
        <v>1063</v>
      </c>
      <c r="F2146" s="79"/>
    </row>
    <row r="2147" spans="1:7">
      <c r="A2147" s="77">
        <f t="shared" ca="1" si="162"/>
        <v>45985</v>
      </c>
      <c r="B2147" s="80">
        <f t="shared" ca="1" si="163"/>
        <v>45985.32372685185</v>
      </c>
      <c r="C2147" s="76" t="s">
        <v>347</v>
      </c>
      <c r="D2147" s="76" t="s">
        <v>902</v>
      </c>
      <c r="E2147" s="79"/>
      <c r="F2147" s="79"/>
      <c r="G2147" s="76" t="s">
        <v>1908</v>
      </c>
    </row>
    <row r="2148" spans="1:7">
      <c r="A2148" s="77">
        <f t="shared" ca="1" si="162"/>
        <v>45985</v>
      </c>
      <c r="B2148" s="80">
        <f t="shared" ca="1" si="163"/>
        <v>45985.327140277775</v>
      </c>
      <c r="C2148" s="76" t="s">
        <v>347</v>
      </c>
      <c r="D2148" s="76" t="s">
        <v>902</v>
      </c>
      <c r="E2148" s="79"/>
      <c r="F2148" s="79"/>
      <c r="G2148" s="76" t="s">
        <v>1909</v>
      </c>
    </row>
    <row r="2149" spans="1:7">
      <c r="A2149" s="77">
        <f t="shared" ca="1" si="162"/>
        <v>45985</v>
      </c>
      <c r="B2149" s="80">
        <f t="shared" ca="1" si="163"/>
        <v>45985.329419444446</v>
      </c>
      <c r="C2149" s="76" t="s">
        <v>347</v>
      </c>
      <c r="D2149" s="76" t="s">
        <v>902</v>
      </c>
      <c r="E2149" s="79" t="s">
        <v>996</v>
      </c>
      <c r="F2149" s="79"/>
    </row>
    <row r="2150" spans="1:7">
      <c r="A2150" s="77">
        <f t="shared" ca="1" si="162"/>
        <v>45985</v>
      </c>
      <c r="B2150" s="80">
        <f t="shared" ca="1" si="163"/>
        <v>45985.335152777778</v>
      </c>
      <c r="C2150" s="76" t="s">
        <v>347</v>
      </c>
      <c r="D2150" s="76" t="s">
        <v>902</v>
      </c>
      <c r="E2150" s="79" t="s">
        <v>996</v>
      </c>
      <c r="F2150" s="79"/>
    </row>
    <row r="2151" spans="1:7">
      <c r="A2151" s="77">
        <f t="shared" ca="1" si="162"/>
        <v>45985</v>
      </c>
      <c r="B2151" s="80">
        <f t="shared" ca="1" si="163"/>
        <v>45985.335590740739</v>
      </c>
      <c r="C2151" s="76" t="s">
        <v>347</v>
      </c>
      <c r="D2151" s="210" t="s">
        <v>922</v>
      </c>
      <c r="E2151" s="79"/>
      <c r="F2151" s="79"/>
      <c r="G2151" s="76" t="s">
        <v>1910</v>
      </c>
    </row>
    <row r="2152" spans="1:7">
      <c r="A2152" s="77">
        <f t="shared" ca="1" si="162"/>
        <v>45985</v>
      </c>
      <c r="B2152" s="80">
        <f t="shared" ca="1" si="163"/>
        <v>45985.372356134256</v>
      </c>
      <c r="C2152" s="76" t="s">
        <v>347</v>
      </c>
      <c r="D2152" s="210" t="s">
        <v>1098</v>
      </c>
      <c r="E2152" s="79"/>
      <c r="F2152" s="79"/>
    </row>
    <row r="2153" spans="1:7">
      <c r="A2153" s="77">
        <f t="shared" ref="A2153:A2174" ca="1" si="164">IF(C2153&lt;&gt;0,IF(A2153=0,TODAY(),A2153),)</f>
        <v>45985</v>
      </c>
      <c r="B2153" s="80">
        <f t="shared" ref="B2153:B2174" ca="1" si="165">IF(C2153&lt;&gt;0,IF(B2153=0,NOW(),B2153),)</f>
        <v>45985.415421180558</v>
      </c>
      <c r="C2153" s="76" t="s">
        <v>350</v>
      </c>
      <c r="D2153" s="210" t="s">
        <v>906</v>
      </c>
      <c r="E2153" s="79"/>
      <c r="F2153" s="79"/>
      <c r="G2153" s="76" t="s">
        <v>1911</v>
      </c>
    </row>
    <row r="2154" spans="1:7">
      <c r="A2154" s="77">
        <f t="shared" ca="1" si="164"/>
        <v>45985</v>
      </c>
      <c r="B2154" s="80">
        <f t="shared" ca="1" si="165"/>
        <v>45985.455760185185</v>
      </c>
      <c r="C2154" s="76" t="s">
        <v>350</v>
      </c>
      <c r="D2154" s="210" t="s">
        <v>909</v>
      </c>
      <c r="E2154" s="79"/>
      <c r="F2154" s="79"/>
    </row>
    <row r="2155" spans="1:7">
      <c r="A2155" s="77">
        <f t="shared" ca="1" si="164"/>
        <v>45985</v>
      </c>
      <c r="B2155" s="80">
        <f t="shared" ca="1" si="165"/>
        <v>45985.460329861111</v>
      </c>
      <c r="C2155" s="76" t="s">
        <v>350</v>
      </c>
      <c r="D2155" s="76" t="s">
        <v>902</v>
      </c>
      <c r="E2155" s="79"/>
      <c r="F2155" s="79"/>
      <c r="G2155" s="76" t="s">
        <v>1912</v>
      </c>
    </row>
    <row r="2156" spans="1:7">
      <c r="A2156" s="77">
        <f t="shared" ca="1" si="164"/>
        <v>45985</v>
      </c>
      <c r="B2156" s="80">
        <f t="shared" ca="1" si="165"/>
        <v>45985.477943055557</v>
      </c>
      <c r="C2156" s="76" t="s">
        <v>350</v>
      </c>
      <c r="D2156" s="76" t="s">
        <v>902</v>
      </c>
      <c r="E2156" s="79"/>
      <c r="F2156" s="79"/>
    </row>
    <row r="2157" spans="1:7">
      <c r="A2157" s="77">
        <f t="shared" ca="1" si="164"/>
        <v>45985</v>
      </c>
      <c r="B2157" s="80">
        <f t="shared" ca="1" si="165"/>
        <v>45985.479387384257</v>
      </c>
      <c r="C2157" s="76" t="s">
        <v>350</v>
      </c>
      <c r="D2157" s="76" t="s">
        <v>902</v>
      </c>
      <c r="E2157" s="79"/>
      <c r="F2157" s="79"/>
      <c r="G2157" s="79" t="s">
        <v>1913</v>
      </c>
    </row>
    <row r="2158" spans="1:7">
      <c r="A2158" s="77">
        <f t="shared" ca="1" si="164"/>
        <v>45985</v>
      </c>
      <c r="B2158" s="80">
        <f t="shared" ca="1" si="165"/>
        <v>45985.490293055555</v>
      </c>
      <c r="C2158" s="76" t="s">
        <v>350</v>
      </c>
      <c r="D2158" s="76" t="s">
        <v>902</v>
      </c>
      <c r="E2158" s="79"/>
      <c r="F2158" s="79"/>
      <c r="G2158" s="76" t="s">
        <v>1914</v>
      </c>
    </row>
    <row r="2159" spans="1:7">
      <c r="A2159" s="77">
        <f t="shared" ca="1" si="164"/>
        <v>45985</v>
      </c>
      <c r="B2159" s="80">
        <f t="shared" ca="1" si="165"/>
        <v>45985.493260416668</v>
      </c>
      <c r="C2159" s="76" t="s">
        <v>350</v>
      </c>
      <c r="D2159" s="76" t="s">
        <v>902</v>
      </c>
      <c r="E2159" s="79"/>
      <c r="F2159" s="79"/>
      <c r="G2159" s="76" t="s">
        <v>1915</v>
      </c>
    </row>
    <row r="2160" spans="1:7">
      <c r="A2160" s="77">
        <f t="shared" ca="1" si="164"/>
        <v>45985</v>
      </c>
      <c r="B2160" s="80">
        <f t="shared" ca="1" si="165"/>
        <v>45985.49562361111</v>
      </c>
      <c r="C2160" s="76" t="s">
        <v>350</v>
      </c>
      <c r="D2160" s="76" t="s">
        <v>902</v>
      </c>
      <c r="E2160" s="79"/>
      <c r="F2160" s="79"/>
      <c r="G2160" s="76" t="s">
        <v>1914</v>
      </c>
    </row>
    <row r="2161" spans="1:7">
      <c r="A2161" s="77">
        <f t="shared" ca="1" si="164"/>
        <v>45985</v>
      </c>
      <c r="B2161" s="80">
        <f t="shared" ca="1" si="165"/>
        <v>45985.500129166663</v>
      </c>
      <c r="C2161" s="76" t="s">
        <v>350</v>
      </c>
      <c r="D2161" s="76" t="s">
        <v>902</v>
      </c>
      <c r="E2161" s="79" t="s">
        <v>1505</v>
      </c>
      <c r="F2161" s="79"/>
    </row>
    <row r="2162" spans="1:7">
      <c r="A2162" s="77">
        <f t="shared" ca="1" si="164"/>
        <v>45985</v>
      </c>
      <c r="B2162" s="80">
        <f t="shared" ca="1" si="165"/>
        <v>45985.510779629629</v>
      </c>
      <c r="C2162" s="76" t="s">
        <v>350</v>
      </c>
      <c r="D2162" s="76" t="s">
        <v>902</v>
      </c>
      <c r="E2162" s="79"/>
      <c r="F2162" s="79"/>
      <c r="G2162" s="76" t="s">
        <v>1916</v>
      </c>
    </row>
    <row r="2163" spans="1:7">
      <c r="A2163" s="77">
        <f t="shared" ca="1" si="164"/>
        <v>45985</v>
      </c>
      <c r="B2163" s="80">
        <f t="shared" ca="1" si="165"/>
        <v>45985.515906828703</v>
      </c>
      <c r="C2163" s="76" t="s">
        <v>350</v>
      </c>
      <c r="D2163" s="76" t="s">
        <v>902</v>
      </c>
      <c r="E2163" s="79"/>
      <c r="F2163" s="79"/>
      <c r="G2163" s="76" t="s">
        <v>1555</v>
      </c>
    </row>
    <row r="2164" spans="1:7">
      <c r="A2164" s="77">
        <f t="shared" ca="1" si="164"/>
        <v>45985</v>
      </c>
      <c r="B2164" s="80">
        <f t="shared" ca="1" si="165"/>
        <v>45985.523058680556</v>
      </c>
      <c r="C2164" s="76" t="s">
        <v>350</v>
      </c>
      <c r="D2164" s="150" t="s">
        <v>1007</v>
      </c>
      <c r="E2164" s="79" t="s">
        <v>1853</v>
      </c>
      <c r="F2164" s="79"/>
      <c r="G2164" s="76" t="s">
        <v>1917</v>
      </c>
    </row>
    <row r="2165" spans="1:7">
      <c r="A2165" s="77">
        <f t="shared" ca="1" si="164"/>
        <v>45985</v>
      </c>
      <c r="B2165" s="80">
        <f t="shared" ca="1" si="165"/>
        <v>45985.527632407408</v>
      </c>
      <c r="C2165" s="76" t="s">
        <v>350</v>
      </c>
      <c r="D2165" s="76" t="s">
        <v>902</v>
      </c>
      <c r="E2165" s="79" t="s">
        <v>1129</v>
      </c>
      <c r="F2165" s="79"/>
    </row>
    <row r="2166" spans="1:7">
      <c r="A2166" s="77">
        <f t="shared" ca="1" si="164"/>
        <v>45985</v>
      </c>
      <c r="B2166" s="80">
        <f t="shared" ca="1" si="165"/>
        <v>45985.52901215278</v>
      </c>
      <c r="C2166" s="76" t="s">
        <v>350</v>
      </c>
      <c r="D2166" s="76" t="s">
        <v>902</v>
      </c>
      <c r="E2166" s="79" t="s">
        <v>1918</v>
      </c>
      <c r="F2166" s="79"/>
    </row>
    <row r="2167" spans="1:7">
      <c r="A2167" s="77">
        <f t="shared" ca="1" si="164"/>
        <v>45985</v>
      </c>
      <c r="B2167" s="80">
        <f t="shared" ca="1" si="165"/>
        <v>45985.546382870372</v>
      </c>
      <c r="C2167" s="76" t="s">
        <v>350</v>
      </c>
      <c r="D2167" s="76" t="s">
        <v>902</v>
      </c>
      <c r="E2167" s="79" t="s">
        <v>1314</v>
      </c>
      <c r="F2167" s="79"/>
    </row>
    <row r="2168" spans="1:7">
      <c r="A2168" s="77">
        <f t="shared" ca="1" si="164"/>
        <v>45985</v>
      </c>
      <c r="B2168" s="80">
        <f t="shared" ca="1" si="165"/>
        <v>45985.548632175924</v>
      </c>
      <c r="C2168" s="76" t="s">
        <v>350</v>
      </c>
      <c r="D2168" s="76" t="s">
        <v>902</v>
      </c>
      <c r="E2168" s="79" t="s">
        <v>1314</v>
      </c>
      <c r="F2168" s="79"/>
    </row>
    <row r="2169" spans="1:7">
      <c r="A2169" s="77">
        <f t="shared" ca="1" si="164"/>
        <v>45985</v>
      </c>
      <c r="B2169" s="80">
        <f t="shared" ca="1" si="165"/>
        <v>45985.549712268519</v>
      </c>
      <c r="C2169" s="76" t="s">
        <v>350</v>
      </c>
      <c r="D2169" s="76" t="s">
        <v>902</v>
      </c>
      <c r="E2169" s="79" t="s">
        <v>996</v>
      </c>
      <c r="F2169" s="79"/>
    </row>
    <row r="2170" spans="1:7">
      <c r="A2170" s="77">
        <f t="shared" ca="1" si="164"/>
        <v>45985</v>
      </c>
      <c r="B2170" s="80">
        <f t="shared" ca="1" si="165"/>
        <v>45985.555789583334</v>
      </c>
      <c r="C2170" s="76" t="s">
        <v>350</v>
      </c>
      <c r="D2170" s="76" t="s">
        <v>902</v>
      </c>
      <c r="E2170" s="79"/>
      <c r="F2170" s="79"/>
      <c r="G2170" s="76" t="s">
        <v>1919</v>
      </c>
    </row>
    <row r="2171" spans="1:7">
      <c r="A2171" s="77">
        <f t="shared" ca="1" si="164"/>
        <v>45985</v>
      </c>
      <c r="B2171" s="80">
        <f t="shared" ca="1" si="165"/>
        <v>45985.572528124998</v>
      </c>
      <c r="C2171" s="76" t="s">
        <v>350</v>
      </c>
      <c r="D2171" s="76" t="s">
        <v>902</v>
      </c>
      <c r="E2171" s="79"/>
      <c r="F2171" s="79"/>
      <c r="G2171" s="76" t="s">
        <v>1249</v>
      </c>
    </row>
    <row r="2172" spans="1:7">
      <c r="A2172" s="77">
        <f t="shared" ca="1" si="164"/>
        <v>45985</v>
      </c>
      <c r="B2172" s="80">
        <f t="shared" ca="1" si="165"/>
        <v>45985.575514583332</v>
      </c>
      <c r="C2172" s="76" t="s">
        <v>350</v>
      </c>
      <c r="D2172" s="76" t="s">
        <v>902</v>
      </c>
      <c r="E2172" s="79" t="s">
        <v>1920</v>
      </c>
      <c r="F2172" s="79"/>
    </row>
    <row r="2173" spans="1:7">
      <c r="A2173" s="77">
        <f t="shared" ca="1" si="164"/>
        <v>45985</v>
      </c>
      <c r="B2173" s="80">
        <f t="shared" ca="1" si="165"/>
        <v>45985.588838310185</v>
      </c>
      <c r="C2173" s="76" t="s">
        <v>350</v>
      </c>
      <c r="D2173" s="76" t="s">
        <v>902</v>
      </c>
      <c r="E2173" s="79" t="s">
        <v>1314</v>
      </c>
      <c r="F2173" s="79"/>
    </row>
    <row r="2174" spans="1:7">
      <c r="A2174" s="77">
        <f t="shared" ca="1" si="164"/>
        <v>45985</v>
      </c>
      <c r="B2174" s="80">
        <f t="shared" ca="1" si="165"/>
        <v>45985.602378124997</v>
      </c>
      <c r="C2174" s="76" t="s">
        <v>350</v>
      </c>
      <c r="D2174" s="76" t="s">
        <v>902</v>
      </c>
      <c r="E2174" s="79"/>
      <c r="F2174" s="79"/>
      <c r="G2174" s="76" t="s">
        <v>1919</v>
      </c>
    </row>
    <row r="2175" spans="1:7">
      <c r="A2175" s="77">
        <f t="shared" ref="A2175:A2201" ca="1" si="166">IF(C2175&lt;&gt;0,IF(A2175=0,TODAY(),A2175),)</f>
        <v>45985</v>
      </c>
      <c r="B2175" s="80">
        <f t="shared" ref="B2175:B2201" ca="1" si="167">IF(C2175&lt;&gt;0,IF(B2175=0,NOW(),B2175),)</f>
        <v>45985.610531828701</v>
      </c>
      <c r="C2175" s="76" t="s">
        <v>350</v>
      </c>
      <c r="D2175" s="76" t="s">
        <v>902</v>
      </c>
      <c r="E2175" s="79"/>
      <c r="F2175" s="79"/>
      <c r="G2175" s="76" t="s">
        <v>1921</v>
      </c>
    </row>
    <row r="2176" spans="1:7">
      <c r="A2176" s="77">
        <f t="shared" ca="1" si="166"/>
        <v>45985</v>
      </c>
      <c r="B2176" s="80">
        <f t="shared" ca="1" si="167"/>
        <v>45985.626507175926</v>
      </c>
      <c r="C2176" s="76" t="s">
        <v>350</v>
      </c>
      <c r="D2176" s="76" t="s">
        <v>902</v>
      </c>
      <c r="E2176" s="79"/>
      <c r="F2176" s="79"/>
      <c r="G2176" s="76" t="s">
        <v>1922</v>
      </c>
    </row>
    <row r="2177" spans="1:7">
      <c r="A2177" s="77">
        <f t="shared" ca="1" si="166"/>
        <v>45985</v>
      </c>
      <c r="B2177" s="80">
        <f t="shared" ca="1" si="167"/>
        <v>45985.640975115741</v>
      </c>
      <c r="C2177" s="76" t="s">
        <v>350</v>
      </c>
      <c r="D2177" s="76" t="s">
        <v>902</v>
      </c>
      <c r="E2177" s="79"/>
      <c r="F2177" s="79"/>
      <c r="G2177" s="76" t="s">
        <v>1923</v>
      </c>
    </row>
    <row r="2178" spans="1:7">
      <c r="A2178" s="77">
        <f t="shared" ca="1" si="166"/>
        <v>45985</v>
      </c>
      <c r="B2178" s="80">
        <f t="shared" ca="1" si="167"/>
        <v>45985.650020138892</v>
      </c>
      <c r="C2178" s="76" t="s">
        <v>350</v>
      </c>
      <c r="D2178" s="76" t="s">
        <v>902</v>
      </c>
      <c r="E2178" s="79"/>
      <c r="F2178" s="79"/>
      <c r="G2178" s="76" t="s">
        <v>1924</v>
      </c>
    </row>
    <row r="2179" spans="1:7">
      <c r="A2179" s="77">
        <f t="shared" ca="1" si="166"/>
        <v>45985</v>
      </c>
      <c r="B2179" s="80">
        <f t="shared" ca="1" si="167"/>
        <v>45985.660987268522</v>
      </c>
      <c r="C2179" s="76" t="s">
        <v>350</v>
      </c>
      <c r="D2179" s="210" t="s">
        <v>922</v>
      </c>
      <c r="E2179" s="79"/>
      <c r="F2179" s="79"/>
    </row>
    <row r="2180" spans="1:7">
      <c r="A2180" s="77">
        <f t="shared" ca="1" si="166"/>
        <v>45985</v>
      </c>
      <c r="B2180" s="80">
        <v>0.68402777777777779</v>
      </c>
      <c r="C2180" s="76" t="s">
        <v>350</v>
      </c>
      <c r="D2180" s="210" t="s">
        <v>1098</v>
      </c>
      <c r="E2180" s="79"/>
      <c r="F2180" s="79"/>
    </row>
    <row r="2181" spans="1:7">
      <c r="A2181" s="77">
        <f t="shared" ca="1" si="166"/>
        <v>45985</v>
      </c>
      <c r="B2181" s="80">
        <f t="shared" ca="1" si="167"/>
        <v>45985.742178703702</v>
      </c>
      <c r="C2181" s="76" t="s">
        <v>354</v>
      </c>
      <c r="D2181" s="210" t="s">
        <v>906</v>
      </c>
      <c r="E2181" s="79"/>
      <c r="F2181" s="79"/>
    </row>
    <row r="2182" spans="1:7">
      <c r="A2182" s="77">
        <f t="shared" ca="1" si="166"/>
        <v>45985</v>
      </c>
      <c r="B2182" s="80">
        <f t="shared" ca="1" si="167"/>
        <v>45985.804370949074</v>
      </c>
      <c r="C2182" s="76" t="s">
        <v>354</v>
      </c>
      <c r="D2182" s="210" t="s">
        <v>909</v>
      </c>
      <c r="E2182" s="79"/>
      <c r="F2182" s="79"/>
    </row>
    <row r="2183" spans="1:7">
      <c r="A2183" s="77">
        <f t="shared" ca="1" si="166"/>
        <v>45985</v>
      </c>
      <c r="B2183" s="80">
        <f t="shared" ca="1" si="167"/>
        <v>45985.809864236115</v>
      </c>
      <c r="C2183" s="76" t="s">
        <v>354</v>
      </c>
      <c r="D2183" s="76" t="s">
        <v>902</v>
      </c>
      <c r="E2183" s="79" t="s">
        <v>1925</v>
      </c>
      <c r="F2183" s="79"/>
    </row>
    <row r="2184" spans="1:7">
      <c r="A2184" s="77">
        <f t="shared" ca="1" si="166"/>
        <v>45985</v>
      </c>
      <c r="B2184" s="80">
        <f t="shared" ca="1" si="167"/>
        <v>45985.813394560188</v>
      </c>
      <c r="C2184" s="76" t="s">
        <v>354</v>
      </c>
      <c r="D2184" s="76" t="s">
        <v>902</v>
      </c>
      <c r="E2184" s="79" t="s">
        <v>1926</v>
      </c>
      <c r="F2184" s="79"/>
    </row>
    <row r="2185" spans="1:7">
      <c r="A2185" s="77">
        <f t="shared" ca="1" si="166"/>
        <v>45985</v>
      </c>
      <c r="B2185" s="80">
        <f t="shared" ca="1" si="167"/>
        <v>45985.816139930554</v>
      </c>
      <c r="C2185" s="76" t="s">
        <v>354</v>
      </c>
      <c r="D2185" s="76" t="s">
        <v>902</v>
      </c>
      <c r="E2185" s="79" t="s">
        <v>1920</v>
      </c>
      <c r="F2185" s="79"/>
    </row>
    <row r="2186" spans="1:7">
      <c r="A2186" s="77">
        <f t="shared" ca="1" si="166"/>
        <v>45985</v>
      </c>
      <c r="B2186" s="80">
        <f t="shared" ca="1" si="167"/>
        <v>45985.823092129627</v>
      </c>
      <c r="C2186" s="76" t="s">
        <v>354</v>
      </c>
      <c r="D2186" s="76" t="s">
        <v>902</v>
      </c>
      <c r="E2186" s="79"/>
      <c r="F2186" s="79"/>
      <c r="G2186" s="79" t="s">
        <v>1927</v>
      </c>
    </row>
    <row r="2187" spans="1:7">
      <c r="A2187" s="77">
        <f t="shared" ca="1" si="166"/>
        <v>45985</v>
      </c>
      <c r="B2187" s="80">
        <f t="shared" ca="1" si="167"/>
        <v>45985.834323842595</v>
      </c>
      <c r="C2187" s="76" t="s">
        <v>354</v>
      </c>
      <c r="D2187" s="76" t="s">
        <v>902</v>
      </c>
      <c r="E2187" s="79" t="s">
        <v>1928</v>
      </c>
      <c r="F2187" s="79"/>
    </row>
    <row r="2188" spans="1:7">
      <c r="A2188" s="77">
        <f t="shared" ca="1" si="166"/>
        <v>45985</v>
      </c>
      <c r="B2188" s="80">
        <f t="shared" ca="1" si="167"/>
        <v>45985.846687037039</v>
      </c>
      <c r="C2188" s="76" t="s">
        <v>354</v>
      </c>
      <c r="D2188" s="76" t="s">
        <v>902</v>
      </c>
      <c r="E2188" s="79"/>
      <c r="F2188" s="79"/>
      <c r="G2188" s="79" t="s">
        <v>1929</v>
      </c>
    </row>
    <row r="2189" spans="1:7">
      <c r="A2189" s="77">
        <f t="shared" ca="1" si="166"/>
        <v>45985</v>
      </c>
      <c r="B2189" s="80">
        <f t="shared" ca="1" si="167"/>
        <v>45985.849341666668</v>
      </c>
      <c r="C2189" s="76" t="s">
        <v>354</v>
      </c>
      <c r="D2189" s="76" t="s">
        <v>902</v>
      </c>
      <c r="E2189" s="79"/>
      <c r="F2189" s="79"/>
      <c r="G2189" s="79" t="s">
        <v>1930</v>
      </c>
    </row>
    <row r="2190" spans="1:7">
      <c r="A2190" s="77">
        <f t="shared" ca="1" si="166"/>
        <v>45985</v>
      </c>
      <c r="B2190" s="80">
        <f t="shared" ca="1" si="167"/>
        <v>45985.881009606484</v>
      </c>
      <c r="C2190" s="76" t="s">
        <v>354</v>
      </c>
      <c r="D2190" s="76" t="s">
        <v>902</v>
      </c>
      <c r="E2190" s="79"/>
      <c r="F2190" s="79"/>
      <c r="G2190" s="79" t="s">
        <v>1905</v>
      </c>
    </row>
    <row r="2191" spans="1:7">
      <c r="A2191" s="77">
        <f t="shared" ca="1" si="166"/>
        <v>45985</v>
      </c>
      <c r="B2191" s="80">
        <f t="shared" ca="1" si="167"/>
        <v>45985.886926851854</v>
      </c>
      <c r="C2191" s="76" t="s">
        <v>354</v>
      </c>
      <c r="D2191" s="76" t="s">
        <v>902</v>
      </c>
      <c r="E2191" s="79" t="s">
        <v>1931</v>
      </c>
      <c r="F2191" s="79"/>
    </row>
    <row r="2192" spans="1:7">
      <c r="A2192" s="77">
        <f t="shared" ca="1" si="166"/>
        <v>45985</v>
      </c>
      <c r="B2192" s="80">
        <f t="shared" ca="1" si="167"/>
        <v>45985.889063773146</v>
      </c>
      <c r="C2192" s="76" t="s">
        <v>354</v>
      </c>
      <c r="D2192" s="76" t="s">
        <v>902</v>
      </c>
      <c r="E2192" s="79" t="s">
        <v>1929</v>
      </c>
      <c r="F2192" s="79"/>
      <c r="G2192" s="79" t="s">
        <v>1932</v>
      </c>
    </row>
    <row r="2193" spans="1:7">
      <c r="A2193" s="77">
        <f t="shared" ca="1" si="166"/>
        <v>45985</v>
      </c>
      <c r="B2193" s="80">
        <f t="shared" ca="1" si="167"/>
        <v>45985.91199537037</v>
      </c>
      <c r="C2193" s="76" t="s">
        <v>354</v>
      </c>
      <c r="D2193" s="76" t="s">
        <v>902</v>
      </c>
      <c r="E2193" s="79"/>
      <c r="F2193" s="79"/>
      <c r="G2193" s="79" t="s">
        <v>1905</v>
      </c>
    </row>
    <row r="2194" spans="1:7">
      <c r="A2194" s="77">
        <f t="shared" ca="1" si="166"/>
        <v>45985</v>
      </c>
      <c r="B2194" s="80">
        <f t="shared" ca="1" si="167"/>
        <v>45985.918045023151</v>
      </c>
      <c r="C2194" s="76" t="s">
        <v>354</v>
      </c>
      <c r="D2194" s="76" t="s">
        <v>902</v>
      </c>
      <c r="E2194" s="79" t="s">
        <v>1931</v>
      </c>
      <c r="F2194" s="79"/>
    </row>
    <row r="2195" spans="1:7">
      <c r="A2195" s="77">
        <f t="shared" ca="1" si="166"/>
        <v>45985</v>
      </c>
      <c r="B2195" s="80">
        <f t="shared" ca="1" si="167"/>
        <v>45985.936958796294</v>
      </c>
      <c r="C2195" s="76" t="s">
        <v>354</v>
      </c>
      <c r="D2195" s="76" t="s">
        <v>902</v>
      </c>
      <c r="E2195" s="79" t="s">
        <v>1931</v>
      </c>
      <c r="F2195" s="79"/>
    </row>
    <row r="2196" spans="1:7">
      <c r="A2196" s="77">
        <f t="shared" ca="1" si="166"/>
        <v>45985</v>
      </c>
      <c r="B2196" s="80">
        <f t="shared" ca="1" si="167"/>
        <v>45985.944388888885</v>
      </c>
      <c r="C2196" s="76" t="s">
        <v>354</v>
      </c>
      <c r="D2196" s="76" t="s">
        <v>902</v>
      </c>
      <c r="E2196" s="79"/>
      <c r="F2196" s="79"/>
      <c r="G2196" s="79" t="s">
        <v>1933</v>
      </c>
    </row>
    <row r="2197" spans="1:7">
      <c r="A2197" s="77">
        <f t="shared" ca="1" si="166"/>
        <v>45985</v>
      </c>
      <c r="B2197" s="80">
        <f t="shared" ca="1" si="167"/>
        <v>45985.94952141204</v>
      </c>
      <c r="C2197" s="76" t="s">
        <v>354</v>
      </c>
      <c r="D2197" s="210" t="s">
        <v>922</v>
      </c>
      <c r="E2197" s="79"/>
      <c r="F2197" s="79"/>
      <c r="G2197" s="76" t="s">
        <v>1934</v>
      </c>
    </row>
    <row r="2198" spans="1:7">
      <c r="A2198" s="77">
        <f t="shared" ca="1" si="166"/>
        <v>45985</v>
      </c>
      <c r="B2198" s="80">
        <f t="shared" ca="1" si="167"/>
        <v>45985.99020659722</v>
      </c>
      <c r="C2198" s="76" t="s">
        <v>354</v>
      </c>
      <c r="D2198" s="210" t="s">
        <v>1098</v>
      </c>
      <c r="E2198" s="79"/>
      <c r="F2198" s="79"/>
    </row>
    <row r="2199" spans="1:7">
      <c r="A2199" s="77">
        <f t="shared" ca="1" si="166"/>
        <v>45986</v>
      </c>
      <c r="B2199" s="80">
        <f t="shared" ca="1" si="167"/>
        <v>45986.0368318287</v>
      </c>
      <c r="C2199" s="76" t="s">
        <v>354</v>
      </c>
      <c r="D2199" s="76" t="s">
        <v>902</v>
      </c>
      <c r="E2199" s="79"/>
      <c r="F2199" s="79"/>
      <c r="G2199" s="76" t="s">
        <v>1935</v>
      </c>
    </row>
    <row r="2200" spans="1:7">
      <c r="A2200" s="77">
        <f t="shared" ca="1" si="166"/>
        <v>45986</v>
      </c>
      <c r="B2200" s="80">
        <f t="shared" ca="1" si="167"/>
        <v>45986.268153819445</v>
      </c>
      <c r="C2200" s="76" t="s">
        <v>358</v>
      </c>
      <c r="D2200" s="210" t="s">
        <v>906</v>
      </c>
      <c r="E2200" s="79"/>
      <c r="F2200" s="79"/>
      <c r="G2200" s="76" t="s">
        <v>1936</v>
      </c>
    </row>
    <row r="2201" spans="1:7">
      <c r="A2201" s="77">
        <f t="shared" ca="1" si="166"/>
        <v>45986</v>
      </c>
      <c r="B2201" s="80">
        <f t="shared" ca="1" si="167"/>
        <v>45986.322645138891</v>
      </c>
      <c r="C2201" s="76" t="s">
        <v>358</v>
      </c>
      <c r="D2201" s="210" t="s">
        <v>909</v>
      </c>
      <c r="E2201" s="79"/>
      <c r="F2201" s="79"/>
    </row>
    <row r="2202" spans="1:7">
      <c r="A2202" s="77">
        <f t="shared" ref="A2202" ca="1" si="168">IF(C2202&lt;&gt;0,IF(A2202=0,TODAY(),A2202),)</f>
        <v>45986</v>
      </c>
      <c r="B2202" s="80">
        <f t="shared" ref="B2202" ca="1" si="169">IF(C2202&lt;&gt;0,IF(B2202=0,NOW(),B2202),)</f>
        <v>45986.327839814818</v>
      </c>
      <c r="C2202" s="76" t="s">
        <v>358</v>
      </c>
      <c r="D2202" s="76" t="s">
        <v>902</v>
      </c>
      <c r="E2202" s="79" t="s">
        <v>1937</v>
      </c>
      <c r="F2202" s="79"/>
    </row>
    <row r="2203" spans="1:7">
      <c r="A2203" s="77">
        <f t="shared" ref="A2203:A2209" ca="1" si="170">IF(C2203&lt;&gt;0,IF(A2203=0,TODAY(),A2203),)</f>
        <v>45986</v>
      </c>
      <c r="B2203" s="80">
        <f t="shared" ref="B2203:B2209" ca="1" si="171">IF(C2203&lt;&gt;0,IF(B2203=0,NOW(),B2203),)</f>
        <v>45986.353901388888</v>
      </c>
      <c r="C2203" s="76" t="s">
        <v>358</v>
      </c>
      <c r="D2203" s="76" t="s">
        <v>902</v>
      </c>
      <c r="E2203" s="79"/>
      <c r="F2203" s="79"/>
      <c r="G2203" s="76" t="s">
        <v>1938</v>
      </c>
    </row>
    <row r="2204" spans="1:7">
      <c r="A2204" s="77">
        <f t="shared" ca="1" si="170"/>
        <v>45986</v>
      </c>
      <c r="B2204" s="80">
        <f t="shared" ca="1" si="171"/>
        <v>45986.367653125002</v>
      </c>
      <c r="C2204" s="76" t="s">
        <v>358</v>
      </c>
      <c r="D2204" s="76" t="s">
        <v>902</v>
      </c>
      <c r="E2204" s="79"/>
      <c r="F2204" s="79"/>
      <c r="G2204" s="76" t="s">
        <v>1939</v>
      </c>
    </row>
    <row r="2205" spans="1:7">
      <c r="A2205" s="77">
        <f t="shared" ca="1" si="170"/>
        <v>45986</v>
      </c>
      <c r="B2205" s="80">
        <f t="shared" ca="1" si="171"/>
        <v>45986.372620601855</v>
      </c>
      <c r="C2205" s="76" t="s">
        <v>358</v>
      </c>
      <c r="D2205" s="76" t="s">
        <v>902</v>
      </c>
      <c r="E2205" s="79" t="s">
        <v>1940</v>
      </c>
      <c r="F2205" s="79"/>
    </row>
    <row r="2206" spans="1:7">
      <c r="A2206" s="77">
        <f t="shared" ca="1" si="170"/>
        <v>45986</v>
      </c>
      <c r="B2206" s="80">
        <f t="shared" ca="1" si="171"/>
        <v>45986.373156481481</v>
      </c>
      <c r="C2206" s="76" t="s">
        <v>358</v>
      </c>
      <c r="D2206" s="76" t="s">
        <v>902</v>
      </c>
      <c r="E2206" s="79" t="s">
        <v>1941</v>
      </c>
      <c r="F2206" s="79"/>
    </row>
    <row r="2207" spans="1:7">
      <c r="A2207" s="77">
        <f t="shared" ca="1" si="170"/>
        <v>45986</v>
      </c>
      <c r="B2207" s="80">
        <f t="shared" ca="1" si="171"/>
        <v>45986.37824351852</v>
      </c>
      <c r="C2207" s="76" t="s">
        <v>358</v>
      </c>
      <c r="D2207" s="76" t="s">
        <v>902</v>
      </c>
      <c r="E2207" s="79" t="s">
        <v>1942</v>
      </c>
      <c r="F2207" s="79"/>
    </row>
    <row r="2208" spans="1:7">
      <c r="A2208" s="77">
        <f t="shared" ca="1" si="170"/>
        <v>45986</v>
      </c>
      <c r="B2208" s="80">
        <f t="shared" ca="1" si="171"/>
        <v>45986.378836226853</v>
      </c>
      <c r="C2208" s="76" t="s">
        <v>358</v>
      </c>
      <c r="D2208" s="210" t="s">
        <v>922</v>
      </c>
      <c r="E2208" s="79"/>
      <c r="F2208" s="79"/>
    </row>
    <row r="2209" spans="1:7">
      <c r="A2209" s="77">
        <f t="shared" ca="1" si="170"/>
        <v>45986</v>
      </c>
      <c r="B2209" s="80">
        <f t="shared" ca="1" si="171"/>
        <v>45986.407877199075</v>
      </c>
      <c r="C2209" s="76" t="s">
        <v>358</v>
      </c>
      <c r="D2209" s="210" t="s">
        <v>1098</v>
      </c>
      <c r="E2209" s="79"/>
      <c r="F2209" s="79"/>
    </row>
    <row r="2210" spans="1:7">
      <c r="A2210" s="77">
        <v>45987</v>
      </c>
      <c r="B2210" s="80">
        <v>0.71875</v>
      </c>
      <c r="C2210" s="76" t="s">
        <v>361</v>
      </c>
      <c r="D2210" s="210" t="s">
        <v>906</v>
      </c>
      <c r="E2210" s="79"/>
      <c r="F2210" s="79"/>
      <c r="G2210" s="76" t="s">
        <v>1943</v>
      </c>
    </row>
    <row r="2211" spans="1:7">
      <c r="A2211" s="77">
        <f t="shared" ref="A2211:A2214" ca="1" si="172">IF(C2211&lt;&gt;0,IF(A2211=0,TODAY(),A2211),)</f>
        <v>45987</v>
      </c>
      <c r="B2211" s="80">
        <f t="shared" ref="B2211:B2214" ca="1" si="173">IF(C2211&lt;&gt;0,IF(B2211=0,NOW(),B2211),)</f>
        <v>45987.775123032407</v>
      </c>
      <c r="C2211" s="76" t="s">
        <v>361</v>
      </c>
      <c r="D2211" s="76" t="s">
        <v>902</v>
      </c>
      <c r="E2211" s="79" t="s">
        <v>1944</v>
      </c>
      <c r="F2211" s="79"/>
      <c r="G2211" s="92" t="s">
        <v>1945</v>
      </c>
    </row>
    <row r="2212" spans="1:7">
      <c r="A2212" s="77">
        <f t="shared" ca="1" si="172"/>
        <v>45987</v>
      </c>
      <c r="B2212" s="80">
        <f t="shared" ca="1" si="173"/>
        <v>45987.80570636574</v>
      </c>
      <c r="C2212" s="76" t="s">
        <v>361</v>
      </c>
      <c r="D2212" s="76" t="s">
        <v>902</v>
      </c>
      <c r="E2212" s="79" t="s">
        <v>1946</v>
      </c>
      <c r="F2212" s="79"/>
    </row>
    <row r="2213" spans="1:7">
      <c r="A2213" s="77">
        <f t="shared" ca="1" si="172"/>
        <v>45987</v>
      </c>
      <c r="B2213" s="80">
        <f t="shared" ca="1" si="173"/>
        <v>45987.810842361112</v>
      </c>
      <c r="C2213" s="76" t="s">
        <v>361</v>
      </c>
      <c r="D2213" s="210" t="s">
        <v>909</v>
      </c>
      <c r="E2213" s="79"/>
      <c r="F2213" s="79"/>
    </row>
    <row r="2214" spans="1:7">
      <c r="A2214" s="77">
        <f t="shared" ca="1" si="172"/>
        <v>45987</v>
      </c>
      <c r="B2214" s="80">
        <f t="shared" ca="1" si="173"/>
        <v>45987.830073263889</v>
      </c>
      <c r="C2214" s="76" t="s">
        <v>361</v>
      </c>
      <c r="D2214" s="76" t="s">
        <v>902</v>
      </c>
      <c r="E2214" s="79" t="s">
        <v>1947</v>
      </c>
      <c r="F2214" s="79"/>
    </row>
    <row r="2215" spans="1:7">
      <c r="A2215" s="77">
        <f t="shared" ref="A2215:A2252" ca="1" si="174">IF(C2215&lt;&gt;0,IF(A2215=0,TODAY(),A2215),)</f>
        <v>45987</v>
      </c>
      <c r="B2215" s="80">
        <f t="shared" ref="B2215:B2252" ca="1" si="175">IF(C2215&lt;&gt;0,IF(B2215=0,NOW(),B2215),)</f>
        <v>45987.851674421298</v>
      </c>
      <c r="C2215" s="76" t="s">
        <v>361</v>
      </c>
      <c r="D2215" s="210" t="s">
        <v>922</v>
      </c>
      <c r="E2215" s="79"/>
      <c r="F2215" s="79"/>
    </row>
    <row r="2216" spans="1:7">
      <c r="A2216" s="77">
        <f t="shared" ca="1" si="174"/>
        <v>45987</v>
      </c>
      <c r="B2216" s="80">
        <f t="shared" ca="1" si="175"/>
        <v>45987.895938657406</v>
      </c>
      <c r="C2216" s="76" t="s">
        <v>361</v>
      </c>
      <c r="D2216" s="210" t="s">
        <v>1098</v>
      </c>
      <c r="E2216" s="79"/>
      <c r="F2216" s="79"/>
    </row>
    <row r="2217" spans="1:7">
      <c r="A2217" s="77">
        <f t="shared" ca="1" si="174"/>
        <v>45988</v>
      </c>
      <c r="B2217" s="80">
        <f t="shared" ca="1" si="175"/>
        <v>45988.009753819446</v>
      </c>
      <c r="C2217" s="76" t="s">
        <v>365</v>
      </c>
      <c r="D2217" s="210" t="s">
        <v>906</v>
      </c>
      <c r="E2217" s="79"/>
      <c r="F2217" s="79"/>
    </row>
    <row r="2218" spans="1:7">
      <c r="A2218" s="77">
        <f t="shared" ca="1" si="174"/>
        <v>45988</v>
      </c>
      <c r="B2218" s="80">
        <f t="shared" ca="1" si="175"/>
        <v>45988.058723958333</v>
      </c>
      <c r="C2218" s="76" t="s">
        <v>365</v>
      </c>
      <c r="D2218" s="150" t="s">
        <v>1070</v>
      </c>
      <c r="E2218" s="79"/>
      <c r="F2218" s="79"/>
    </row>
    <row r="2219" spans="1:7">
      <c r="A2219" s="77">
        <f t="shared" ca="1" si="174"/>
        <v>45988</v>
      </c>
      <c r="B2219" s="80">
        <f t="shared" ca="1" si="175"/>
        <v>45988.063448379631</v>
      </c>
      <c r="C2219" s="76" t="s">
        <v>365</v>
      </c>
      <c r="D2219" s="210" t="s">
        <v>909</v>
      </c>
      <c r="E2219" s="79"/>
      <c r="F2219" s="79"/>
    </row>
    <row r="2220" spans="1:7">
      <c r="A2220" s="77">
        <f t="shared" ca="1" si="174"/>
        <v>45988</v>
      </c>
      <c r="B2220" s="80">
        <f t="shared" ca="1" si="175"/>
        <v>45988.072561342589</v>
      </c>
      <c r="C2220" s="76" t="s">
        <v>365</v>
      </c>
      <c r="D2220" s="76" t="s">
        <v>902</v>
      </c>
      <c r="E2220" s="79" t="s">
        <v>1948</v>
      </c>
      <c r="F2220" s="79"/>
    </row>
    <row r="2221" spans="1:7">
      <c r="A2221" s="77">
        <f t="shared" ca="1" si="174"/>
        <v>45988</v>
      </c>
      <c r="B2221" s="80">
        <f t="shared" ca="1" si="175"/>
        <v>45988.077401504626</v>
      </c>
      <c r="C2221" s="76" t="s">
        <v>365</v>
      </c>
      <c r="D2221" s="76" t="s">
        <v>902</v>
      </c>
      <c r="E2221" s="79" t="s">
        <v>1555</v>
      </c>
      <c r="F2221" s="79"/>
    </row>
    <row r="2222" spans="1:7">
      <c r="A2222" s="77">
        <f t="shared" ca="1" si="174"/>
        <v>45988</v>
      </c>
      <c r="B2222" s="80">
        <f t="shared" ca="1" si="175"/>
        <v>45988.084505439816</v>
      </c>
      <c r="C2222" s="76" t="s">
        <v>365</v>
      </c>
      <c r="D2222" s="76" t="s">
        <v>902</v>
      </c>
      <c r="E2222" s="79" t="s">
        <v>1949</v>
      </c>
      <c r="F2222" s="79"/>
      <c r="G2222" s="76" t="s">
        <v>1950</v>
      </c>
    </row>
    <row r="2223" spans="1:7">
      <c r="A2223" s="77">
        <f t="shared" ca="1" si="174"/>
        <v>45988</v>
      </c>
      <c r="B2223" s="80">
        <f t="shared" ca="1" si="175"/>
        <v>45988.086205555555</v>
      </c>
      <c r="C2223" s="76" t="s">
        <v>365</v>
      </c>
      <c r="D2223" s="76" t="s">
        <v>902</v>
      </c>
      <c r="E2223" s="79" t="s">
        <v>1951</v>
      </c>
      <c r="F2223" s="79"/>
    </row>
    <row r="2224" spans="1:7">
      <c r="A2224" s="77">
        <f t="shared" ca="1" si="174"/>
        <v>45988</v>
      </c>
      <c r="B2224" s="80">
        <f t="shared" ca="1" si="175"/>
        <v>45988.091289004631</v>
      </c>
      <c r="C2224" s="76" t="s">
        <v>365</v>
      </c>
      <c r="D2224" s="76" t="s">
        <v>902</v>
      </c>
      <c r="E2224" s="79" t="s">
        <v>1952</v>
      </c>
      <c r="F2224" s="79"/>
    </row>
    <row r="2225" spans="1:7">
      <c r="A2225" s="77">
        <f t="shared" ca="1" si="174"/>
        <v>45988</v>
      </c>
      <c r="B2225" s="80">
        <f t="shared" ca="1" si="175"/>
        <v>45988.09500833333</v>
      </c>
      <c r="C2225" s="76" t="s">
        <v>365</v>
      </c>
      <c r="D2225" s="76" t="s">
        <v>902</v>
      </c>
      <c r="E2225" s="79" t="s">
        <v>1928</v>
      </c>
      <c r="F2225" s="79"/>
    </row>
    <row r="2226" spans="1:7">
      <c r="A2226" s="77">
        <f t="shared" ca="1" si="174"/>
        <v>45988</v>
      </c>
      <c r="B2226" s="80">
        <f t="shared" ca="1" si="175"/>
        <v>45988.100367824074</v>
      </c>
      <c r="C2226" s="76" t="s">
        <v>365</v>
      </c>
      <c r="D2226" s="76" t="s">
        <v>902</v>
      </c>
      <c r="E2226" s="79" t="s">
        <v>1953</v>
      </c>
      <c r="F2226" s="79"/>
    </row>
    <row r="2227" spans="1:7">
      <c r="A2227" s="77">
        <f t="shared" ca="1" si="174"/>
        <v>45988</v>
      </c>
      <c r="B2227" s="80">
        <f t="shared" ca="1" si="175"/>
        <v>45988.10540763889</v>
      </c>
      <c r="C2227" s="76" t="s">
        <v>365</v>
      </c>
      <c r="D2227" s="76" t="s">
        <v>902</v>
      </c>
      <c r="E2227" s="79" t="s">
        <v>1954</v>
      </c>
      <c r="F2227" s="79"/>
    </row>
    <row r="2228" spans="1:7">
      <c r="A2228" s="77">
        <f t="shared" ca="1" si="174"/>
        <v>45988</v>
      </c>
      <c r="B2228" s="80">
        <f t="shared" ca="1" si="175"/>
        <v>45988.123790277779</v>
      </c>
      <c r="C2228" s="76" t="s">
        <v>365</v>
      </c>
      <c r="D2228" s="76" t="s">
        <v>902</v>
      </c>
      <c r="E2228" s="79" t="s">
        <v>1567</v>
      </c>
      <c r="F2228" s="79"/>
    </row>
    <row r="2229" spans="1:7">
      <c r="A2229" s="77">
        <f t="shared" ca="1" si="174"/>
        <v>45988</v>
      </c>
      <c r="B2229" s="80">
        <f t="shared" ca="1" si="175"/>
        <v>45988.139075347222</v>
      </c>
      <c r="C2229" s="76" t="s">
        <v>365</v>
      </c>
      <c r="D2229" s="76" t="s">
        <v>902</v>
      </c>
      <c r="E2229" s="79" t="s">
        <v>1928</v>
      </c>
      <c r="F2229" s="79"/>
    </row>
    <row r="2230" spans="1:7">
      <c r="A2230" s="77">
        <f t="shared" ca="1" si="174"/>
        <v>45988</v>
      </c>
      <c r="B2230" s="80">
        <f t="shared" ca="1" si="175"/>
        <v>45988.139375694445</v>
      </c>
      <c r="C2230" s="76" t="s">
        <v>365</v>
      </c>
      <c r="D2230" s="76" t="s">
        <v>902</v>
      </c>
      <c r="E2230" s="79" t="s">
        <v>1955</v>
      </c>
      <c r="F2230" s="79"/>
    </row>
    <row r="2231" spans="1:7">
      <c r="A2231" s="77">
        <f t="shared" ca="1" si="174"/>
        <v>45988</v>
      </c>
      <c r="B2231" s="80">
        <f t="shared" ca="1" si="175"/>
        <v>45988.140508912038</v>
      </c>
      <c r="C2231" s="76" t="s">
        <v>365</v>
      </c>
      <c r="D2231" s="76" t="s">
        <v>902</v>
      </c>
      <c r="E2231" s="79" t="s">
        <v>1928</v>
      </c>
      <c r="F2231" s="79"/>
    </row>
    <row r="2232" spans="1:7">
      <c r="A2232" s="77">
        <f t="shared" ca="1" si="174"/>
        <v>45988</v>
      </c>
      <c r="B2232" s="80">
        <f t="shared" ca="1" si="175"/>
        <v>45988.140903240739</v>
      </c>
      <c r="C2232" s="76" t="s">
        <v>365</v>
      </c>
      <c r="D2232" s="76" t="s">
        <v>902</v>
      </c>
      <c r="E2232" s="79" t="s">
        <v>1931</v>
      </c>
      <c r="F2232" s="79"/>
    </row>
    <row r="2233" spans="1:7">
      <c r="A2233" s="77">
        <f t="shared" ca="1" si="174"/>
        <v>45988</v>
      </c>
      <c r="B2233" s="80">
        <f t="shared" ca="1" si="175"/>
        <v>45988.143395601852</v>
      </c>
      <c r="C2233" s="76" t="s">
        <v>365</v>
      </c>
      <c r="D2233" s="76" t="s">
        <v>902</v>
      </c>
      <c r="E2233" s="79" t="s">
        <v>1928</v>
      </c>
      <c r="F2233" s="79"/>
    </row>
    <row r="2234" spans="1:7">
      <c r="A2234" s="77">
        <f t="shared" ca="1" si="174"/>
        <v>45988</v>
      </c>
      <c r="B2234" s="80">
        <f t="shared" ca="1" si="175"/>
        <v>45988.145354166663</v>
      </c>
      <c r="C2234" s="76" t="s">
        <v>365</v>
      </c>
      <c r="D2234" s="210" t="s">
        <v>922</v>
      </c>
      <c r="E2234" s="79"/>
      <c r="F2234" s="79"/>
      <c r="G2234" s="76" t="s">
        <v>1956</v>
      </c>
    </row>
    <row r="2235" spans="1:7">
      <c r="A2235" s="77">
        <f t="shared" ca="1" si="174"/>
        <v>45988</v>
      </c>
      <c r="B2235" s="80">
        <f t="shared" ca="1" si="175"/>
        <v>45988.190273726854</v>
      </c>
      <c r="C2235" s="76" t="s">
        <v>365</v>
      </c>
      <c r="D2235" s="210" t="s">
        <v>1098</v>
      </c>
      <c r="E2235" s="79"/>
      <c r="F2235" s="79"/>
    </row>
    <row r="2236" spans="1:7">
      <c r="A2236" s="77">
        <f t="shared" ca="1" si="174"/>
        <v>45988</v>
      </c>
      <c r="B2236" s="80">
        <f ca="1">IF(C2236&lt;&gt;0,IF(B2236=0,NOW(),B2236),)</f>
        <v>45988.238737268519</v>
      </c>
      <c r="C2236" s="76" t="s">
        <v>369</v>
      </c>
      <c r="D2236" s="210" t="s">
        <v>906</v>
      </c>
      <c r="E2236" s="79"/>
      <c r="F2236" s="79"/>
      <c r="G2236" s="76" t="s">
        <v>1957</v>
      </c>
    </row>
    <row r="2237" spans="1:7">
      <c r="A2237" s="77">
        <f t="shared" ca="1" si="174"/>
        <v>45988</v>
      </c>
      <c r="B2237" s="80">
        <f t="shared" ca="1" si="175"/>
        <v>45988.27851261574</v>
      </c>
      <c r="C2237" s="76" t="s">
        <v>369</v>
      </c>
      <c r="D2237" s="210" t="s">
        <v>909</v>
      </c>
      <c r="E2237" s="79"/>
      <c r="F2237" s="79"/>
    </row>
    <row r="2238" spans="1:7">
      <c r="A2238" s="77">
        <f t="shared" ca="1" si="174"/>
        <v>45988</v>
      </c>
      <c r="B2238" s="80">
        <f t="shared" ca="1" si="175"/>
        <v>45988.285747916663</v>
      </c>
      <c r="C2238" s="76" t="s">
        <v>369</v>
      </c>
      <c r="D2238" s="76" t="s">
        <v>902</v>
      </c>
      <c r="E2238" s="79" t="s">
        <v>1314</v>
      </c>
      <c r="F2238" s="79"/>
    </row>
    <row r="2239" spans="1:7">
      <c r="A2239" s="77">
        <f t="shared" ca="1" si="174"/>
        <v>45988</v>
      </c>
      <c r="B2239" s="80">
        <f t="shared" ca="1" si="175"/>
        <v>45988.28577696759</v>
      </c>
      <c r="C2239" s="76" t="s">
        <v>369</v>
      </c>
      <c r="D2239" s="76" t="s">
        <v>902</v>
      </c>
      <c r="E2239" s="79" t="s">
        <v>1958</v>
      </c>
      <c r="F2239" s="79"/>
    </row>
    <row r="2240" spans="1:7">
      <c r="A2240" s="77">
        <f t="shared" ca="1" si="174"/>
        <v>45988</v>
      </c>
      <c r="B2240" s="80">
        <f t="shared" ca="1" si="175"/>
        <v>45988.29617523148</v>
      </c>
      <c r="C2240" s="76" t="s">
        <v>369</v>
      </c>
      <c r="D2240" s="76" t="s">
        <v>902</v>
      </c>
      <c r="E2240" s="79"/>
      <c r="F2240" s="79"/>
      <c r="G2240" s="76" t="s">
        <v>1959</v>
      </c>
    </row>
    <row r="2241" spans="1:7">
      <c r="A2241" s="77">
        <f t="shared" ca="1" si="174"/>
        <v>45988</v>
      </c>
      <c r="B2241" s="80">
        <f t="shared" ca="1" si="175"/>
        <v>45988.297016319448</v>
      </c>
      <c r="C2241" s="76" t="s">
        <v>369</v>
      </c>
      <c r="D2241" s="76" t="s">
        <v>902</v>
      </c>
      <c r="E2241" s="79"/>
      <c r="F2241" s="79"/>
      <c r="G2241" s="76" t="s">
        <v>1960</v>
      </c>
    </row>
    <row r="2242" spans="1:7">
      <c r="A2242" s="77">
        <f t="shared" ca="1" si="174"/>
        <v>45988</v>
      </c>
      <c r="B2242" s="80">
        <f t="shared" ca="1" si="175"/>
        <v>45988.309618749998</v>
      </c>
      <c r="C2242" s="76" t="s">
        <v>369</v>
      </c>
      <c r="D2242" s="76" t="s">
        <v>902</v>
      </c>
      <c r="E2242" s="79" t="s">
        <v>1961</v>
      </c>
      <c r="F2242" s="79"/>
    </row>
    <row r="2243" spans="1:7">
      <c r="A2243" s="77">
        <f t="shared" ca="1" si="174"/>
        <v>45988</v>
      </c>
      <c r="B2243" s="80">
        <f t="shared" ca="1" si="175"/>
        <v>45988.310371874999</v>
      </c>
      <c r="C2243" s="76" t="s">
        <v>369</v>
      </c>
      <c r="D2243" s="76" t="s">
        <v>902</v>
      </c>
      <c r="E2243" s="79" t="s">
        <v>1962</v>
      </c>
      <c r="F2243" s="79"/>
    </row>
    <row r="2244" spans="1:7">
      <c r="A2244" s="77">
        <f t="shared" ca="1" si="174"/>
        <v>45988</v>
      </c>
      <c r="B2244" s="80">
        <f t="shared" ca="1" si="175"/>
        <v>45988.31757511574</v>
      </c>
      <c r="C2244" s="76" t="s">
        <v>369</v>
      </c>
      <c r="D2244" s="76" t="s">
        <v>902</v>
      </c>
      <c r="E2244" s="79"/>
      <c r="F2244" s="79"/>
      <c r="G2244" s="76" t="s">
        <v>1963</v>
      </c>
    </row>
    <row r="2245" spans="1:7">
      <c r="A2245" s="77">
        <f t="shared" ca="1" si="174"/>
        <v>45988</v>
      </c>
      <c r="B2245" s="80">
        <f t="shared" ca="1" si="175"/>
        <v>45988.324287962962</v>
      </c>
      <c r="C2245" s="76" t="s">
        <v>369</v>
      </c>
      <c r="D2245" s="76" t="s">
        <v>902</v>
      </c>
      <c r="E2245" s="79"/>
      <c r="F2245" s="79"/>
      <c r="G2245" s="76" t="s">
        <v>1964</v>
      </c>
    </row>
    <row r="2246" spans="1:7">
      <c r="A2246" s="77">
        <f t="shared" ca="1" si="174"/>
        <v>45988</v>
      </c>
      <c r="B2246" s="80">
        <f t="shared" ca="1" si="175"/>
        <v>45988.326552777777</v>
      </c>
      <c r="C2246" s="76" t="s">
        <v>369</v>
      </c>
      <c r="D2246" s="76" t="s">
        <v>902</v>
      </c>
      <c r="E2246" s="79" t="s">
        <v>1890</v>
      </c>
      <c r="F2246" s="79"/>
    </row>
    <row r="2247" spans="1:7">
      <c r="A2247" s="77">
        <f t="shared" ca="1" si="174"/>
        <v>45988</v>
      </c>
      <c r="B2247" s="80">
        <f t="shared" ca="1" si="175"/>
        <v>45988.330032291669</v>
      </c>
      <c r="C2247" s="76" t="s">
        <v>369</v>
      </c>
      <c r="D2247" s="76" t="s">
        <v>902</v>
      </c>
      <c r="E2247" s="79" t="s">
        <v>1045</v>
      </c>
      <c r="F2247" s="79"/>
    </row>
    <row r="2248" spans="1:7">
      <c r="A2248" s="77">
        <f t="shared" ca="1" si="174"/>
        <v>45988</v>
      </c>
      <c r="B2248" s="80">
        <f t="shared" ca="1" si="175"/>
        <v>45988.330170370369</v>
      </c>
      <c r="C2248" s="76" t="s">
        <v>369</v>
      </c>
      <c r="D2248" s="76" t="s">
        <v>902</v>
      </c>
      <c r="E2248" s="79"/>
      <c r="F2248" s="79"/>
      <c r="G2248" s="76" t="s">
        <v>1965</v>
      </c>
    </row>
    <row r="2249" spans="1:7">
      <c r="A2249" s="77">
        <f t="shared" ca="1" si="174"/>
        <v>45988</v>
      </c>
      <c r="B2249" s="80">
        <f t="shared" ca="1" si="175"/>
        <v>45988.340267824075</v>
      </c>
      <c r="C2249" s="76" t="s">
        <v>369</v>
      </c>
      <c r="D2249" s="150" t="s">
        <v>1007</v>
      </c>
      <c r="E2249" s="79" t="s">
        <v>1966</v>
      </c>
      <c r="F2249" s="79"/>
      <c r="G2249" s="76" t="s">
        <v>1967</v>
      </c>
    </row>
    <row r="2250" spans="1:7">
      <c r="A2250" s="77">
        <f t="shared" ca="1" si="174"/>
        <v>45988</v>
      </c>
      <c r="B2250" s="80">
        <f t="shared" ca="1" si="175"/>
        <v>45988.344981018519</v>
      </c>
      <c r="C2250" s="76" t="s">
        <v>369</v>
      </c>
      <c r="D2250" s="76" t="s">
        <v>902</v>
      </c>
      <c r="E2250" s="79" t="s">
        <v>1968</v>
      </c>
      <c r="F2250" s="79"/>
      <c r="G2250" s="76" t="s">
        <v>1969</v>
      </c>
    </row>
    <row r="2251" spans="1:7">
      <c r="A2251" s="77">
        <f t="shared" ca="1" si="174"/>
        <v>45988</v>
      </c>
      <c r="B2251" s="80">
        <f t="shared" ca="1" si="175"/>
        <v>45988.348395949077</v>
      </c>
      <c r="C2251" s="76" t="s">
        <v>369</v>
      </c>
      <c r="D2251" s="150" t="s">
        <v>1007</v>
      </c>
      <c r="E2251" s="79" t="s">
        <v>1970</v>
      </c>
      <c r="F2251" s="79"/>
    </row>
    <row r="2252" spans="1:7">
      <c r="A2252" s="77">
        <f t="shared" ca="1" si="174"/>
        <v>45988</v>
      </c>
      <c r="B2252" s="80">
        <f t="shared" ca="1" si="175"/>
        <v>45988.364622453701</v>
      </c>
      <c r="C2252" s="76" t="s">
        <v>369</v>
      </c>
      <c r="D2252" s="76" t="s">
        <v>902</v>
      </c>
      <c r="E2252" s="79" t="s">
        <v>1045</v>
      </c>
      <c r="F2252" s="79"/>
    </row>
    <row r="2253" spans="1:7">
      <c r="A2253" s="77">
        <f t="shared" ref="A2253:A2268" ca="1" si="176">IF(C2253&lt;&gt;0,IF(A2253=0,TODAY(),A2253),)</f>
        <v>45988</v>
      </c>
      <c r="B2253" s="80">
        <f t="shared" ref="B2253:B2268" ca="1" si="177">IF(C2253&lt;&gt;0,IF(B2253=0,NOW(),B2253),)</f>
        <v>45988.382397800924</v>
      </c>
      <c r="C2253" s="76" t="s">
        <v>369</v>
      </c>
      <c r="D2253" s="76" t="s">
        <v>902</v>
      </c>
      <c r="E2253" s="79" t="s">
        <v>1045</v>
      </c>
      <c r="F2253" s="79"/>
    </row>
    <row r="2254" spans="1:7">
      <c r="A2254" s="77">
        <f t="shared" ca="1" si="176"/>
        <v>45988</v>
      </c>
      <c r="B2254" s="80">
        <f t="shared" ca="1" si="177"/>
        <v>45988.388937731484</v>
      </c>
      <c r="C2254" s="76" t="s">
        <v>369</v>
      </c>
      <c r="D2254" s="76" t="s">
        <v>902</v>
      </c>
      <c r="E2254" s="79" t="s">
        <v>1971</v>
      </c>
      <c r="F2254" s="79"/>
    </row>
    <row r="2255" spans="1:7">
      <c r="A2255" s="77">
        <f t="shared" ca="1" si="176"/>
        <v>45988</v>
      </c>
      <c r="B2255" s="80">
        <f t="shared" ca="1" si="177"/>
        <v>45988.394381944447</v>
      </c>
      <c r="C2255" s="76" t="s">
        <v>369</v>
      </c>
      <c r="D2255" s="76" t="s">
        <v>902</v>
      </c>
      <c r="E2255" s="79" t="s">
        <v>1775</v>
      </c>
      <c r="F2255" s="79"/>
    </row>
    <row r="2256" spans="1:7">
      <c r="A2256" s="77">
        <f t="shared" ca="1" si="176"/>
        <v>45988</v>
      </c>
      <c r="B2256" s="80">
        <f t="shared" ca="1" si="177"/>
        <v>45988.402892013888</v>
      </c>
      <c r="C2256" s="76" t="s">
        <v>369</v>
      </c>
      <c r="D2256" s="76" t="s">
        <v>902</v>
      </c>
      <c r="E2256" s="79" t="s">
        <v>996</v>
      </c>
      <c r="F2256" s="79"/>
    </row>
    <row r="2257" spans="1:7">
      <c r="A2257" s="77">
        <f t="shared" ca="1" si="176"/>
        <v>45988</v>
      </c>
      <c r="B2257" s="80">
        <f t="shared" ca="1" si="177"/>
        <v>45988.414340856485</v>
      </c>
      <c r="C2257" s="76" t="s">
        <v>369</v>
      </c>
      <c r="D2257" s="76" t="s">
        <v>902</v>
      </c>
      <c r="E2257" s="79" t="s">
        <v>1477</v>
      </c>
      <c r="F2257" s="79"/>
    </row>
    <row r="2258" spans="1:7">
      <c r="A2258" s="77">
        <f t="shared" ca="1" si="176"/>
        <v>45988</v>
      </c>
      <c r="B2258" s="80">
        <f t="shared" ca="1" si="177"/>
        <v>45988.415494791669</v>
      </c>
      <c r="C2258" s="76" t="s">
        <v>369</v>
      </c>
      <c r="D2258" s="76" t="s">
        <v>902</v>
      </c>
      <c r="E2258" s="79" t="s">
        <v>1972</v>
      </c>
      <c r="F2258" s="79"/>
    </row>
    <row r="2259" spans="1:7">
      <c r="A2259" s="77">
        <f t="shared" ca="1" si="176"/>
        <v>45988</v>
      </c>
      <c r="B2259" s="80">
        <f t="shared" ca="1" si="177"/>
        <v>45988.423361574074</v>
      </c>
      <c r="C2259" s="76" t="s">
        <v>369</v>
      </c>
      <c r="D2259" s="76" t="s">
        <v>902</v>
      </c>
      <c r="E2259" s="79" t="s">
        <v>1973</v>
      </c>
      <c r="F2259" s="79"/>
    </row>
    <row r="2260" spans="1:7">
      <c r="A2260" s="77">
        <f t="shared" ca="1" si="176"/>
        <v>45988</v>
      </c>
      <c r="B2260" s="80">
        <f t="shared" ca="1" si="177"/>
        <v>45988.429916203706</v>
      </c>
      <c r="C2260" s="76" t="s">
        <v>369</v>
      </c>
      <c r="D2260" s="76" t="s">
        <v>902</v>
      </c>
      <c r="E2260" s="79"/>
      <c r="F2260" s="79"/>
      <c r="G2260" s="76" t="s">
        <v>1974</v>
      </c>
    </row>
    <row r="2261" spans="1:7">
      <c r="A2261" s="77">
        <f t="shared" ca="1" si="176"/>
        <v>45988</v>
      </c>
      <c r="B2261" s="80">
        <f t="shared" ca="1" si="177"/>
        <v>45988.430281250003</v>
      </c>
      <c r="C2261" s="76" t="s">
        <v>369</v>
      </c>
      <c r="D2261" s="76" t="s">
        <v>902</v>
      </c>
      <c r="E2261" s="79"/>
      <c r="F2261" s="79"/>
      <c r="G2261" s="76" t="s">
        <v>1975</v>
      </c>
    </row>
    <row r="2262" spans="1:7" ht="30">
      <c r="A2262" s="77">
        <f t="shared" ca="1" si="176"/>
        <v>45988</v>
      </c>
      <c r="B2262" s="80">
        <f t="shared" ca="1" si="177"/>
        <v>45988.450548148146</v>
      </c>
      <c r="C2262" s="76" t="s">
        <v>369</v>
      </c>
      <c r="D2262" s="76" t="s">
        <v>902</v>
      </c>
      <c r="E2262" s="79"/>
      <c r="F2262" s="79"/>
      <c r="G2262" s="76" t="s">
        <v>1976</v>
      </c>
    </row>
    <row r="2263" spans="1:7">
      <c r="A2263" s="77">
        <f t="shared" ca="1" si="176"/>
        <v>45988</v>
      </c>
      <c r="B2263" s="80">
        <f t="shared" ca="1" si="177"/>
        <v>45988.505787731483</v>
      </c>
      <c r="C2263" s="76" t="s">
        <v>369</v>
      </c>
      <c r="D2263" s="76" t="s">
        <v>902</v>
      </c>
      <c r="E2263" s="79"/>
      <c r="F2263" s="79"/>
      <c r="G2263" s="76" t="s">
        <v>1977</v>
      </c>
    </row>
    <row r="2264" spans="1:7">
      <c r="A2264" s="77">
        <f t="shared" ca="1" si="176"/>
        <v>45988</v>
      </c>
      <c r="B2264" s="80">
        <f t="shared" ca="1" si="177"/>
        <v>45988.507380787036</v>
      </c>
      <c r="C2264" s="76" t="s">
        <v>369</v>
      </c>
      <c r="D2264" s="76" t="s">
        <v>902</v>
      </c>
      <c r="E2264" s="79" t="s">
        <v>996</v>
      </c>
      <c r="F2264" s="79"/>
    </row>
    <row r="2265" spans="1:7">
      <c r="A2265" s="77">
        <f t="shared" ca="1" si="176"/>
        <v>45988</v>
      </c>
      <c r="B2265" s="80">
        <f t="shared" ca="1" si="177"/>
        <v>45988.523414814816</v>
      </c>
      <c r="C2265" s="76" t="s">
        <v>369</v>
      </c>
      <c r="D2265" s="76" t="s">
        <v>902</v>
      </c>
      <c r="E2265" s="79" t="s">
        <v>1978</v>
      </c>
      <c r="F2265" s="79"/>
    </row>
    <row r="2266" spans="1:7">
      <c r="A2266" s="77">
        <f t="shared" ca="1" si="176"/>
        <v>45988</v>
      </c>
      <c r="B2266" s="80">
        <f t="shared" ca="1" si="177"/>
        <v>45988.528063310187</v>
      </c>
      <c r="C2266" s="76" t="s">
        <v>369</v>
      </c>
      <c r="D2266" s="150" t="s">
        <v>1007</v>
      </c>
      <c r="E2266" s="79" t="s">
        <v>1979</v>
      </c>
      <c r="F2266" s="79"/>
    </row>
    <row r="2267" spans="1:7">
      <c r="A2267" s="77">
        <f t="shared" ca="1" si="176"/>
        <v>45988</v>
      </c>
      <c r="B2267" s="80">
        <f t="shared" ca="1" si="177"/>
        <v>45988.539546990738</v>
      </c>
      <c r="C2267" s="76" t="s">
        <v>369</v>
      </c>
      <c r="D2267" s="210" t="s">
        <v>922</v>
      </c>
      <c r="E2267" s="79"/>
      <c r="F2267" s="79"/>
    </row>
    <row r="2268" spans="1:7">
      <c r="A2268" s="77">
        <f t="shared" ca="1" si="176"/>
        <v>45988</v>
      </c>
      <c r="B2268" s="80">
        <f t="shared" ca="1" si="177"/>
        <v>45988.569416782404</v>
      </c>
      <c r="C2268" s="76" t="s">
        <v>369</v>
      </c>
      <c r="D2268" s="210" t="s">
        <v>1098</v>
      </c>
      <c r="E2268" s="79"/>
      <c r="F2268" s="79"/>
    </row>
    <row r="2269" spans="1:7">
      <c r="A2269" s="77">
        <f t="shared" ref="A2269:A2281" ca="1" si="178">IF(C2269&lt;&gt;0,IF(A2269=0,TODAY(),A2269),)</f>
        <v>45988</v>
      </c>
      <c r="B2269" s="80">
        <f t="shared" ref="B2269:B2281" ca="1" si="179">IF(C2269&lt;&gt;0,IF(B2269=0,NOW(),B2269),)</f>
        <v>45988.61854236111</v>
      </c>
      <c r="C2269" s="76" t="s">
        <v>372</v>
      </c>
      <c r="D2269" s="210" t="s">
        <v>906</v>
      </c>
      <c r="E2269" s="79"/>
      <c r="F2269" s="79"/>
    </row>
    <row r="2270" spans="1:7">
      <c r="A2270" s="77">
        <f t="shared" ca="1" si="178"/>
        <v>45988</v>
      </c>
      <c r="B2270" s="80">
        <f t="shared" ca="1" si="179"/>
        <v>45988.654563310185</v>
      </c>
      <c r="C2270" s="76" t="s">
        <v>372</v>
      </c>
      <c r="D2270" s="210" t="s">
        <v>909</v>
      </c>
      <c r="E2270" s="79"/>
      <c r="F2270" s="79"/>
    </row>
    <row r="2271" spans="1:7">
      <c r="A2271" s="77">
        <f t="shared" ca="1" si="178"/>
        <v>45988</v>
      </c>
      <c r="B2271" s="80">
        <f t="shared" ca="1" si="179"/>
        <v>45988.657477893517</v>
      </c>
      <c r="C2271" s="76" t="s">
        <v>372</v>
      </c>
      <c r="D2271" s="76" t="s">
        <v>902</v>
      </c>
      <c r="E2271" s="79" t="s">
        <v>1980</v>
      </c>
      <c r="F2271" s="79"/>
    </row>
    <row r="2272" spans="1:7">
      <c r="A2272" s="77">
        <f t="shared" ca="1" si="178"/>
        <v>45988</v>
      </c>
      <c r="B2272" s="80">
        <f t="shared" ca="1" si="179"/>
        <v>45988.662097453707</v>
      </c>
      <c r="C2272" s="76" t="s">
        <v>372</v>
      </c>
      <c r="D2272" s="76" t="s">
        <v>902</v>
      </c>
      <c r="E2272" s="79"/>
      <c r="F2272" s="79"/>
      <c r="G2272" s="76" t="s">
        <v>1981</v>
      </c>
    </row>
    <row r="2273" spans="1:7">
      <c r="A2273" s="77">
        <f t="shared" ca="1" si="178"/>
        <v>45988</v>
      </c>
      <c r="B2273" s="80">
        <f t="shared" ca="1" si="179"/>
        <v>45988.662904166667</v>
      </c>
      <c r="C2273" s="76" t="s">
        <v>372</v>
      </c>
      <c r="D2273" s="76" t="s">
        <v>902</v>
      </c>
      <c r="E2273" s="79"/>
      <c r="F2273" s="79"/>
      <c r="G2273" s="76" t="s">
        <v>1982</v>
      </c>
    </row>
    <row r="2274" spans="1:7">
      <c r="A2274" s="77">
        <f t="shared" ca="1" si="178"/>
        <v>45988</v>
      </c>
      <c r="B2274" s="80">
        <f t="shared" ca="1" si="179"/>
        <v>45988.665730092594</v>
      </c>
      <c r="C2274" s="76" t="s">
        <v>372</v>
      </c>
      <c r="D2274" s="76" t="s">
        <v>902</v>
      </c>
      <c r="E2274" s="79" t="s">
        <v>1480</v>
      </c>
      <c r="F2274" s="79"/>
    </row>
    <row r="2275" spans="1:7">
      <c r="A2275" s="77">
        <f t="shared" ca="1" si="178"/>
        <v>45988</v>
      </c>
      <c r="B2275" s="80">
        <f t="shared" ca="1" si="179"/>
        <v>45988.667340162036</v>
      </c>
      <c r="C2275" s="76" t="s">
        <v>372</v>
      </c>
      <c r="D2275" s="76" t="s">
        <v>902</v>
      </c>
      <c r="E2275" s="79" t="s">
        <v>1983</v>
      </c>
      <c r="F2275" s="79"/>
    </row>
    <row r="2276" spans="1:7">
      <c r="A2276" s="77">
        <f t="shared" ca="1" si="178"/>
        <v>45988</v>
      </c>
      <c r="B2276" s="80">
        <f t="shared" ca="1" si="179"/>
        <v>45988.668516203703</v>
      </c>
      <c r="C2276" s="76" t="s">
        <v>372</v>
      </c>
      <c r="D2276" s="76" t="s">
        <v>902</v>
      </c>
      <c r="E2276" s="79"/>
      <c r="F2276" s="79"/>
      <c r="G2276" s="76" t="s">
        <v>1311</v>
      </c>
    </row>
    <row r="2277" spans="1:7">
      <c r="A2277" s="77">
        <f t="shared" ca="1" si="178"/>
        <v>45988</v>
      </c>
      <c r="B2277" s="80">
        <f t="shared" ca="1" si="179"/>
        <v>45988.684699884259</v>
      </c>
      <c r="C2277" s="76" t="s">
        <v>372</v>
      </c>
      <c r="D2277" s="76" t="s">
        <v>902</v>
      </c>
      <c r="E2277" s="79"/>
      <c r="F2277" s="79"/>
      <c r="G2277" s="76" t="s">
        <v>1984</v>
      </c>
    </row>
    <row r="2278" spans="1:7">
      <c r="A2278" s="77">
        <f t="shared" ca="1" si="178"/>
        <v>45988</v>
      </c>
      <c r="B2278" s="80">
        <f t="shared" ca="1" si="179"/>
        <v>45988.693546296294</v>
      </c>
      <c r="C2278" s="76" t="s">
        <v>372</v>
      </c>
      <c r="D2278" s="76" t="s">
        <v>902</v>
      </c>
      <c r="E2278" s="79"/>
      <c r="F2278" s="79"/>
      <c r="G2278" s="76" t="s">
        <v>1985</v>
      </c>
    </row>
    <row r="2279" spans="1:7">
      <c r="A2279" s="77">
        <f t="shared" ca="1" si="178"/>
        <v>45988</v>
      </c>
      <c r="B2279" s="80">
        <f t="shared" ca="1" si="179"/>
        <v>45988.706906944448</v>
      </c>
      <c r="C2279" s="76" t="s">
        <v>372</v>
      </c>
      <c r="D2279" s="76" t="s">
        <v>902</v>
      </c>
      <c r="E2279" s="79" t="s">
        <v>1588</v>
      </c>
      <c r="F2279" s="79"/>
    </row>
    <row r="2280" spans="1:7">
      <c r="A2280" s="77">
        <f t="shared" ca="1" si="178"/>
        <v>45988</v>
      </c>
      <c r="B2280" s="80">
        <f t="shared" ca="1" si="179"/>
        <v>45988.718389814814</v>
      </c>
      <c r="C2280" s="76" t="s">
        <v>372</v>
      </c>
      <c r="D2280" s="76" t="s">
        <v>902</v>
      </c>
      <c r="E2280" s="79"/>
      <c r="F2280" s="79"/>
      <c r="G2280" s="76" t="s">
        <v>1986</v>
      </c>
    </row>
    <row r="2281" spans="1:7">
      <c r="A2281" s="77">
        <f t="shared" ca="1" si="178"/>
        <v>45988</v>
      </c>
      <c r="B2281" s="80">
        <f t="shared" ca="1" si="179"/>
        <v>45988.733370949078</v>
      </c>
      <c r="C2281" s="76" t="s">
        <v>372</v>
      </c>
      <c r="D2281" s="76" t="s">
        <v>902</v>
      </c>
      <c r="E2281" s="79"/>
      <c r="F2281" s="79"/>
      <c r="G2281" s="76" t="s">
        <v>1986</v>
      </c>
    </row>
    <row r="2282" spans="1:7">
      <c r="A2282" s="77">
        <f t="shared" ref="A2282:A2305" ca="1" si="180">IF(C2282&lt;&gt;0,IF(A2282=0,TODAY(),A2282),)</f>
        <v>45988</v>
      </c>
      <c r="B2282" s="80">
        <f t="shared" ref="B2282:B2305" ca="1" si="181">IF(C2282&lt;&gt;0,IF(B2282=0,NOW(),B2282),)</f>
        <v>45988.744058564815</v>
      </c>
      <c r="C2282" s="76" t="s">
        <v>372</v>
      </c>
      <c r="D2282" s="76" t="s">
        <v>902</v>
      </c>
      <c r="E2282" s="79" t="s">
        <v>1841</v>
      </c>
      <c r="F2282" s="79"/>
    </row>
    <row r="2283" spans="1:7">
      <c r="A2283" s="77">
        <f t="shared" ca="1" si="180"/>
        <v>45988</v>
      </c>
      <c r="B2283" s="80">
        <f t="shared" ca="1" si="181"/>
        <v>45988.756283796298</v>
      </c>
      <c r="C2283" s="76" t="s">
        <v>372</v>
      </c>
      <c r="D2283" s="76" t="s">
        <v>902</v>
      </c>
      <c r="E2283" s="79" t="s">
        <v>1691</v>
      </c>
      <c r="F2283" s="79"/>
    </row>
    <row r="2284" spans="1:7">
      <c r="A2284" s="77">
        <f t="shared" ca="1" si="180"/>
        <v>45988</v>
      </c>
      <c r="B2284" s="80">
        <f t="shared" ca="1" si="181"/>
        <v>45988.765486111108</v>
      </c>
      <c r="C2284" s="76" t="s">
        <v>372</v>
      </c>
      <c r="D2284" s="76" t="s">
        <v>902</v>
      </c>
      <c r="E2284" s="79" t="s">
        <v>1555</v>
      </c>
      <c r="F2284" s="79"/>
      <c r="G2284" s="76" t="s">
        <v>1987</v>
      </c>
    </row>
    <row r="2285" spans="1:7">
      <c r="A2285" s="77">
        <f t="shared" ca="1" si="180"/>
        <v>45988</v>
      </c>
      <c r="B2285" s="80">
        <f t="shared" ca="1" si="181"/>
        <v>45988.781598263886</v>
      </c>
      <c r="C2285" s="76" t="s">
        <v>372</v>
      </c>
      <c r="D2285" s="150" t="s">
        <v>1007</v>
      </c>
      <c r="E2285" s="79" t="s">
        <v>1988</v>
      </c>
      <c r="F2285" s="79"/>
      <c r="G2285" s="76" t="s">
        <v>1989</v>
      </c>
    </row>
    <row r="2286" spans="1:7">
      <c r="A2286" s="77">
        <f t="shared" ca="1" si="180"/>
        <v>45988</v>
      </c>
      <c r="B2286" s="80">
        <f t="shared" ca="1" si="181"/>
        <v>45988.79601273148</v>
      </c>
      <c r="C2286" s="76" t="s">
        <v>372</v>
      </c>
      <c r="D2286" s="150" t="s">
        <v>1007</v>
      </c>
      <c r="E2286" s="79" t="s">
        <v>1504</v>
      </c>
      <c r="F2286" s="79"/>
    </row>
    <row r="2287" spans="1:7">
      <c r="A2287" s="77">
        <f t="shared" ca="1" si="180"/>
        <v>45988</v>
      </c>
      <c r="B2287" s="80">
        <f t="shared" ca="1" si="181"/>
        <v>45988.796641782406</v>
      </c>
      <c r="C2287" s="76" t="s">
        <v>372</v>
      </c>
      <c r="D2287" s="210" t="s">
        <v>922</v>
      </c>
      <c r="E2287" s="79" t="s">
        <v>1990</v>
      </c>
      <c r="F2287" s="79"/>
    </row>
    <row r="2288" spans="1:7">
      <c r="A2288" s="77">
        <f t="shared" ca="1" si="180"/>
        <v>45988</v>
      </c>
      <c r="B2288" s="80">
        <f t="shared" ca="1" si="181"/>
        <v>45988.850507291667</v>
      </c>
      <c r="C2288" s="76" t="s">
        <v>372</v>
      </c>
      <c r="D2288" s="210" t="s">
        <v>1098</v>
      </c>
      <c r="E2288" s="79"/>
      <c r="F2288" s="79"/>
    </row>
    <row r="2289" spans="1:7">
      <c r="A2289" s="77">
        <f t="shared" ca="1" si="180"/>
        <v>45988</v>
      </c>
      <c r="B2289" s="80">
        <f t="shared" ca="1" si="181"/>
        <v>45988.90945162037</v>
      </c>
      <c r="C2289" s="76" t="s">
        <v>375</v>
      </c>
      <c r="D2289" s="210" t="s">
        <v>906</v>
      </c>
      <c r="E2289" s="79"/>
      <c r="F2289" s="79"/>
    </row>
    <row r="2290" spans="1:7">
      <c r="A2290" s="77">
        <f t="shared" ca="1" si="180"/>
        <v>45988</v>
      </c>
      <c r="B2290" s="80">
        <f t="shared" ca="1" si="181"/>
        <v>45988.946583912038</v>
      </c>
      <c r="C2290" s="76" t="s">
        <v>375</v>
      </c>
      <c r="D2290" s="210" t="s">
        <v>909</v>
      </c>
      <c r="E2290" s="79"/>
      <c r="F2290" s="79"/>
    </row>
    <row r="2291" spans="1:7">
      <c r="A2291" s="77">
        <f t="shared" ca="1" si="180"/>
        <v>45988</v>
      </c>
      <c r="B2291" s="80">
        <f t="shared" ca="1" si="181"/>
        <v>45988.946856134258</v>
      </c>
      <c r="C2291" s="76" t="s">
        <v>375</v>
      </c>
      <c r="D2291" s="76" t="s">
        <v>902</v>
      </c>
      <c r="E2291" s="79" t="s">
        <v>1928</v>
      </c>
      <c r="F2291" s="79"/>
    </row>
    <row r="2292" spans="1:7">
      <c r="A2292" s="77">
        <f t="shared" ca="1" si="180"/>
        <v>45988</v>
      </c>
      <c r="B2292" s="80">
        <f t="shared" ca="1" si="181"/>
        <v>45988.947776967594</v>
      </c>
      <c r="C2292" s="76" t="s">
        <v>375</v>
      </c>
      <c r="D2292" s="76" t="s">
        <v>902</v>
      </c>
      <c r="E2292" s="79" t="s">
        <v>1991</v>
      </c>
      <c r="F2292" s="79"/>
    </row>
    <row r="2293" spans="1:7">
      <c r="A2293" s="77">
        <f t="shared" ca="1" si="180"/>
        <v>45988</v>
      </c>
      <c r="B2293" s="80">
        <f t="shared" ca="1" si="181"/>
        <v>45988.948985995368</v>
      </c>
      <c r="C2293" s="76" t="s">
        <v>375</v>
      </c>
      <c r="D2293" s="76" t="s">
        <v>902</v>
      </c>
      <c r="E2293" s="79" t="s">
        <v>1954</v>
      </c>
      <c r="F2293" s="79"/>
    </row>
    <row r="2294" spans="1:7">
      <c r="A2294" s="77">
        <f t="shared" ca="1" si="180"/>
        <v>45988</v>
      </c>
      <c r="B2294" s="80">
        <f t="shared" ca="1" si="181"/>
        <v>45988.949602546294</v>
      </c>
      <c r="C2294" s="76" t="s">
        <v>375</v>
      </c>
      <c r="D2294" s="76" t="s">
        <v>902</v>
      </c>
      <c r="E2294" s="79" t="s">
        <v>1925</v>
      </c>
      <c r="F2294" s="79"/>
    </row>
    <row r="2295" spans="1:7">
      <c r="A2295" s="77">
        <f t="shared" ca="1" si="180"/>
        <v>45988</v>
      </c>
      <c r="B2295" s="80">
        <f t="shared" ca="1" si="181"/>
        <v>45988.950267361113</v>
      </c>
      <c r="C2295" s="76" t="s">
        <v>375</v>
      </c>
      <c r="D2295" s="76" t="s">
        <v>902</v>
      </c>
      <c r="E2295" s="79" t="s">
        <v>1954</v>
      </c>
      <c r="F2295" s="79"/>
    </row>
    <row r="2296" spans="1:7">
      <c r="A2296" s="77">
        <f t="shared" ca="1" si="180"/>
        <v>45988</v>
      </c>
      <c r="B2296" s="80">
        <f t="shared" ca="1" si="181"/>
        <v>45988.951736574076</v>
      </c>
      <c r="C2296" s="76" t="s">
        <v>375</v>
      </c>
      <c r="D2296" s="76" t="s">
        <v>902</v>
      </c>
      <c r="E2296" s="79" t="s">
        <v>1928</v>
      </c>
      <c r="F2296" s="79"/>
    </row>
    <row r="2297" spans="1:7">
      <c r="A2297" s="77">
        <f t="shared" ca="1" si="180"/>
        <v>45988</v>
      </c>
      <c r="B2297" s="80">
        <f t="shared" ca="1" si="181"/>
        <v>45988.951766782404</v>
      </c>
      <c r="C2297" s="76" t="s">
        <v>375</v>
      </c>
      <c r="D2297" s="76" t="s">
        <v>902</v>
      </c>
      <c r="E2297" s="79" t="s">
        <v>1925</v>
      </c>
      <c r="F2297" s="79"/>
    </row>
    <row r="2298" spans="1:7">
      <c r="A2298" s="77">
        <f t="shared" ca="1" si="180"/>
        <v>45988</v>
      </c>
      <c r="B2298" s="80">
        <f t="shared" ca="1" si="181"/>
        <v>45988.952883449077</v>
      </c>
      <c r="C2298" s="76" t="s">
        <v>375</v>
      </c>
      <c r="D2298" s="76" t="s">
        <v>902</v>
      </c>
      <c r="E2298" s="79" t="s">
        <v>1928</v>
      </c>
      <c r="F2298" s="79"/>
    </row>
    <row r="2299" spans="1:7">
      <c r="A2299" s="77">
        <f t="shared" ca="1" si="180"/>
        <v>45988</v>
      </c>
      <c r="B2299" s="80">
        <f t="shared" ca="1" si="181"/>
        <v>45988.955523032404</v>
      </c>
      <c r="C2299" s="76" t="s">
        <v>375</v>
      </c>
      <c r="D2299" s="76" t="s">
        <v>902</v>
      </c>
      <c r="E2299" s="79" t="s">
        <v>1992</v>
      </c>
      <c r="F2299" s="79"/>
    </row>
    <row r="2300" spans="1:7">
      <c r="A2300" s="77">
        <f t="shared" ca="1" si="180"/>
        <v>45988</v>
      </c>
      <c r="B2300" s="80">
        <f t="shared" ca="1" si="181"/>
        <v>45988.958235648148</v>
      </c>
      <c r="C2300" s="76" t="s">
        <v>375</v>
      </c>
      <c r="D2300" s="76" t="s">
        <v>902</v>
      </c>
      <c r="E2300" s="79" t="s">
        <v>1928</v>
      </c>
      <c r="F2300" s="79"/>
    </row>
    <row r="2301" spans="1:7">
      <c r="A2301" s="77">
        <f t="shared" ca="1" si="180"/>
        <v>45988</v>
      </c>
      <c r="B2301" s="80">
        <f t="shared" ca="1" si="181"/>
        <v>45988.972135300923</v>
      </c>
      <c r="C2301" s="76" t="s">
        <v>375</v>
      </c>
      <c r="D2301" s="76" t="s">
        <v>902</v>
      </c>
      <c r="E2301" s="79" t="s">
        <v>1555</v>
      </c>
      <c r="F2301" s="79"/>
      <c r="G2301" s="76" t="s">
        <v>1993</v>
      </c>
    </row>
    <row r="2302" spans="1:7">
      <c r="A2302" s="77">
        <f t="shared" ca="1" si="180"/>
        <v>45988</v>
      </c>
      <c r="B2302" s="80">
        <f t="shared" ca="1" si="181"/>
        <v>45988.982324884259</v>
      </c>
      <c r="C2302" s="76" t="s">
        <v>375</v>
      </c>
      <c r="D2302" s="150" t="s">
        <v>1007</v>
      </c>
      <c r="E2302" s="76" t="s">
        <v>1994</v>
      </c>
      <c r="F2302" s="79"/>
    </row>
    <row r="2303" spans="1:7">
      <c r="A2303" s="77">
        <f t="shared" ca="1" si="180"/>
        <v>45988</v>
      </c>
      <c r="B2303" s="80">
        <f t="shared" ca="1" si="181"/>
        <v>45988.982324884259</v>
      </c>
      <c r="C2303" s="76" t="s">
        <v>375</v>
      </c>
      <c r="D2303" s="150" t="s">
        <v>1007</v>
      </c>
      <c r="E2303" s="79" t="s">
        <v>1995</v>
      </c>
      <c r="F2303" s="79"/>
      <c r="G2303" s="76" t="s">
        <v>1996</v>
      </c>
    </row>
    <row r="2304" spans="1:7">
      <c r="A2304" s="77">
        <f t="shared" ca="1" si="180"/>
        <v>45989</v>
      </c>
      <c r="B2304" s="80">
        <f t="shared" ca="1" si="181"/>
        <v>45989.006373032411</v>
      </c>
      <c r="C2304" s="76" t="s">
        <v>375</v>
      </c>
      <c r="D2304" s="76" t="s">
        <v>902</v>
      </c>
      <c r="E2304" s="79"/>
      <c r="F2304" s="79"/>
      <c r="G2304" s="76" t="s">
        <v>1997</v>
      </c>
    </row>
    <row r="2305" spans="1:7">
      <c r="A2305" s="77">
        <f t="shared" ca="1" si="180"/>
        <v>45989</v>
      </c>
      <c r="B2305" s="80">
        <f t="shared" ca="1" si="181"/>
        <v>45989.008737962962</v>
      </c>
      <c r="C2305" s="76" t="s">
        <v>375</v>
      </c>
      <c r="D2305" s="76" t="s">
        <v>902</v>
      </c>
      <c r="E2305" s="79" t="s">
        <v>1998</v>
      </c>
      <c r="F2305" s="79"/>
      <c r="G2305" s="76" t="s">
        <v>1996</v>
      </c>
    </row>
    <row r="2306" spans="1:7">
      <c r="A2306" s="77">
        <f t="shared" ref="A2306:A2337" ca="1" si="182">IF(C2306&lt;&gt;0,IF(A2306=0,TODAY(),A2306),)</f>
        <v>45989</v>
      </c>
      <c r="B2306" s="80">
        <f t="shared" ref="B2306:B2337" ca="1" si="183">IF(C2306&lt;&gt;0,IF(B2306=0,NOW(),B2306),)</f>
        <v>45989.031101967594</v>
      </c>
      <c r="C2306" s="76" t="s">
        <v>375</v>
      </c>
      <c r="D2306" s="76" t="s">
        <v>902</v>
      </c>
      <c r="E2306" s="79"/>
      <c r="F2306" s="79"/>
      <c r="G2306" s="76" t="s">
        <v>1999</v>
      </c>
    </row>
    <row r="2307" spans="1:7">
      <c r="A2307" s="77">
        <f t="shared" ca="1" si="182"/>
        <v>45989</v>
      </c>
      <c r="B2307" s="80">
        <f t="shared" ca="1" si="183"/>
        <v>45989.038407754633</v>
      </c>
      <c r="C2307" s="76" t="s">
        <v>375</v>
      </c>
      <c r="D2307" s="76" t="s">
        <v>902</v>
      </c>
      <c r="E2307" s="79" t="s">
        <v>2000</v>
      </c>
      <c r="F2307" s="79"/>
    </row>
    <row r="2308" spans="1:7">
      <c r="A2308" s="77">
        <f t="shared" ca="1" si="182"/>
        <v>45989</v>
      </c>
      <c r="B2308" s="80">
        <f t="shared" ca="1" si="183"/>
        <v>45989.03888148148</v>
      </c>
      <c r="C2308" s="76" t="s">
        <v>375</v>
      </c>
      <c r="D2308" s="76" t="s">
        <v>902</v>
      </c>
      <c r="E2308" s="79" t="s">
        <v>2001</v>
      </c>
      <c r="F2308" s="79"/>
    </row>
    <row r="2309" spans="1:7">
      <c r="A2309" s="77">
        <f t="shared" ca="1" si="182"/>
        <v>45989</v>
      </c>
      <c r="B2309" s="80">
        <f t="shared" ca="1" si="183"/>
        <v>45989.041017708332</v>
      </c>
      <c r="C2309" s="76" t="s">
        <v>375</v>
      </c>
      <c r="D2309" s="76" t="s">
        <v>902</v>
      </c>
      <c r="E2309" s="79" t="s">
        <v>2002</v>
      </c>
      <c r="F2309" s="79"/>
    </row>
    <row r="2310" spans="1:7">
      <c r="A2310" s="77">
        <f t="shared" ca="1" si="182"/>
        <v>45989</v>
      </c>
      <c r="B2310" s="80">
        <f t="shared" ca="1" si="183"/>
        <v>45989.048300000002</v>
      </c>
      <c r="C2310" s="76" t="s">
        <v>375</v>
      </c>
      <c r="D2310" s="210" t="s">
        <v>922</v>
      </c>
      <c r="E2310" s="79"/>
      <c r="F2310" s="79"/>
    </row>
    <row r="2311" spans="1:7">
      <c r="A2311" s="77">
        <f t="shared" ca="1" si="182"/>
        <v>45989</v>
      </c>
      <c r="B2311" s="80">
        <f t="shared" ca="1" si="183"/>
        <v>45989.073627662037</v>
      </c>
      <c r="C2311" s="76" t="s">
        <v>375</v>
      </c>
      <c r="D2311" s="210" t="s">
        <v>1098</v>
      </c>
      <c r="E2311" s="79"/>
      <c r="F2311" s="79"/>
    </row>
    <row r="2312" spans="1:7">
      <c r="A2312" s="77">
        <f t="shared" ca="1" si="182"/>
        <v>45989</v>
      </c>
      <c r="B2312" s="80">
        <f t="shared" ca="1" si="183"/>
        <v>45989.127032407407</v>
      </c>
      <c r="C2312" s="76" t="s">
        <v>378</v>
      </c>
      <c r="D2312" s="210" t="s">
        <v>906</v>
      </c>
      <c r="E2312" s="79"/>
      <c r="F2312" s="79"/>
    </row>
    <row r="2313" spans="1:7">
      <c r="A2313" s="77">
        <f t="shared" ca="1" si="182"/>
        <v>45989</v>
      </c>
      <c r="B2313" s="80">
        <f t="shared" ca="1" si="183"/>
        <v>45989.184280671296</v>
      </c>
      <c r="C2313" s="76" t="s">
        <v>378</v>
      </c>
      <c r="D2313" s="210" t="s">
        <v>909</v>
      </c>
      <c r="E2313" s="79"/>
      <c r="F2313" s="79"/>
    </row>
    <row r="2314" spans="1:7">
      <c r="A2314" s="77">
        <f t="shared" ca="1" si="182"/>
        <v>45989</v>
      </c>
      <c r="B2314" s="80">
        <f t="shared" ca="1" si="183"/>
        <v>45989.186214351852</v>
      </c>
      <c r="C2314" s="76" t="s">
        <v>378</v>
      </c>
      <c r="D2314" s="76" t="s">
        <v>902</v>
      </c>
      <c r="E2314" s="79" t="s">
        <v>1562</v>
      </c>
      <c r="F2314" s="79"/>
    </row>
    <row r="2315" spans="1:7">
      <c r="A2315" s="77">
        <f t="shared" ca="1" si="182"/>
        <v>45989</v>
      </c>
      <c r="B2315" s="80">
        <f t="shared" ca="1" si="183"/>
        <v>45989.187962152777</v>
      </c>
      <c r="C2315" s="76" t="s">
        <v>378</v>
      </c>
      <c r="D2315" s="76" t="s">
        <v>902</v>
      </c>
      <c r="E2315" s="79" t="s">
        <v>1551</v>
      </c>
      <c r="F2315" s="79"/>
    </row>
    <row r="2316" spans="1:7">
      <c r="A2316" s="77">
        <f t="shared" ca="1" si="182"/>
        <v>45989</v>
      </c>
      <c r="B2316" s="80">
        <f t="shared" ca="1" si="183"/>
        <v>45989.18864375</v>
      </c>
      <c r="C2316" s="76" t="s">
        <v>378</v>
      </c>
      <c r="D2316" s="76" t="s">
        <v>902</v>
      </c>
      <c r="E2316" s="79" t="s">
        <v>1562</v>
      </c>
      <c r="F2316" s="79"/>
    </row>
    <row r="2317" spans="1:7">
      <c r="A2317" s="77">
        <f t="shared" ca="1" si="182"/>
        <v>45989</v>
      </c>
      <c r="B2317" s="80">
        <f t="shared" ca="1" si="183"/>
        <v>45989.19001875</v>
      </c>
      <c r="C2317" s="76" t="s">
        <v>378</v>
      </c>
      <c r="D2317" s="76" t="s">
        <v>902</v>
      </c>
      <c r="E2317" s="79" t="s">
        <v>2003</v>
      </c>
      <c r="F2317" s="79"/>
    </row>
    <row r="2318" spans="1:7">
      <c r="A2318" s="77">
        <f t="shared" ca="1" si="182"/>
        <v>45989</v>
      </c>
      <c r="B2318" s="80">
        <f t="shared" ca="1" si="183"/>
        <v>45989.192895717591</v>
      </c>
      <c r="C2318" s="76" t="s">
        <v>378</v>
      </c>
      <c r="D2318" s="76" t="s">
        <v>902</v>
      </c>
      <c r="E2318" s="79" t="s">
        <v>2004</v>
      </c>
      <c r="F2318" s="79"/>
    </row>
    <row r="2319" spans="1:7">
      <c r="A2319" s="77">
        <f t="shared" ca="1" si="182"/>
        <v>45989</v>
      </c>
      <c r="B2319" s="80">
        <f t="shared" ca="1" si="183"/>
        <v>45989.196171643518</v>
      </c>
      <c r="C2319" s="76" t="s">
        <v>378</v>
      </c>
      <c r="D2319" s="76" t="s">
        <v>902</v>
      </c>
      <c r="E2319" s="79" t="s">
        <v>2005</v>
      </c>
      <c r="F2319" s="79"/>
    </row>
    <row r="2320" spans="1:7">
      <c r="A2320" s="77">
        <f t="shared" ca="1" si="182"/>
        <v>45989</v>
      </c>
      <c r="B2320" s="80">
        <f t="shared" ca="1" si="183"/>
        <v>45989.215779976854</v>
      </c>
      <c r="C2320" s="76" t="s">
        <v>378</v>
      </c>
      <c r="D2320" s="76" t="s">
        <v>902</v>
      </c>
      <c r="E2320" s="79" t="s">
        <v>2005</v>
      </c>
      <c r="F2320" s="79"/>
    </row>
    <row r="2321" spans="1:7">
      <c r="A2321" s="77">
        <f t="shared" ca="1" si="182"/>
        <v>45989</v>
      </c>
      <c r="B2321" s="80">
        <f t="shared" ca="1" si="183"/>
        <v>45989.219065277779</v>
      </c>
      <c r="C2321" s="76" t="s">
        <v>378</v>
      </c>
      <c r="D2321" s="76" t="s">
        <v>902</v>
      </c>
      <c r="E2321" s="79" t="s">
        <v>1156</v>
      </c>
      <c r="F2321" s="79"/>
    </row>
    <row r="2322" spans="1:7">
      <c r="A2322" s="77">
        <f t="shared" ca="1" si="182"/>
        <v>45989</v>
      </c>
      <c r="B2322" s="80">
        <f t="shared" ca="1" si="183"/>
        <v>45989.219462847221</v>
      </c>
      <c r="C2322" s="76" t="s">
        <v>378</v>
      </c>
      <c r="D2322" s="76" t="s">
        <v>902</v>
      </c>
      <c r="E2322" s="79" t="s">
        <v>2005</v>
      </c>
      <c r="F2322" s="79"/>
    </row>
    <row r="2323" spans="1:7">
      <c r="A2323" s="77">
        <f t="shared" ca="1" si="182"/>
        <v>45989</v>
      </c>
      <c r="B2323" s="80">
        <f t="shared" ca="1" si="183"/>
        <v>45989.220582986112</v>
      </c>
      <c r="C2323" s="76" t="s">
        <v>378</v>
      </c>
      <c r="D2323" s="76" t="s">
        <v>902</v>
      </c>
      <c r="E2323" s="79" t="s">
        <v>2006</v>
      </c>
      <c r="F2323" s="79"/>
    </row>
    <row r="2324" spans="1:7">
      <c r="A2324" s="77">
        <f t="shared" ca="1" si="182"/>
        <v>45989</v>
      </c>
      <c r="B2324" s="80">
        <f t="shared" ca="1" si="183"/>
        <v>45989.225428819445</v>
      </c>
      <c r="C2324" s="76" t="s">
        <v>378</v>
      </c>
      <c r="D2324" s="76" t="s">
        <v>902</v>
      </c>
      <c r="E2324" s="79" t="s">
        <v>1920</v>
      </c>
      <c r="F2324" s="79"/>
    </row>
    <row r="2325" spans="1:7">
      <c r="A2325" s="77">
        <f t="shared" ca="1" si="182"/>
        <v>45989</v>
      </c>
      <c r="B2325" s="80">
        <f t="shared" ca="1" si="183"/>
        <v>45989.23525636574</v>
      </c>
      <c r="C2325" s="76" t="s">
        <v>378</v>
      </c>
      <c r="D2325" s="76" t="s">
        <v>902</v>
      </c>
      <c r="E2325" s="79" t="s">
        <v>1504</v>
      </c>
      <c r="F2325" s="79"/>
    </row>
    <row r="2326" spans="1:7">
      <c r="A2326" s="77">
        <f t="shared" ca="1" si="182"/>
        <v>45989</v>
      </c>
      <c r="B2326" s="80">
        <f t="shared" ca="1" si="183"/>
        <v>45989.243175347219</v>
      </c>
      <c r="C2326" s="76" t="s">
        <v>378</v>
      </c>
      <c r="D2326" s="76" t="s">
        <v>902</v>
      </c>
      <c r="E2326" s="79" t="s">
        <v>2005</v>
      </c>
      <c r="F2326" s="79"/>
    </row>
    <row r="2327" spans="1:7">
      <c r="A2327" s="77">
        <f t="shared" ca="1" si="182"/>
        <v>45989</v>
      </c>
      <c r="B2327" s="80">
        <f t="shared" ca="1" si="183"/>
        <v>45989.243394907404</v>
      </c>
      <c r="C2327" s="76" t="s">
        <v>378</v>
      </c>
      <c r="D2327" s="210" t="s">
        <v>922</v>
      </c>
      <c r="E2327" s="79"/>
      <c r="F2327" s="79"/>
    </row>
    <row r="2328" spans="1:7">
      <c r="A2328" s="77">
        <f t="shared" ca="1" si="182"/>
        <v>45989</v>
      </c>
      <c r="B2328" s="80">
        <f t="shared" ca="1" si="183"/>
        <v>45989.276527430557</v>
      </c>
      <c r="C2328" s="76" t="s">
        <v>378</v>
      </c>
      <c r="D2328" s="210" t="s">
        <v>1098</v>
      </c>
      <c r="E2328" s="79"/>
      <c r="F2328" s="79"/>
    </row>
    <row r="2329" spans="1:7">
      <c r="A2329" s="77">
        <f t="shared" ca="1" si="182"/>
        <v>45989</v>
      </c>
      <c r="B2329" s="80">
        <f t="shared" ca="1" si="183"/>
        <v>45989.342592245368</v>
      </c>
      <c r="C2329" s="76" t="s">
        <v>381</v>
      </c>
      <c r="D2329" s="210" t="s">
        <v>906</v>
      </c>
      <c r="E2329" s="79"/>
      <c r="F2329" s="79"/>
    </row>
    <row r="2330" spans="1:7">
      <c r="A2330" s="77">
        <f t="shared" ca="1" si="182"/>
        <v>45989</v>
      </c>
      <c r="B2330" s="80">
        <f t="shared" ca="1" si="183"/>
        <v>45989.375022916669</v>
      </c>
      <c r="C2330" s="76" t="s">
        <v>381</v>
      </c>
      <c r="D2330" s="210" t="s">
        <v>909</v>
      </c>
      <c r="E2330" s="79"/>
      <c r="F2330" s="79"/>
    </row>
    <row r="2331" spans="1:7">
      <c r="A2331" s="77">
        <f t="shared" ca="1" si="182"/>
        <v>45989</v>
      </c>
      <c r="B2331" s="80">
        <f t="shared" ca="1" si="183"/>
        <v>45989.382612847221</v>
      </c>
      <c r="C2331" s="76" t="s">
        <v>381</v>
      </c>
      <c r="D2331" s="76" t="s">
        <v>902</v>
      </c>
      <c r="E2331" s="79" t="s">
        <v>996</v>
      </c>
      <c r="F2331" s="79"/>
    </row>
    <row r="2332" spans="1:7">
      <c r="A2332" s="77">
        <f t="shared" ca="1" si="182"/>
        <v>45989</v>
      </c>
      <c r="B2332" s="80">
        <f t="shared" ca="1" si="183"/>
        <v>45989.390622453706</v>
      </c>
      <c r="C2332" s="76" t="s">
        <v>381</v>
      </c>
      <c r="D2332" s="76" t="s">
        <v>902</v>
      </c>
      <c r="E2332" s="79"/>
      <c r="F2332" s="79"/>
      <c r="G2332" s="76" t="s">
        <v>2007</v>
      </c>
    </row>
    <row r="2333" spans="1:7">
      <c r="A2333" s="77">
        <f t="shared" ca="1" si="182"/>
        <v>45989</v>
      </c>
      <c r="B2333" s="80">
        <f t="shared" ca="1" si="183"/>
        <v>45989.395083912037</v>
      </c>
      <c r="C2333" s="76" t="s">
        <v>381</v>
      </c>
      <c r="D2333" s="76" t="s">
        <v>902</v>
      </c>
      <c r="E2333" s="79" t="s">
        <v>2008</v>
      </c>
      <c r="F2333" s="79"/>
      <c r="G2333" s="76" t="s">
        <v>2009</v>
      </c>
    </row>
    <row r="2334" spans="1:7">
      <c r="A2334" s="77">
        <f t="shared" ca="1" si="182"/>
        <v>45989</v>
      </c>
      <c r="B2334" s="80">
        <f t="shared" ca="1" si="183"/>
        <v>45989.397853125003</v>
      </c>
      <c r="C2334" s="76" t="s">
        <v>381</v>
      </c>
      <c r="D2334" s="76" t="s">
        <v>902</v>
      </c>
      <c r="E2334" s="79" t="s">
        <v>996</v>
      </c>
      <c r="F2334" s="79"/>
    </row>
    <row r="2335" spans="1:7">
      <c r="A2335" s="77">
        <f t="shared" ca="1" si="182"/>
        <v>45989</v>
      </c>
      <c r="B2335" s="80">
        <f t="shared" ca="1" si="183"/>
        <v>45989.402346990741</v>
      </c>
      <c r="C2335" s="76" t="s">
        <v>381</v>
      </c>
      <c r="D2335" s="76" t="s">
        <v>902</v>
      </c>
      <c r="E2335" s="79" t="s">
        <v>2010</v>
      </c>
      <c r="F2335" s="79"/>
    </row>
    <row r="2336" spans="1:7">
      <c r="A2336" s="77">
        <f t="shared" ca="1" si="182"/>
        <v>45989</v>
      </c>
      <c r="B2336" s="80">
        <f t="shared" ca="1" si="183"/>
        <v>45989.407610300928</v>
      </c>
      <c r="C2336" s="76" t="s">
        <v>381</v>
      </c>
      <c r="D2336" s="76" t="s">
        <v>902</v>
      </c>
      <c r="E2336" s="79" t="s">
        <v>2011</v>
      </c>
      <c r="F2336" s="79"/>
    </row>
    <row r="2337" spans="1:7">
      <c r="A2337" s="77">
        <f t="shared" ca="1" si="182"/>
        <v>45989</v>
      </c>
      <c r="B2337" s="80">
        <f t="shared" ca="1" si="183"/>
        <v>45989.409164583332</v>
      </c>
      <c r="C2337" s="76" t="s">
        <v>381</v>
      </c>
      <c r="D2337" s="76" t="s">
        <v>902</v>
      </c>
      <c r="E2337" s="79" t="s">
        <v>1063</v>
      </c>
      <c r="F2337" s="79"/>
    </row>
    <row r="2338" spans="1:7">
      <c r="A2338" s="77">
        <f t="shared" ref="A2338:A2369" ca="1" si="184">IF(C2338&lt;&gt;0,IF(A2338=0,TODAY(),A2338),)</f>
        <v>45989</v>
      </c>
      <c r="B2338" s="80">
        <f t="shared" ref="B2338:B2369" ca="1" si="185">IF(C2338&lt;&gt;0,IF(B2338=0,NOW(),B2338),)</f>
        <v>45989.421028472221</v>
      </c>
      <c r="C2338" s="76" t="s">
        <v>381</v>
      </c>
      <c r="D2338" s="76" t="s">
        <v>902</v>
      </c>
      <c r="E2338" s="79" t="s">
        <v>1045</v>
      </c>
      <c r="F2338" s="79"/>
    </row>
    <row r="2339" spans="1:7">
      <c r="A2339" s="77">
        <f t="shared" ca="1" si="184"/>
        <v>45989</v>
      </c>
      <c r="B2339" s="80">
        <f t="shared" ca="1" si="185"/>
        <v>45989.423725694447</v>
      </c>
      <c r="C2339" s="76" t="s">
        <v>381</v>
      </c>
      <c r="D2339" s="76" t="s">
        <v>902</v>
      </c>
      <c r="E2339" s="79" t="s">
        <v>1314</v>
      </c>
      <c r="F2339" s="79"/>
    </row>
    <row r="2340" spans="1:7">
      <c r="A2340" s="77">
        <f t="shared" ca="1" si="184"/>
        <v>45989</v>
      </c>
      <c r="B2340" s="80">
        <f t="shared" ca="1" si="185"/>
        <v>45989.447369560185</v>
      </c>
      <c r="C2340" s="76" t="s">
        <v>381</v>
      </c>
      <c r="D2340" s="76" t="s">
        <v>902</v>
      </c>
      <c r="E2340" s="79" t="s">
        <v>2010</v>
      </c>
      <c r="F2340" s="79"/>
    </row>
    <row r="2341" spans="1:7">
      <c r="A2341" s="77">
        <f t="shared" ca="1" si="184"/>
        <v>45989</v>
      </c>
      <c r="B2341" s="80">
        <f t="shared" ca="1" si="185"/>
        <v>45989.448233796298</v>
      </c>
      <c r="C2341" s="76" t="s">
        <v>381</v>
      </c>
      <c r="D2341" s="76" t="s">
        <v>902</v>
      </c>
      <c r="E2341" s="79"/>
      <c r="F2341" s="79"/>
      <c r="G2341" s="76" t="s">
        <v>2012</v>
      </c>
    </row>
    <row r="2342" spans="1:7">
      <c r="A2342" s="77">
        <f t="shared" ca="1" si="184"/>
        <v>45989</v>
      </c>
      <c r="B2342" s="80">
        <f t="shared" ca="1" si="185"/>
        <v>45989.458898495373</v>
      </c>
      <c r="C2342" s="76" t="s">
        <v>381</v>
      </c>
      <c r="D2342" s="76" t="s">
        <v>902</v>
      </c>
      <c r="E2342" s="79"/>
      <c r="F2342" s="79"/>
      <c r="G2342" s="76" t="s">
        <v>2013</v>
      </c>
    </row>
    <row r="2343" spans="1:7">
      <c r="A2343" s="77">
        <f t="shared" ca="1" si="184"/>
        <v>45989</v>
      </c>
      <c r="B2343" s="80">
        <f t="shared" ca="1" si="185"/>
        <v>45989.459274537039</v>
      </c>
      <c r="C2343" s="76" t="s">
        <v>381</v>
      </c>
      <c r="D2343" s="210" t="s">
        <v>922</v>
      </c>
      <c r="E2343" s="79"/>
      <c r="F2343" s="79"/>
      <c r="G2343" s="76" t="s">
        <v>2014</v>
      </c>
    </row>
    <row r="2344" spans="1:7">
      <c r="A2344" s="77">
        <f t="shared" ca="1" si="184"/>
        <v>45989</v>
      </c>
      <c r="B2344" s="80">
        <v>0.48958333333333331</v>
      </c>
      <c r="C2344" s="76" t="s">
        <v>381</v>
      </c>
      <c r="D2344" s="210" t="s">
        <v>1098</v>
      </c>
      <c r="E2344" s="79"/>
      <c r="F2344" s="79"/>
    </row>
    <row r="2345" spans="1:7">
      <c r="A2345" s="77">
        <f t="shared" ca="1" si="184"/>
        <v>45989</v>
      </c>
      <c r="B2345" s="80">
        <f t="shared" ca="1" si="185"/>
        <v>45989.571797222219</v>
      </c>
      <c r="C2345" s="76" t="s">
        <v>383</v>
      </c>
      <c r="D2345" s="210" t="s">
        <v>906</v>
      </c>
      <c r="E2345" s="79"/>
      <c r="F2345" s="79"/>
    </row>
    <row r="2346" spans="1:7">
      <c r="A2346" s="77">
        <f t="shared" ca="1" si="184"/>
        <v>45989</v>
      </c>
      <c r="B2346" s="80">
        <f t="shared" ca="1" si="185"/>
        <v>45989.620343171293</v>
      </c>
      <c r="C2346" s="76" t="s">
        <v>383</v>
      </c>
      <c r="D2346" s="210" t="s">
        <v>909</v>
      </c>
      <c r="E2346" s="79"/>
      <c r="F2346" s="79"/>
    </row>
    <row r="2347" spans="1:7">
      <c r="A2347" s="77">
        <f t="shared" ca="1" si="184"/>
        <v>45989</v>
      </c>
      <c r="B2347" s="80">
        <f t="shared" ca="1" si="185"/>
        <v>45989.627784374999</v>
      </c>
      <c r="C2347" s="76" t="s">
        <v>383</v>
      </c>
      <c r="D2347" s="76" t="s">
        <v>902</v>
      </c>
      <c r="E2347" s="79"/>
      <c r="F2347" s="79"/>
      <c r="G2347" s="76" t="s">
        <v>2015</v>
      </c>
    </row>
    <row r="2348" spans="1:7">
      <c r="A2348" s="77">
        <f t="shared" ca="1" si="184"/>
        <v>45989</v>
      </c>
      <c r="B2348" s="80">
        <f t="shared" ca="1" si="185"/>
        <v>45989.629422800928</v>
      </c>
      <c r="C2348" s="76" t="s">
        <v>383</v>
      </c>
      <c r="D2348" s="76" t="s">
        <v>902</v>
      </c>
      <c r="E2348" s="79" t="s">
        <v>2016</v>
      </c>
      <c r="F2348" s="79"/>
    </row>
    <row r="2349" spans="1:7">
      <c r="A2349" s="77">
        <f t="shared" ca="1" si="184"/>
        <v>45989</v>
      </c>
      <c r="B2349" s="80">
        <f t="shared" ca="1" si="185"/>
        <v>45989.629650115741</v>
      </c>
      <c r="C2349" s="76" t="s">
        <v>383</v>
      </c>
      <c r="D2349" s="76" t="s">
        <v>902</v>
      </c>
      <c r="E2349" s="79" t="s">
        <v>2017</v>
      </c>
      <c r="F2349" s="79"/>
    </row>
    <row r="2350" spans="1:7">
      <c r="A2350" s="77">
        <f t="shared" ca="1" si="184"/>
        <v>45989</v>
      </c>
      <c r="B2350" s="80">
        <f t="shared" ca="1" si="185"/>
        <v>45989.642849074073</v>
      </c>
      <c r="C2350" s="76" t="s">
        <v>383</v>
      </c>
      <c r="D2350" s="150" t="s">
        <v>1007</v>
      </c>
      <c r="E2350" s="79" t="s">
        <v>2018</v>
      </c>
      <c r="F2350" s="79"/>
    </row>
    <row r="2351" spans="1:7">
      <c r="A2351" s="77">
        <f t="shared" ca="1" si="184"/>
        <v>45989</v>
      </c>
      <c r="B2351" s="80">
        <f t="shared" ca="1" si="185"/>
        <v>45989.650503819445</v>
      </c>
      <c r="C2351" s="76" t="s">
        <v>383</v>
      </c>
      <c r="D2351" s="76" t="s">
        <v>902</v>
      </c>
      <c r="E2351" s="79" t="s">
        <v>2019</v>
      </c>
      <c r="F2351" s="79"/>
    </row>
    <row r="2352" spans="1:7">
      <c r="A2352" s="77">
        <f t="shared" ca="1" si="184"/>
        <v>45989</v>
      </c>
      <c r="B2352" s="80">
        <f t="shared" ca="1" si="185"/>
        <v>45989.655883333333</v>
      </c>
      <c r="C2352" s="76" t="s">
        <v>383</v>
      </c>
      <c r="D2352" s="76" t="s">
        <v>902</v>
      </c>
      <c r="E2352" s="79" t="s">
        <v>2020</v>
      </c>
      <c r="F2352" s="79"/>
    </row>
    <row r="2353" spans="1:7">
      <c r="A2353" s="77">
        <f t="shared" ca="1" si="184"/>
        <v>45989</v>
      </c>
      <c r="B2353" s="80">
        <f t="shared" ca="1" si="185"/>
        <v>45989.66376851852</v>
      </c>
      <c r="C2353" s="76" t="s">
        <v>383</v>
      </c>
      <c r="D2353" s="76" t="s">
        <v>902</v>
      </c>
      <c r="E2353" s="79"/>
      <c r="F2353" s="79"/>
      <c r="G2353" s="76" t="s">
        <v>2021</v>
      </c>
    </row>
    <row r="2354" spans="1:7">
      <c r="A2354" s="77">
        <f t="shared" ca="1" si="184"/>
        <v>45989</v>
      </c>
      <c r="B2354" s="80">
        <f t="shared" ca="1" si="185"/>
        <v>45989.669462962964</v>
      </c>
      <c r="C2354" s="76" t="s">
        <v>383</v>
      </c>
      <c r="D2354" s="150" t="s">
        <v>1007</v>
      </c>
      <c r="E2354" s="79" t="s">
        <v>2020</v>
      </c>
      <c r="F2354" s="79"/>
      <c r="G2354" s="76" t="s">
        <v>2022</v>
      </c>
    </row>
    <row r="2355" spans="1:7">
      <c r="A2355" s="77">
        <f t="shared" ca="1" si="184"/>
        <v>45989</v>
      </c>
      <c r="B2355" s="80">
        <f t="shared" ca="1" si="185"/>
        <v>45989.67372337963</v>
      </c>
      <c r="C2355" s="76" t="s">
        <v>383</v>
      </c>
      <c r="D2355" s="76" t="s">
        <v>902</v>
      </c>
      <c r="E2355" s="79"/>
      <c r="F2355" s="79"/>
      <c r="G2355" s="76" t="s">
        <v>2023</v>
      </c>
    </row>
    <row r="2356" spans="1:7">
      <c r="A2356" s="77">
        <f t="shared" ca="1" si="184"/>
        <v>45989</v>
      </c>
      <c r="B2356" s="80">
        <f t="shared" ca="1" si="185"/>
        <v>45989.680836342595</v>
      </c>
      <c r="C2356" s="76" t="s">
        <v>383</v>
      </c>
      <c r="D2356" s="150" t="s">
        <v>1007</v>
      </c>
      <c r="E2356" s="79" t="s">
        <v>2024</v>
      </c>
      <c r="F2356" s="79"/>
    </row>
    <row r="2357" spans="1:7">
      <c r="A2357" s="77">
        <f t="shared" ca="1" si="184"/>
        <v>45989</v>
      </c>
      <c r="B2357" s="80">
        <f t="shared" ca="1" si="185"/>
        <v>45989.682349537034</v>
      </c>
      <c r="C2357" s="76" t="s">
        <v>383</v>
      </c>
      <c r="E2357" s="79" t="s">
        <v>2020</v>
      </c>
      <c r="F2357" s="79"/>
    </row>
    <row r="2358" spans="1:7">
      <c r="A2358" s="77">
        <f t="shared" ca="1" si="184"/>
        <v>45989</v>
      </c>
      <c r="B2358" s="80">
        <f t="shared" ca="1" si="185"/>
        <v>45989.683231249997</v>
      </c>
      <c r="C2358" s="76" t="s">
        <v>383</v>
      </c>
      <c r="D2358" s="76" t="s">
        <v>902</v>
      </c>
      <c r="E2358" s="79" t="s">
        <v>2025</v>
      </c>
      <c r="F2358" s="79"/>
    </row>
    <row r="2359" spans="1:7">
      <c r="A2359" s="77">
        <f t="shared" ca="1" si="184"/>
        <v>45989</v>
      </c>
      <c r="B2359" s="80">
        <f t="shared" ca="1" si="185"/>
        <v>45989.687914120368</v>
      </c>
      <c r="C2359" s="76" t="s">
        <v>383</v>
      </c>
      <c r="D2359" s="76" t="s">
        <v>902</v>
      </c>
      <c r="E2359" s="79" t="s">
        <v>2025</v>
      </c>
      <c r="F2359" s="79"/>
      <c r="G2359" s="76" t="s">
        <v>2026</v>
      </c>
    </row>
    <row r="2360" spans="1:7">
      <c r="A2360" s="77">
        <f t="shared" ca="1" si="184"/>
        <v>45989</v>
      </c>
      <c r="B2360" s="80">
        <f t="shared" ca="1" si="185"/>
        <v>45989.706789351854</v>
      </c>
      <c r="C2360" s="76" t="s">
        <v>383</v>
      </c>
      <c r="D2360" s="76" t="s">
        <v>902</v>
      </c>
      <c r="E2360" s="79" t="s">
        <v>1045</v>
      </c>
      <c r="F2360" s="79"/>
    </row>
    <row r="2361" spans="1:7">
      <c r="A2361" s="77">
        <f t="shared" ca="1" si="184"/>
        <v>45989</v>
      </c>
      <c r="B2361" s="80">
        <f t="shared" ca="1" si="185"/>
        <v>45989.712714120367</v>
      </c>
      <c r="C2361" s="76" t="s">
        <v>383</v>
      </c>
      <c r="D2361" s="76" t="s">
        <v>902</v>
      </c>
      <c r="E2361" s="79" t="s">
        <v>1045</v>
      </c>
      <c r="F2361" s="79"/>
    </row>
    <row r="2362" spans="1:7">
      <c r="A2362" s="77">
        <f t="shared" ca="1" si="184"/>
        <v>45989</v>
      </c>
      <c r="B2362" s="80">
        <f t="shared" ca="1" si="185"/>
        <v>45989.725283564818</v>
      </c>
      <c r="C2362" s="76" t="s">
        <v>383</v>
      </c>
      <c r="D2362" s="76" t="s">
        <v>902</v>
      </c>
      <c r="E2362" s="79" t="s">
        <v>2027</v>
      </c>
      <c r="F2362" s="79"/>
    </row>
    <row r="2363" spans="1:7">
      <c r="A2363" s="77">
        <f t="shared" ca="1" si="184"/>
        <v>45989</v>
      </c>
      <c r="B2363" s="80">
        <f t="shared" ca="1" si="185"/>
        <v>45989.737087152775</v>
      </c>
      <c r="C2363" s="76" t="s">
        <v>383</v>
      </c>
      <c r="D2363" s="76" t="s">
        <v>902</v>
      </c>
      <c r="E2363" s="79" t="s">
        <v>2028</v>
      </c>
      <c r="F2363" s="79"/>
    </row>
    <row r="2364" spans="1:7">
      <c r="A2364" s="77">
        <f t="shared" ca="1" si="184"/>
        <v>45989</v>
      </c>
      <c r="B2364" s="80">
        <f t="shared" ca="1" si="185"/>
        <v>45989.73826111111</v>
      </c>
      <c r="C2364" s="76" t="s">
        <v>383</v>
      </c>
      <c r="D2364" s="76" t="s">
        <v>902</v>
      </c>
      <c r="E2364" s="79" t="s">
        <v>2028</v>
      </c>
      <c r="F2364" s="79"/>
    </row>
    <row r="2365" spans="1:7">
      <c r="A2365" s="77">
        <f t="shared" ca="1" si="184"/>
        <v>45989</v>
      </c>
      <c r="B2365" s="80">
        <f t="shared" ca="1" si="185"/>
        <v>45989.738422222224</v>
      </c>
      <c r="C2365" s="76" t="s">
        <v>383</v>
      </c>
      <c r="D2365" s="76" t="s">
        <v>902</v>
      </c>
      <c r="E2365" s="79" t="s">
        <v>2029</v>
      </c>
      <c r="F2365" s="79"/>
    </row>
    <row r="2366" spans="1:7">
      <c r="A2366" s="77">
        <f t="shared" ca="1" si="184"/>
        <v>45989</v>
      </c>
      <c r="B2366" s="80">
        <f t="shared" ca="1" si="185"/>
        <v>45989.75107175926</v>
      </c>
      <c r="C2366" s="76" t="s">
        <v>383</v>
      </c>
      <c r="D2366" s="76" t="s">
        <v>902</v>
      </c>
      <c r="E2366" s="79" t="s">
        <v>2030</v>
      </c>
      <c r="F2366" s="79"/>
    </row>
    <row r="2367" spans="1:7">
      <c r="A2367" s="77">
        <f t="shared" ca="1" si="184"/>
        <v>45989</v>
      </c>
      <c r="B2367" s="80">
        <f t="shared" ca="1" si="185"/>
        <v>45989.751830324072</v>
      </c>
      <c r="C2367" s="76" t="s">
        <v>383</v>
      </c>
      <c r="D2367" s="76" t="s">
        <v>902</v>
      </c>
      <c r="E2367" s="79" t="s">
        <v>2030</v>
      </c>
      <c r="F2367" s="79"/>
    </row>
    <row r="2368" spans="1:7">
      <c r="A2368" s="77">
        <f t="shared" ca="1" si="184"/>
        <v>45989</v>
      </c>
      <c r="B2368" s="80">
        <f t="shared" ca="1" si="185"/>
        <v>45989.761043981482</v>
      </c>
      <c r="C2368" s="76" t="s">
        <v>383</v>
      </c>
      <c r="D2368" s="76" t="s">
        <v>902</v>
      </c>
      <c r="E2368" s="79" t="s">
        <v>2025</v>
      </c>
      <c r="F2368" s="79"/>
    </row>
    <row r="2369" spans="1:7">
      <c r="A2369" s="77">
        <f t="shared" ca="1" si="184"/>
        <v>45989</v>
      </c>
      <c r="B2369" s="80">
        <f t="shared" ca="1" si="185"/>
        <v>45989.762132638891</v>
      </c>
      <c r="C2369" s="76" t="s">
        <v>383</v>
      </c>
      <c r="D2369" s="76" t="s">
        <v>902</v>
      </c>
      <c r="E2369" s="79" t="s">
        <v>1314</v>
      </c>
      <c r="F2369" s="79"/>
    </row>
    <row r="2370" spans="1:7">
      <c r="A2370" s="77">
        <f t="shared" ref="A2370:A2382" ca="1" si="186">IF(C2370&lt;&gt;0,IF(A2370=0,TODAY(),A2370),)</f>
        <v>45989</v>
      </c>
      <c r="B2370" s="80">
        <f t="shared" ref="B2370:B2382" ca="1" si="187">IF(C2370&lt;&gt;0,IF(B2370=0,NOW(),B2370),)</f>
        <v>45989.762595601853</v>
      </c>
      <c r="C2370" s="76" t="s">
        <v>383</v>
      </c>
      <c r="D2370" s="76" t="s">
        <v>902</v>
      </c>
      <c r="E2370" s="79" t="s">
        <v>996</v>
      </c>
      <c r="F2370" s="79"/>
    </row>
    <row r="2371" spans="1:7">
      <c r="A2371" s="77">
        <f t="shared" ca="1" si="186"/>
        <v>45989</v>
      </c>
      <c r="B2371" s="80">
        <f t="shared" ca="1" si="187"/>
        <v>45989.78289652778</v>
      </c>
      <c r="C2371" s="76" t="s">
        <v>383</v>
      </c>
      <c r="D2371" s="150" t="s">
        <v>1007</v>
      </c>
      <c r="E2371" s="79" t="s">
        <v>2031</v>
      </c>
      <c r="F2371" s="79"/>
    </row>
    <row r="2372" spans="1:7">
      <c r="A2372" s="77">
        <f t="shared" ca="1" si="186"/>
        <v>45989</v>
      </c>
      <c r="B2372" s="80">
        <f t="shared" ca="1" si="187"/>
        <v>45989.78911041667</v>
      </c>
      <c r="C2372" s="76" t="s">
        <v>383</v>
      </c>
      <c r="D2372" s="150" t="s">
        <v>1007</v>
      </c>
      <c r="E2372" s="79" t="s">
        <v>1653</v>
      </c>
      <c r="F2372" s="79"/>
    </row>
    <row r="2373" spans="1:7">
      <c r="A2373" s="77">
        <f t="shared" ca="1" si="186"/>
        <v>45989</v>
      </c>
      <c r="B2373" s="80">
        <v>0.81180555555555556</v>
      </c>
      <c r="C2373" s="76" t="s">
        <v>383</v>
      </c>
      <c r="D2373" s="76" t="s">
        <v>902</v>
      </c>
      <c r="E2373" s="79" t="s">
        <v>2032</v>
      </c>
      <c r="F2373" s="79"/>
    </row>
    <row r="2374" spans="1:7">
      <c r="A2374" s="77">
        <f t="shared" ca="1" si="186"/>
        <v>45989</v>
      </c>
      <c r="B2374" s="80">
        <f t="shared" ca="1" si="187"/>
        <v>45989.814971759261</v>
      </c>
      <c r="C2374" s="76" t="s">
        <v>383</v>
      </c>
      <c r="D2374" s="76" t="s">
        <v>902</v>
      </c>
      <c r="E2374" s="79" t="s">
        <v>2030</v>
      </c>
      <c r="F2374" s="79"/>
    </row>
    <row r="2375" spans="1:7">
      <c r="A2375" s="77">
        <f t="shared" ca="1" si="186"/>
        <v>45989</v>
      </c>
      <c r="B2375" s="80">
        <f t="shared" ca="1" si="187"/>
        <v>45989.818025</v>
      </c>
      <c r="C2375" s="76" t="s">
        <v>383</v>
      </c>
      <c r="D2375" s="76" t="s">
        <v>902</v>
      </c>
      <c r="E2375" s="79" t="s">
        <v>2033</v>
      </c>
      <c r="F2375" s="79"/>
    </row>
    <row r="2376" spans="1:7">
      <c r="A2376" s="77">
        <f t="shared" ca="1" si="186"/>
        <v>45989</v>
      </c>
      <c r="B2376" s="80">
        <f t="shared" ca="1" si="187"/>
        <v>45989.853768749999</v>
      </c>
      <c r="C2376" s="76" t="s">
        <v>383</v>
      </c>
      <c r="D2376" s="210" t="s">
        <v>922</v>
      </c>
      <c r="E2376" s="79"/>
      <c r="F2376" s="79"/>
      <c r="G2376" s="76" t="s">
        <v>2034</v>
      </c>
    </row>
    <row r="2377" spans="1:7">
      <c r="A2377" s="77">
        <f t="shared" ca="1" si="186"/>
        <v>45989</v>
      </c>
      <c r="B2377" s="80">
        <f t="shared" ca="1" si="187"/>
        <v>45989.861515972225</v>
      </c>
      <c r="C2377" s="76" t="s">
        <v>383</v>
      </c>
      <c r="D2377" s="210" t="s">
        <v>1098</v>
      </c>
      <c r="E2377" s="79"/>
      <c r="F2377" s="79"/>
    </row>
    <row r="2378" spans="1:7">
      <c r="A2378" s="77">
        <f t="shared" ca="1" si="186"/>
        <v>45989</v>
      </c>
      <c r="B2378" s="80">
        <f t="shared" ca="1" si="187"/>
        <v>45989.922706018522</v>
      </c>
      <c r="C2378" s="76" t="s">
        <v>386</v>
      </c>
      <c r="D2378" s="210" t="s">
        <v>906</v>
      </c>
      <c r="E2378" s="79"/>
      <c r="F2378" s="79"/>
    </row>
    <row r="2379" spans="1:7">
      <c r="A2379" s="77">
        <f t="shared" ca="1" si="186"/>
        <v>45989</v>
      </c>
      <c r="B2379" s="80">
        <f t="shared" ca="1" si="187"/>
        <v>45989.937320023149</v>
      </c>
      <c r="C2379" s="76" t="s">
        <v>386</v>
      </c>
      <c r="D2379" s="210" t="s">
        <v>909</v>
      </c>
      <c r="E2379" s="79"/>
      <c r="F2379" s="79"/>
    </row>
    <row r="2380" spans="1:7">
      <c r="A2380" s="77">
        <f t="shared" ca="1" si="186"/>
        <v>45989</v>
      </c>
      <c r="B2380" s="80">
        <f t="shared" ca="1" si="187"/>
        <v>45989.941912152775</v>
      </c>
      <c r="C2380" s="76" t="s">
        <v>386</v>
      </c>
      <c r="D2380" s="76" t="s">
        <v>902</v>
      </c>
      <c r="E2380" s="79" t="s">
        <v>1504</v>
      </c>
      <c r="F2380" s="79"/>
    </row>
    <row r="2381" spans="1:7">
      <c r="A2381" s="77">
        <f t="shared" ca="1" si="186"/>
        <v>45989</v>
      </c>
      <c r="B2381" s="80">
        <f t="shared" ca="1" si="187"/>
        <v>45989.943335416669</v>
      </c>
      <c r="C2381" s="76" t="s">
        <v>386</v>
      </c>
      <c r="D2381" s="76" t="s">
        <v>902</v>
      </c>
      <c r="E2381" s="79" t="s">
        <v>2035</v>
      </c>
      <c r="F2381" s="79"/>
    </row>
    <row r="2382" spans="1:7">
      <c r="A2382" s="77">
        <f t="shared" ca="1" si="186"/>
        <v>45989</v>
      </c>
      <c r="B2382" s="80">
        <f t="shared" ca="1" si="187"/>
        <v>45989.949486458332</v>
      </c>
      <c r="C2382" s="76" t="s">
        <v>386</v>
      </c>
      <c r="D2382" s="76" t="s">
        <v>902</v>
      </c>
      <c r="E2382" s="79" t="s">
        <v>2000</v>
      </c>
      <c r="F2382" s="79"/>
    </row>
    <row r="2383" spans="1:7">
      <c r="A2383" s="77">
        <f t="shared" ref="A2383:A2414" ca="1" si="188">IF(C2383&lt;&gt;0,IF(A2383=0,TODAY(),A2383),)</f>
        <v>45989</v>
      </c>
      <c r="B2383" s="80">
        <f t="shared" ref="B2383:B2413" ca="1" si="189">IF(C2383&lt;&gt;0,IF(B2383=0,NOW(),B2383),)</f>
        <v>45989.951192824075</v>
      </c>
      <c r="C2383" s="76" t="s">
        <v>386</v>
      </c>
      <c r="D2383" s="76" t="s">
        <v>902</v>
      </c>
      <c r="E2383" s="79" t="s">
        <v>1357</v>
      </c>
      <c r="F2383" s="79"/>
    </row>
    <row r="2384" spans="1:7">
      <c r="A2384" s="77">
        <f t="shared" ca="1" si="188"/>
        <v>45989</v>
      </c>
      <c r="B2384" s="80">
        <f t="shared" ca="1" si="189"/>
        <v>45989.95146689815</v>
      </c>
      <c r="C2384" s="76" t="s">
        <v>386</v>
      </c>
      <c r="D2384" s="76" t="s">
        <v>902</v>
      </c>
      <c r="E2384" s="79" t="s">
        <v>1508</v>
      </c>
      <c r="F2384" s="79"/>
      <c r="G2384" s="76" t="s">
        <v>2036</v>
      </c>
    </row>
    <row r="2385" spans="1:7">
      <c r="A2385" s="77">
        <f t="shared" ca="1" si="188"/>
        <v>45989</v>
      </c>
      <c r="B2385" s="80">
        <f t="shared" ca="1" si="189"/>
        <v>45989.954471643519</v>
      </c>
      <c r="C2385" s="76" t="s">
        <v>386</v>
      </c>
      <c r="D2385" s="76" t="s">
        <v>902</v>
      </c>
      <c r="E2385" s="79" t="s">
        <v>1055</v>
      </c>
      <c r="F2385" s="79"/>
    </row>
    <row r="2386" spans="1:7">
      <c r="A2386" s="77">
        <f t="shared" ca="1" si="188"/>
        <v>45989</v>
      </c>
      <c r="B2386" s="80">
        <f t="shared" ca="1" si="189"/>
        <v>45989.959077893516</v>
      </c>
      <c r="C2386" s="76" t="s">
        <v>386</v>
      </c>
      <c r="D2386" s="76" t="s">
        <v>902</v>
      </c>
      <c r="E2386" s="79" t="s">
        <v>1055</v>
      </c>
      <c r="F2386" s="79"/>
    </row>
    <row r="2387" spans="1:7">
      <c r="A2387" s="77">
        <f t="shared" ca="1" si="188"/>
        <v>45989</v>
      </c>
      <c r="B2387" s="80">
        <f t="shared" ca="1" si="189"/>
        <v>45989.959976157406</v>
      </c>
      <c r="C2387" s="76" t="s">
        <v>386</v>
      </c>
      <c r="D2387" s="76" t="s">
        <v>902</v>
      </c>
      <c r="E2387" s="79" t="s">
        <v>2037</v>
      </c>
      <c r="F2387" s="79"/>
    </row>
    <row r="2388" spans="1:7">
      <c r="A2388" s="77">
        <f t="shared" ca="1" si="188"/>
        <v>45989</v>
      </c>
      <c r="B2388" s="80">
        <f t="shared" ca="1" si="189"/>
        <v>45989.962565740738</v>
      </c>
      <c r="C2388" s="76" t="s">
        <v>386</v>
      </c>
      <c r="D2388" s="76" t="s">
        <v>902</v>
      </c>
      <c r="E2388" s="79" t="s">
        <v>1508</v>
      </c>
      <c r="F2388" s="79"/>
      <c r="G2388" s="76" t="s">
        <v>2038</v>
      </c>
    </row>
    <row r="2389" spans="1:7">
      <c r="A2389" s="77">
        <f t="shared" ca="1" si="188"/>
        <v>45989</v>
      </c>
      <c r="B2389" s="80">
        <f t="shared" ca="1" si="189"/>
        <v>45989.962763078707</v>
      </c>
      <c r="C2389" s="76" t="s">
        <v>386</v>
      </c>
      <c r="D2389" s="76" t="s">
        <v>902</v>
      </c>
      <c r="E2389" s="79" t="s">
        <v>2039</v>
      </c>
      <c r="F2389" s="79"/>
    </row>
    <row r="2390" spans="1:7">
      <c r="A2390" s="77">
        <f t="shared" ca="1" si="188"/>
        <v>45989</v>
      </c>
      <c r="B2390" s="80">
        <f t="shared" ca="1" si="189"/>
        <v>45989.965890046296</v>
      </c>
      <c r="C2390" s="76" t="s">
        <v>386</v>
      </c>
      <c r="D2390" s="76" t="s">
        <v>902</v>
      </c>
      <c r="E2390" s="79" t="s">
        <v>1555</v>
      </c>
      <c r="F2390" s="79"/>
      <c r="G2390" s="76" t="s">
        <v>2040</v>
      </c>
    </row>
    <row r="2391" spans="1:7">
      <c r="A2391" s="77">
        <f t="shared" ca="1" si="188"/>
        <v>45989</v>
      </c>
      <c r="B2391" s="80">
        <f t="shared" ca="1" si="189"/>
        <v>45989.968242939816</v>
      </c>
      <c r="C2391" s="76" t="s">
        <v>386</v>
      </c>
      <c r="D2391" s="76" t="s">
        <v>902</v>
      </c>
      <c r="E2391" s="79" t="s">
        <v>2041</v>
      </c>
      <c r="F2391" s="79"/>
    </row>
    <row r="2392" spans="1:7">
      <c r="A2392" s="77">
        <f t="shared" ca="1" si="188"/>
        <v>45989</v>
      </c>
      <c r="B2392" s="80">
        <f t="shared" ca="1" si="189"/>
        <v>45989.978494097224</v>
      </c>
      <c r="C2392" s="76" t="s">
        <v>386</v>
      </c>
      <c r="D2392" s="150" t="s">
        <v>1007</v>
      </c>
      <c r="E2392" s="76" t="s">
        <v>2040</v>
      </c>
      <c r="F2392" s="79"/>
    </row>
    <row r="2393" spans="1:7">
      <c r="A2393" s="77">
        <f t="shared" ca="1" si="188"/>
        <v>45989</v>
      </c>
      <c r="B2393" s="80">
        <f t="shared" ca="1" si="189"/>
        <v>45989.979477430556</v>
      </c>
      <c r="C2393" s="76" t="s">
        <v>386</v>
      </c>
      <c r="D2393" s="76" t="s">
        <v>902</v>
      </c>
      <c r="E2393" s="79" t="s">
        <v>2042</v>
      </c>
      <c r="F2393" s="79"/>
    </row>
    <row r="2394" spans="1:7">
      <c r="A2394" s="77">
        <f t="shared" ca="1" si="188"/>
        <v>45989</v>
      </c>
      <c r="B2394" s="80">
        <f t="shared" ca="1" si="189"/>
        <v>45989.980482060186</v>
      </c>
      <c r="C2394" s="76" t="s">
        <v>386</v>
      </c>
      <c r="D2394" s="76" t="s">
        <v>902</v>
      </c>
      <c r="E2394" s="79" t="s">
        <v>1357</v>
      </c>
      <c r="F2394" s="79"/>
    </row>
    <row r="2395" spans="1:7">
      <c r="A2395" s="77">
        <f t="shared" ca="1" si="188"/>
        <v>45989</v>
      </c>
      <c r="B2395" s="80">
        <f t="shared" ca="1" si="189"/>
        <v>45989.983656597222</v>
      </c>
      <c r="C2395" s="76" t="s">
        <v>386</v>
      </c>
      <c r="D2395" s="76" t="s">
        <v>902</v>
      </c>
      <c r="E2395" s="79" t="s">
        <v>1508</v>
      </c>
      <c r="F2395" s="79"/>
      <c r="G2395" s="76" t="s">
        <v>2036</v>
      </c>
    </row>
    <row r="2396" spans="1:7">
      <c r="A2396" s="77">
        <f t="shared" ca="1" si="188"/>
        <v>45989</v>
      </c>
      <c r="B2396" s="80">
        <f t="shared" ca="1" si="189"/>
        <v>45989.987881018518</v>
      </c>
      <c r="C2396" s="76" t="s">
        <v>386</v>
      </c>
      <c r="D2396" s="76" t="s">
        <v>902</v>
      </c>
      <c r="E2396" s="79" t="s">
        <v>2000</v>
      </c>
      <c r="F2396" s="79"/>
    </row>
    <row r="2397" spans="1:7">
      <c r="A2397" s="77">
        <f t="shared" ca="1" si="188"/>
        <v>45989</v>
      </c>
      <c r="B2397" s="80">
        <f t="shared" ca="1" si="189"/>
        <v>45989.988604050923</v>
      </c>
      <c r="C2397" s="76" t="s">
        <v>386</v>
      </c>
      <c r="D2397" s="76" t="s">
        <v>902</v>
      </c>
      <c r="E2397" s="79" t="s">
        <v>2043</v>
      </c>
      <c r="F2397" s="79"/>
    </row>
    <row r="2398" spans="1:7">
      <c r="A2398" s="77">
        <f t="shared" ca="1" si="188"/>
        <v>45989</v>
      </c>
      <c r="B2398" s="80">
        <f t="shared" ca="1" si="189"/>
        <v>45989.991464583334</v>
      </c>
      <c r="C2398" s="76" t="s">
        <v>386</v>
      </c>
      <c r="D2398" s="76" t="s">
        <v>902</v>
      </c>
      <c r="E2398" s="79" t="s">
        <v>1055</v>
      </c>
      <c r="F2398" s="79"/>
    </row>
    <row r="2399" spans="1:7">
      <c r="A2399" s="77">
        <f t="shared" ca="1" si="188"/>
        <v>45989</v>
      </c>
      <c r="B2399" s="80">
        <f t="shared" ca="1" si="189"/>
        <v>45989.99684201389</v>
      </c>
      <c r="C2399" s="76" t="s">
        <v>386</v>
      </c>
      <c r="D2399" s="76" t="s">
        <v>902</v>
      </c>
      <c r="E2399" s="79" t="s">
        <v>2044</v>
      </c>
      <c r="F2399" s="79"/>
    </row>
    <row r="2400" spans="1:7">
      <c r="A2400" s="77">
        <f t="shared" ca="1" si="188"/>
        <v>45990</v>
      </c>
      <c r="B2400" s="80">
        <f t="shared" ca="1" si="189"/>
        <v>45990.009787847222</v>
      </c>
      <c r="C2400" s="76" t="s">
        <v>386</v>
      </c>
      <c r="D2400" s="76" t="s">
        <v>902</v>
      </c>
      <c r="E2400" s="79" t="s">
        <v>2000</v>
      </c>
      <c r="F2400" s="79"/>
    </row>
    <row r="2401" spans="1:7">
      <c r="A2401" s="77">
        <f t="shared" ca="1" si="188"/>
        <v>45990</v>
      </c>
      <c r="B2401" s="80">
        <f t="shared" ca="1" si="189"/>
        <v>45990.022504050925</v>
      </c>
      <c r="C2401" s="76" t="s">
        <v>386</v>
      </c>
      <c r="D2401" s="76" t="s">
        <v>902</v>
      </c>
      <c r="E2401" s="79" t="s">
        <v>2000</v>
      </c>
      <c r="F2401" s="79"/>
    </row>
    <row r="2402" spans="1:7">
      <c r="A2402" s="77">
        <f t="shared" ca="1" si="188"/>
        <v>45990</v>
      </c>
      <c r="B2402" s="80">
        <f t="shared" ca="1" si="189"/>
        <v>45990.022550925925</v>
      </c>
      <c r="C2402" s="76" t="s">
        <v>386</v>
      </c>
      <c r="D2402" s="76" t="s">
        <v>902</v>
      </c>
      <c r="E2402" s="79" t="s">
        <v>1314</v>
      </c>
      <c r="F2402" s="79"/>
    </row>
    <row r="2403" spans="1:7">
      <c r="A2403" s="77">
        <f t="shared" ca="1" si="188"/>
        <v>45990</v>
      </c>
      <c r="B2403" s="80">
        <f t="shared" ca="1" si="189"/>
        <v>45990.024407638892</v>
      </c>
      <c r="C2403" s="76" t="s">
        <v>386</v>
      </c>
      <c r="D2403" s="76" t="s">
        <v>902</v>
      </c>
      <c r="E2403" s="79" t="s">
        <v>2000</v>
      </c>
      <c r="F2403" s="79"/>
    </row>
    <row r="2404" spans="1:7">
      <c r="A2404" s="77">
        <f t="shared" ca="1" si="188"/>
        <v>45990</v>
      </c>
      <c r="B2404" s="80">
        <f t="shared" ca="1" si="189"/>
        <v>45990.026039583332</v>
      </c>
      <c r="C2404" s="76" t="s">
        <v>386</v>
      </c>
      <c r="D2404" s="76" t="s">
        <v>902</v>
      </c>
      <c r="E2404" s="79" t="s">
        <v>2000</v>
      </c>
      <c r="F2404" s="79"/>
    </row>
    <row r="2405" spans="1:7">
      <c r="A2405" s="77">
        <f t="shared" ca="1" si="188"/>
        <v>45990</v>
      </c>
      <c r="B2405" s="80">
        <f t="shared" ca="1" si="189"/>
        <v>45990.026623032405</v>
      </c>
      <c r="C2405" s="76" t="s">
        <v>386</v>
      </c>
      <c r="D2405" s="76" t="s">
        <v>902</v>
      </c>
      <c r="E2405" s="79" t="s">
        <v>1314</v>
      </c>
      <c r="F2405" s="79"/>
    </row>
    <row r="2406" spans="1:7">
      <c r="A2406" s="77">
        <f t="shared" ca="1" si="188"/>
        <v>45990</v>
      </c>
      <c r="B2406" s="80">
        <f t="shared" ca="1" si="189"/>
        <v>45990.031476504628</v>
      </c>
      <c r="C2406" s="76" t="s">
        <v>386</v>
      </c>
      <c r="D2406" s="76" t="s">
        <v>902</v>
      </c>
      <c r="E2406" s="79" t="s">
        <v>2045</v>
      </c>
      <c r="F2406" s="79"/>
    </row>
    <row r="2407" spans="1:7">
      <c r="A2407" s="77">
        <f t="shared" ca="1" si="188"/>
        <v>45990</v>
      </c>
      <c r="B2407" s="80">
        <f t="shared" ca="1" si="189"/>
        <v>45990.04253796296</v>
      </c>
      <c r="C2407" s="76" t="s">
        <v>386</v>
      </c>
      <c r="D2407" s="76" t="s">
        <v>902</v>
      </c>
      <c r="E2407" s="79" t="s">
        <v>2046</v>
      </c>
      <c r="F2407" s="79"/>
    </row>
    <row r="2408" spans="1:7">
      <c r="A2408" s="77">
        <f t="shared" ca="1" si="188"/>
        <v>45990</v>
      </c>
      <c r="B2408" s="80">
        <f t="shared" ca="1" si="189"/>
        <v>45990.045352777779</v>
      </c>
      <c r="C2408" s="76" t="s">
        <v>386</v>
      </c>
      <c r="D2408" s="76" t="s">
        <v>902</v>
      </c>
      <c r="E2408" s="79" t="s">
        <v>2047</v>
      </c>
      <c r="F2408" s="79"/>
    </row>
    <row r="2409" spans="1:7">
      <c r="A2409" s="77">
        <f t="shared" ca="1" si="188"/>
        <v>45990</v>
      </c>
      <c r="B2409" s="80">
        <f t="shared" ca="1" si="189"/>
        <v>45990.052475462966</v>
      </c>
      <c r="C2409" s="76" t="s">
        <v>386</v>
      </c>
      <c r="D2409" s="76" t="s">
        <v>902</v>
      </c>
      <c r="E2409" s="79" t="s">
        <v>2048</v>
      </c>
      <c r="F2409" s="79"/>
      <c r="G2409" s="76" t="s">
        <v>2049</v>
      </c>
    </row>
    <row r="2410" spans="1:7">
      <c r="A2410" s="77">
        <f t="shared" ca="1" si="188"/>
        <v>45990</v>
      </c>
      <c r="B2410" s="80">
        <f t="shared" ca="1" si="189"/>
        <v>45990.061916203704</v>
      </c>
      <c r="C2410" s="76" t="s">
        <v>386</v>
      </c>
      <c r="D2410" s="76" t="s">
        <v>902</v>
      </c>
      <c r="E2410" s="79" t="s">
        <v>2047</v>
      </c>
      <c r="F2410" s="79"/>
    </row>
    <row r="2411" spans="1:7">
      <c r="A2411" s="77">
        <f t="shared" ca="1" si="188"/>
        <v>45990</v>
      </c>
      <c r="B2411" s="80">
        <f t="shared" ca="1" si="189"/>
        <v>45990.062283217594</v>
      </c>
      <c r="C2411" s="76" t="s">
        <v>386</v>
      </c>
      <c r="D2411" s="76" t="s">
        <v>902</v>
      </c>
      <c r="E2411" s="79" t="s">
        <v>2000</v>
      </c>
      <c r="F2411" s="79"/>
    </row>
    <row r="2412" spans="1:7">
      <c r="A2412" s="77">
        <f t="shared" ca="1" si="188"/>
        <v>45990</v>
      </c>
      <c r="B2412" s="80">
        <f t="shared" ca="1" si="189"/>
        <v>45990.080782175923</v>
      </c>
      <c r="C2412" s="76" t="s">
        <v>386</v>
      </c>
      <c r="D2412" s="210" t="s">
        <v>922</v>
      </c>
      <c r="E2412" s="79" t="s">
        <v>2050</v>
      </c>
      <c r="F2412" s="79"/>
    </row>
    <row r="2413" spans="1:7">
      <c r="A2413" s="77">
        <f t="shared" ca="1" si="188"/>
        <v>45990</v>
      </c>
      <c r="B2413" s="80">
        <f t="shared" ca="1" si="189"/>
        <v>45990.11681284722</v>
      </c>
      <c r="C2413" s="76" t="s">
        <v>386</v>
      </c>
      <c r="D2413" s="210" t="s">
        <v>1098</v>
      </c>
      <c r="E2413" s="79"/>
      <c r="F2413" s="79"/>
    </row>
    <row r="2414" spans="1:7">
      <c r="A2414" s="77">
        <f t="shared" ca="1" si="188"/>
        <v>45990</v>
      </c>
      <c r="B2414" s="80">
        <v>0.19652777777777777</v>
      </c>
      <c r="C2414" s="76" t="s">
        <v>389</v>
      </c>
      <c r="D2414" s="210" t="s">
        <v>906</v>
      </c>
      <c r="E2414" s="79"/>
      <c r="F2414" s="79"/>
    </row>
    <row r="2415" spans="1:7">
      <c r="A2415" s="77">
        <f t="shared" ref="A2415:A2441" ca="1" si="190">IF(C2415&lt;&gt;0,IF(A2415=0,TODAY(),A2415),)</f>
        <v>45990</v>
      </c>
      <c r="B2415" s="80">
        <f t="shared" ref="B2415:B2441" ca="1" si="191">IF(C2415&lt;&gt;0,IF(B2415=0,NOW(),B2415),)</f>
        <v>45990.284848148149</v>
      </c>
      <c r="C2415" s="76" t="s">
        <v>389</v>
      </c>
      <c r="D2415" s="210" t="s">
        <v>909</v>
      </c>
      <c r="E2415" s="79"/>
      <c r="F2415" s="79"/>
      <c r="G2415" s="76" t="s">
        <v>2051</v>
      </c>
    </row>
    <row r="2416" spans="1:7">
      <c r="A2416" s="77">
        <f t="shared" ca="1" si="190"/>
        <v>45990</v>
      </c>
      <c r="B2416" s="80">
        <f t="shared" ca="1" si="191"/>
        <v>45990.286108333334</v>
      </c>
      <c r="C2416" s="76" t="s">
        <v>389</v>
      </c>
      <c r="D2416" s="76" t="s">
        <v>902</v>
      </c>
      <c r="E2416" s="79" t="s">
        <v>2052</v>
      </c>
      <c r="F2416" s="79"/>
    </row>
    <row r="2417" spans="1:7">
      <c r="A2417" s="77">
        <f t="shared" ca="1" si="190"/>
        <v>45990</v>
      </c>
      <c r="B2417" s="80">
        <f t="shared" ca="1" si="191"/>
        <v>45990.286262615744</v>
      </c>
      <c r="C2417" s="76" t="s">
        <v>389</v>
      </c>
      <c r="D2417" s="76" t="s">
        <v>902</v>
      </c>
      <c r="E2417" s="79" t="s">
        <v>2053</v>
      </c>
      <c r="F2417" s="79"/>
    </row>
    <row r="2418" spans="1:7">
      <c r="A2418" s="77">
        <f t="shared" ca="1" si="190"/>
        <v>45990</v>
      </c>
      <c r="B2418" s="80">
        <f t="shared" ca="1" si="191"/>
        <v>45990.290625810187</v>
      </c>
      <c r="C2418" s="76" t="s">
        <v>389</v>
      </c>
      <c r="D2418" s="76" t="s">
        <v>902</v>
      </c>
      <c r="E2418" s="79" t="s">
        <v>2052</v>
      </c>
      <c r="F2418" s="79"/>
    </row>
    <row r="2419" spans="1:7">
      <c r="A2419" s="77">
        <f t="shared" ca="1" si="190"/>
        <v>45990</v>
      </c>
      <c r="B2419" s="80">
        <f t="shared" ca="1" si="191"/>
        <v>45990.299082986108</v>
      </c>
      <c r="C2419" s="76" t="s">
        <v>389</v>
      </c>
      <c r="D2419" s="76" t="s">
        <v>902</v>
      </c>
      <c r="E2419" s="79" t="s">
        <v>2052</v>
      </c>
      <c r="F2419" s="79"/>
    </row>
    <row r="2420" spans="1:7">
      <c r="A2420" s="77">
        <f t="shared" ca="1" si="190"/>
        <v>45990</v>
      </c>
      <c r="B2420" s="80">
        <f t="shared" ca="1" si="191"/>
        <v>45990.301536689818</v>
      </c>
      <c r="C2420" s="76" t="s">
        <v>389</v>
      </c>
      <c r="D2420" s="76" t="s">
        <v>902</v>
      </c>
      <c r="E2420" s="79" t="s">
        <v>2054</v>
      </c>
      <c r="F2420" s="79"/>
    </row>
    <row r="2421" spans="1:7">
      <c r="A2421" s="77">
        <f t="shared" ca="1" si="190"/>
        <v>45990</v>
      </c>
      <c r="B2421" s="80">
        <f t="shared" ca="1" si="191"/>
        <v>45990.308142708331</v>
      </c>
      <c r="C2421" s="76" t="s">
        <v>389</v>
      </c>
      <c r="D2421" s="76" t="s">
        <v>902</v>
      </c>
      <c r="E2421" s="79" t="s">
        <v>2052</v>
      </c>
      <c r="F2421" s="79"/>
    </row>
    <row r="2422" spans="1:7">
      <c r="A2422" s="77">
        <f t="shared" ca="1" si="190"/>
        <v>45990</v>
      </c>
      <c r="B2422" s="80">
        <f t="shared" ca="1" si="191"/>
        <v>45990.310648842591</v>
      </c>
      <c r="C2422" s="76" t="s">
        <v>389</v>
      </c>
      <c r="D2422" s="76" t="s">
        <v>902</v>
      </c>
      <c r="E2422" s="79" t="s">
        <v>925</v>
      </c>
      <c r="F2422" s="79"/>
    </row>
    <row r="2423" spans="1:7">
      <c r="A2423" s="77">
        <f t="shared" ca="1" si="190"/>
        <v>45990</v>
      </c>
      <c r="B2423" s="80">
        <f t="shared" ca="1" si="191"/>
        <v>45990.323403703704</v>
      </c>
      <c r="C2423" s="76" t="s">
        <v>389</v>
      </c>
      <c r="D2423" s="76" t="s">
        <v>902</v>
      </c>
      <c r="E2423" s="79" t="s">
        <v>2052</v>
      </c>
      <c r="F2423" s="79"/>
    </row>
    <row r="2424" spans="1:7">
      <c r="A2424" s="77">
        <f t="shared" ca="1" si="190"/>
        <v>45990</v>
      </c>
      <c r="B2424" s="80">
        <f t="shared" ca="1" si="191"/>
        <v>45990.329262615742</v>
      </c>
      <c r="C2424" s="76" t="s">
        <v>389</v>
      </c>
      <c r="D2424" s="76" t="s">
        <v>902</v>
      </c>
      <c r="E2424" s="79" t="s">
        <v>925</v>
      </c>
      <c r="F2424" s="79"/>
    </row>
    <row r="2425" spans="1:7">
      <c r="A2425" s="77">
        <f t="shared" ca="1" si="190"/>
        <v>45990</v>
      </c>
      <c r="B2425" s="80">
        <f t="shared" ca="1" si="191"/>
        <v>45990.354508217592</v>
      </c>
      <c r="C2425" s="76" t="s">
        <v>389</v>
      </c>
      <c r="D2425" s="76" t="s">
        <v>902</v>
      </c>
      <c r="E2425" s="79" t="s">
        <v>925</v>
      </c>
      <c r="F2425" s="79"/>
      <c r="G2425" s="76" t="s">
        <v>2055</v>
      </c>
    </row>
    <row r="2426" spans="1:7">
      <c r="A2426" s="77">
        <f t="shared" ca="1" si="190"/>
        <v>45990</v>
      </c>
      <c r="B2426" s="80">
        <f t="shared" ca="1" si="191"/>
        <v>45990.378649074075</v>
      </c>
      <c r="C2426" s="76" t="s">
        <v>389</v>
      </c>
      <c r="D2426" s="76" t="s">
        <v>902</v>
      </c>
      <c r="E2426" s="79" t="s">
        <v>996</v>
      </c>
      <c r="F2426" s="79"/>
    </row>
    <row r="2427" spans="1:7">
      <c r="A2427" s="77">
        <f t="shared" ca="1" si="190"/>
        <v>45990</v>
      </c>
      <c r="B2427" s="80">
        <f t="shared" ca="1" si="191"/>
        <v>45990.384728124998</v>
      </c>
      <c r="C2427" s="76" t="s">
        <v>389</v>
      </c>
      <c r="D2427" s="76" t="s">
        <v>902</v>
      </c>
      <c r="E2427" s="79"/>
      <c r="F2427" s="79"/>
      <c r="G2427" s="76" t="s">
        <v>2056</v>
      </c>
    </row>
    <row r="2428" spans="1:7">
      <c r="A2428" s="77">
        <f t="shared" ca="1" si="190"/>
        <v>45990</v>
      </c>
      <c r="B2428" s="80">
        <f t="shared" ca="1" si="191"/>
        <v>45990.388563773151</v>
      </c>
      <c r="C2428" s="76" t="s">
        <v>389</v>
      </c>
      <c r="D2428" s="76" t="s">
        <v>902</v>
      </c>
      <c r="E2428" s="79"/>
      <c r="F2428" s="79"/>
      <c r="G2428" s="76" t="s">
        <v>1960</v>
      </c>
    </row>
    <row r="2429" spans="1:7">
      <c r="A2429" s="77">
        <f t="shared" ca="1" si="190"/>
        <v>45990</v>
      </c>
      <c r="B2429" s="80">
        <f t="shared" ca="1" si="191"/>
        <v>45990.45228553241</v>
      </c>
      <c r="C2429" s="76" t="s">
        <v>389</v>
      </c>
      <c r="D2429" s="76" t="s">
        <v>902</v>
      </c>
      <c r="E2429" s="79" t="s">
        <v>925</v>
      </c>
      <c r="F2429" s="79"/>
    </row>
    <row r="2430" spans="1:7">
      <c r="A2430" s="77">
        <f t="shared" ca="1" si="190"/>
        <v>45990</v>
      </c>
      <c r="B2430" s="80">
        <f t="shared" ca="1" si="191"/>
        <v>45990.458598495374</v>
      </c>
      <c r="C2430" s="76" t="s">
        <v>389</v>
      </c>
      <c r="D2430" s="76" t="s">
        <v>902</v>
      </c>
      <c r="E2430" s="79" t="s">
        <v>1006</v>
      </c>
      <c r="F2430" s="79"/>
    </row>
    <row r="2431" spans="1:7">
      <c r="A2431" s="77">
        <f t="shared" ca="1" si="190"/>
        <v>45990</v>
      </c>
      <c r="B2431" s="80">
        <f t="shared" ca="1" si="191"/>
        <v>45990.467015740738</v>
      </c>
      <c r="C2431" s="76" t="s">
        <v>389</v>
      </c>
      <c r="D2431" s="76" t="s">
        <v>902</v>
      </c>
      <c r="E2431" s="79"/>
      <c r="F2431" s="79"/>
      <c r="G2431" s="76" t="s">
        <v>2057</v>
      </c>
    </row>
    <row r="2432" spans="1:7">
      <c r="A2432" s="77">
        <f t="shared" ca="1" si="190"/>
        <v>45990</v>
      </c>
      <c r="B2432" s="80">
        <f t="shared" ca="1" si="191"/>
        <v>45990.47360740741</v>
      </c>
      <c r="C2432" s="76" t="s">
        <v>389</v>
      </c>
      <c r="D2432" s="76" t="s">
        <v>902</v>
      </c>
      <c r="E2432" s="79" t="s">
        <v>925</v>
      </c>
      <c r="F2432" s="79"/>
    </row>
    <row r="2433" spans="1:7">
      <c r="A2433" s="77">
        <f t="shared" ca="1" si="190"/>
        <v>45990</v>
      </c>
      <c r="B2433" s="80">
        <f t="shared" ca="1" si="191"/>
        <v>45990.503887268518</v>
      </c>
      <c r="C2433" s="76" t="s">
        <v>389</v>
      </c>
      <c r="D2433" s="76" t="s">
        <v>902</v>
      </c>
      <c r="E2433" s="79" t="s">
        <v>2058</v>
      </c>
      <c r="F2433" s="79"/>
    </row>
    <row r="2434" spans="1:7">
      <c r="A2434" s="77">
        <f t="shared" ca="1" si="190"/>
        <v>45990</v>
      </c>
      <c r="B2434" s="80">
        <f t="shared" ca="1" si="191"/>
        <v>45990.508443749997</v>
      </c>
      <c r="C2434" s="76" t="s">
        <v>389</v>
      </c>
      <c r="D2434" s="76" t="s">
        <v>902</v>
      </c>
      <c r="E2434" s="79" t="s">
        <v>2059</v>
      </c>
      <c r="F2434" s="79"/>
    </row>
    <row r="2435" spans="1:7">
      <c r="A2435" s="77">
        <f t="shared" ca="1" si="190"/>
        <v>45990</v>
      </c>
      <c r="B2435" s="80">
        <f t="shared" ca="1" si="191"/>
        <v>45990.515392939815</v>
      </c>
      <c r="C2435" s="76" t="s">
        <v>389</v>
      </c>
      <c r="D2435" s="76" t="s">
        <v>902</v>
      </c>
      <c r="E2435" s="79"/>
      <c r="F2435" s="79"/>
      <c r="G2435" s="76" t="s">
        <v>2060</v>
      </c>
    </row>
    <row r="2436" spans="1:7">
      <c r="A2436" s="77">
        <f t="shared" ca="1" si="190"/>
        <v>45990</v>
      </c>
      <c r="B2436" s="80">
        <f t="shared" ca="1" si="191"/>
        <v>45990.522523958331</v>
      </c>
      <c r="C2436" s="76" t="s">
        <v>389</v>
      </c>
      <c r="D2436" s="210" t="s">
        <v>922</v>
      </c>
      <c r="E2436" s="79"/>
      <c r="F2436" s="79"/>
    </row>
    <row r="2437" spans="1:7">
      <c r="A2437" s="77">
        <f t="shared" ca="1" si="190"/>
        <v>45990</v>
      </c>
      <c r="B2437" s="80">
        <v>0.52777777777777779</v>
      </c>
      <c r="C2437" s="76" t="s">
        <v>389</v>
      </c>
      <c r="D2437" s="210" t="s">
        <v>1098</v>
      </c>
      <c r="E2437" s="79"/>
      <c r="F2437" s="79"/>
      <c r="G2437" s="76" t="s">
        <v>2061</v>
      </c>
    </row>
    <row r="2438" spans="1:7">
      <c r="A2438" s="77">
        <f t="shared" ca="1" si="190"/>
        <v>45990</v>
      </c>
      <c r="B2438" s="80">
        <f t="shared" ca="1" si="191"/>
        <v>45990.660097106484</v>
      </c>
      <c r="C2438" s="76" t="s">
        <v>392</v>
      </c>
      <c r="D2438" s="210" t="s">
        <v>906</v>
      </c>
      <c r="E2438" s="79"/>
      <c r="F2438" s="79"/>
      <c r="G2438" s="76" t="s">
        <v>2062</v>
      </c>
    </row>
    <row r="2439" spans="1:7">
      <c r="A2439" s="77">
        <f t="shared" ca="1" si="190"/>
        <v>45990</v>
      </c>
      <c r="B2439" s="80">
        <f t="shared" ca="1" si="191"/>
        <v>45990.680450925924</v>
      </c>
      <c r="C2439" s="76" t="s">
        <v>392</v>
      </c>
      <c r="D2439" s="210" t="s">
        <v>909</v>
      </c>
      <c r="E2439" s="79"/>
      <c r="F2439" s="79"/>
    </row>
    <row r="2440" spans="1:7">
      <c r="A2440" s="77">
        <f t="shared" ca="1" si="190"/>
        <v>45990</v>
      </c>
      <c r="B2440" s="80">
        <f t="shared" ca="1" si="191"/>
        <v>45990.683760995373</v>
      </c>
      <c r="C2440" s="76" t="s">
        <v>392</v>
      </c>
      <c r="D2440" s="76" t="s">
        <v>902</v>
      </c>
      <c r="E2440" s="79"/>
      <c r="F2440" s="79"/>
      <c r="G2440" s="76" t="s">
        <v>2063</v>
      </c>
    </row>
    <row r="2441" spans="1:7">
      <c r="A2441" s="77">
        <f t="shared" ca="1" si="190"/>
        <v>45990</v>
      </c>
      <c r="B2441" s="80">
        <f t="shared" ca="1" si="191"/>
        <v>45990.691098726849</v>
      </c>
      <c r="C2441" s="76" t="s">
        <v>392</v>
      </c>
      <c r="D2441" s="76" t="s">
        <v>902</v>
      </c>
      <c r="E2441" s="79"/>
      <c r="F2441" s="79"/>
      <c r="G2441" s="76" t="s">
        <v>1914</v>
      </c>
    </row>
    <row r="2442" spans="1:7">
      <c r="A2442" s="77">
        <f t="shared" ref="A2442:A2458" ca="1" si="192">IF(C2442&lt;&gt;0,IF(A2442=0,TODAY(),A2442),)</f>
        <v>45990</v>
      </c>
      <c r="B2442" s="80">
        <f t="shared" ref="B2442:B2458" ca="1" si="193">IF(C2442&lt;&gt;0,IF(B2442=0,NOW(),B2442),)</f>
        <v>45990.718841087961</v>
      </c>
      <c r="C2442" s="76" t="s">
        <v>392</v>
      </c>
      <c r="D2442" s="76" t="s">
        <v>902</v>
      </c>
      <c r="E2442" s="79"/>
      <c r="F2442" s="79"/>
      <c r="G2442" s="76" t="s">
        <v>2064</v>
      </c>
    </row>
    <row r="2443" spans="1:7">
      <c r="A2443" s="77">
        <f t="shared" ca="1" si="192"/>
        <v>45990</v>
      </c>
      <c r="B2443" s="80">
        <f t="shared" ca="1" si="193"/>
        <v>45990.724966087961</v>
      </c>
      <c r="C2443" s="76" t="s">
        <v>392</v>
      </c>
      <c r="D2443" s="150" t="s">
        <v>1007</v>
      </c>
      <c r="E2443" s="79"/>
      <c r="F2443" s="79"/>
      <c r="G2443" s="76" t="s">
        <v>2065</v>
      </c>
    </row>
    <row r="2444" spans="1:7">
      <c r="A2444" s="77">
        <f t="shared" ca="1" si="192"/>
        <v>45990</v>
      </c>
      <c r="B2444" s="80">
        <f t="shared" ca="1" si="193"/>
        <v>45990.728167939815</v>
      </c>
      <c r="C2444" s="76" t="s">
        <v>392</v>
      </c>
      <c r="D2444" s="76" t="s">
        <v>902</v>
      </c>
      <c r="E2444" s="79" t="s">
        <v>2066</v>
      </c>
      <c r="F2444" s="79"/>
    </row>
    <row r="2445" spans="1:7">
      <c r="A2445" s="77">
        <f t="shared" ca="1" si="192"/>
        <v>45990</v>
      </c>
      <c r="B2445" s="80">
        <f t="shared" ca="1" si="193"/>
        <v>45990.738235648147</v>
      </c>
      <c r="C2445" s="76" t="s">
        <v>392</v>
      </c>
      <c r="D2445" s="76" t="s">
        <v>902</v>
      </c>
      <c r="E2445" s="79" t="s">
        <v>925</v>
      </c>
      <c r="F2445" s="79"/>
    </row>
    <row r="2446" spans="1:7">
      <c r="A2446" s="77">
        <f t="shared" ca="1" si="192"/>
        <v>45990</v>
      </c>
      <c r="B2446" s="80">
        <f t="shared" ca="1" si="193"/>
        <v>45990.756121527775</v>
      </c>
      <c r="C2446" s="76" t="s">
        <v>392</v>
      </c>
      <c r="D2446" s="76" t="s">
        <v>902</v>
      </c>
      <c r="E2446" s="79" t="s">
        <v>2067</v>
      </c>
      <c r="F2446" s="79"/>
    </row>
    <row r="2447" spans="1:7">
      <c r="A2447" s="77">
        <f t="shared" ca="1" si="192"/>
        <v>45990</v>
      </c>
      <c r="B2447" s="80">
        <f t="shared" ca="1" si="193"/>
        <v>45990.770059606482</v>
      </c>
      <c r="C2447" s="76" t="s">
        <v>392</v>
      </c>
      <c r="D2447" s="76" t="s">
        <v>902</v>
      </c>
      <c r="E2447" s="79" t="s">
        <v>1076</v>
      </c>
      <c r="F2447" s="79"/>
    </row>
    <row r="2448" spans="1:7">
      <c r="A2448" s="77">
        <f t="shared" ca="1" si="192"/>
        <v>45990</v>
      </c>
      <c r="B2448" s="80">
        <f t="shared" ca="1" si="193"/>
        <v>45990.779866898149</v>
      </c>
      <c r="C2448" s="76" t="s">
        <v>392</v>
      </c>
      <c r="D2448" s="76" t="s">
        <v>902</v>
      </c>
      <c r="E2448" s="79" t="s">
        <v>1596</v>
      </c>
      <c r="F2448" s="79"/>
    </row>
    <row r="2449" spans="1:7">
      <c r="A2449" s="77">
        <f t="shared" ca="1" si="192"/>
        <v>45990</v>
      </c>
      <c r="B2449" s="80">
        <f t="shared" ca="1" si="193"/>
        <v>45990.864646527778</v>
      </c>
      <c r="C2449" s="76" t="s">
        <v>392</v>
      </c>
      <c r="D2449" s="76" t="s">
        <v>902</v>
      </c>
      <c r="E2449" s="79" t="s">
        <v>2068</v>
      </c>
      <c r="F2449" s="79"/>
    </row>
    <row r="2450" spans="1:7">
      <c r="A2450" s="77">
        <f t="shared" ca="1" si="192"/>
        <v>45990</v>
      </c>
      <c r="B2450" s="80">
        <f t="shared" ca="1" si="193"/>
        <v>45990.87630891204</v>
      </c>
      <c r="C2450" s="76" t="s">
        <v>392</v>
      </c>
      <c r="D2450" s="76" t="s">
        <v>902</v>
      </c>
      <c r="E2450" s="79" t="s">
        <v>2069</v>
      </c>
      <c r="F2450" s="79"/>
      <c r="G2450" s="76" t="s">
        <v>2070</v>
      </c>
    </row>
    <row r="2451" spans="1:7">
      <c r="A2451" s="77">
        <f t="shared" ca="1" si="192"/>
        <v>45990</v>
      </c>
      <c r="B2451" s="80">
        <f t="shared" ca="1" si="193"/>
        <v>45990.883903587965</v>
      </c>
      <c r="C2451" s="76" t="s">
        <v>392</v>
      </c>
      <c r="D2451" s="76" t="s">
        <v>902</v>
      </c>
      <c r="E2451" s="79" t="s">
        <v>2071</v>
      </c>
      <c r="F2451" s="79"/>
    </row>
    <row r="2452" spans="1:7">
      <c r="A2452" s="77">
        <f t="shared" ca="1" si="192"/>
        <v>45990</v>
      </c>
      <c r="B2452" s="80">
        <f t="shared" ca="1" si="193"/>
        <v>45990.888675925926</v>
      </c>
      <c r="C2452" s="76" t="s">
        <v>392</v>
      </c>
      <c r="D2452" s="76" t="s">
        <v>902</v>
      </c>
      <c r="E2452" s="79" t="s">
        <v>2071</v>
      </c>
      <c r="F2452" s="79"/>
    </row>
    <row r="2453" spans="1:7">
      <c r="A2453" s="77">
        <f t="shared" ca="1" si="192"/>
        <v>45990</v>
      </c>
      <c r="B2453" s="80">
        <f t="shared" ca="1" si="193"/>
        <v>45990.903664814818</v>
      </c>
      <c r="C2453" s="76" t="s">
        <v>392</v>
      </c>
      <c r="D2453" s="76" t="s">
        <v>902</v>
      </c>
      <c r="E2453" s="79" t="s">
        <v>2072</v>
      </c>
      <c r="F2453" s="79"/>
    </row>
    <row r="2454" spans="1:7">
      <c r="A2454" s="77">
        <f t="shared" ca="1" si="192"/>
        <v>45990</v>
      </c>
      <c r="B2454" s="80">
        <f t="shared" ca="1" si="193"/>
        <v>45990.90367511574</v>
      </c>
      <c r="C2454" s="76" t="s">
        <v>392</v>
      </c>
      <c r="D2454" s="76" t="s">
        <v>902</v>
      </c>
      <c r="E2454" s="79" t="s">
        <v>2072</v>
      </c>
      <c r="F2454" s="79"/>
    </row>
    <row r="2455" spans="1:7">
      <c r="A2455" s="77">
        <f t="shared" ca="1" si="192"/>
        <v>45990</v>
      </c>
      <c r="B2455" s="80">
        <f t="shared" ca="1" si="193"/>
        <v>45990.908742939813</v>
      </c>
      <c r="C2455" s="76" t="s">
        <v>392</v>
      </c>
      <c r="D2455" s="76" t="s">
        <v>902</v>
      </c>
      <c r="E2455" s="79" t="s">
        <v>2073</v>
      </c>
      <c r="F2455" s="79"/>
    </row>
    <row r="2456" spans="1:7">
      <c r="A2456" s="77">
        <f t="shared" ca="1" si="192"/>
        <v>45990</v>
      </c>
      <c r="B2456" s="80">
        <f t="shared" ca="1" si="193"/>
        <v>45990.922364467595</v>
      </c>
      <c r="C2456" s="76" t="s">
        <v>392</v>
      </c>
      <c r="D2456" s="76" t="s">
        <v>902</v>
      </c>
      <c r="E2456" s="79" t="s">
        <v>2074</v>
      </c>
      <c r="F2456" s="79"/>
    </row>
    <row r="2457" spans="1:7">
      <c r="A2457" s="77">
        <f t="shared" ca="1" si="192"/>
        <v>45990</v>
      </c>
      <c r="B2457" s="80">
        <f t="shared" ca="1" si="193"/>
        <v>45990.925311574072</v>
      </c>
      <c r="C2457" s="76" t="s">
        <v>392</v>
      </c>
      <c r="D2457" s="76" t="s">
        <v>902</v>
      </c>
      <c r="E2457" s="79" t="s">
        <v>2069</v>
      </c>
      <c r="F2457" s="79"/>
      <c r="G2457" s="76" t="s">
        <v>2070</v>
      </c>
    </row>
    <row r="2458" spans="1:7">
      <c r="A2458" s="77">
        <f t="shared" ca="1" si="192"/>
        <v>45990</v>
      </c>
      <c r="B2458" s="80">
        <f t="shared" ca="1" si="193"/>
        <v>45990.949951736111</v>
      </c>
      <c r="C2458" s="76" t="s">
        <v>392</v>
      </c>
      <c r="D2458" s="210" t="s">
        <v>922</v>
      </c>
      <c r="E2458" s="79"/>
      <c r="F2458" s="79"/>
      <c r="G2458" s="76" t="s">
        <v>2075</v>
      </c>
    </row>
    <row r="2459" spans="1:7">
      <c r="A2459" s="77">
        <f t="shared" ref="A2459:A2464" ca="1" si="194">IF(C2459&lt;&gt;0,IF(A2459=0,TODAY(),A2459),)</f>
        <v>45991</v>
      </c>
      <c r="B2459" s="80">
        <f t="shared" ref="B2459:B2464" ca="1" si="195">IF(C2459&lt;&gt;0,IF(B2459=0,NOW(),B2459),)</f>
        <v>45991.013165277778</v>
      </c>
      <c r="C2459" s="76" t="s">
        <v>392</v>
      </c>
      <c r="D2459" s="210" t="s">
        <v>2076</v>
      </c>
      <c r="E2459" s="79"/>
      <c r="F2459" s="79"/>
    </row>
    <row r="2460" spans="1:7">
      <c r="A2460" s="77">
        <f t="shared" ca="1" si="194"/>
        <v>45991</v>
      </c>
      <c r="B2460" s="80">
        <f t="shared" ca="1" si="195"/>
        <v>45991.085737731482</v>
      </c>
      <c r="C2460" s="76" t="s">
        <v>395</v>
      </c>
      <c r="D2460" s="210" t="s">
        <v>906</v>
      </c>
      <c r="E2460" s="79"/>
      <c r="F2460" s="79"/>
    </row>
    <row r="2461" spans="1:7">
      <c r="A2461" s="77">
        <f t="shared" ca="1" si="194"/>
        <v>45991</v>
      </c>
      <c r="B2461" s="80">
        <f t="shared" ca="1" si="195"/>
        <v>45991.151071527776</v>
      </c>
      <c r="C2461" s="76" t="s">
        <v>395</v>
      </c>
      <c r="D2461" s="150" t="s">
        <v>1070</v>
      </c>
      <c r="E2461" s="79"/>
      <c r="F2461" s="79"/>
    </row>
    <row r="2462" spans="1:7">
      <c r="A2462" s="77">
        <f t="shared" ca="1" si="194"/>
        <v>45991</v>
      </c>
      <c r="B2462" s="80">
        <f t="shared" ca="1" si="195"/>
        <v>45991.154294791668</v>
      </c>
      <c r="C2462" s="76" t="s">
        <v>395</v>
      </c>
      <c r="D2462" s="210" t="s">
        <v>909</v>
      </c>
      <c r="E2462" s="79"/>
      <c r="F2462" s="79"/>
    </row>
    <row r="2463" spans="1:7">
      <c r="A2463" s="77">
        <f t="shared" ca="1" si="194"/>
        <v>45991</v>
      </c>
      <c r="B2463" s="80">
        <f t="shared" ca="1" si="195"/>
        <v>45991.157312037038</v>
      </c>
      <c r="C2463" s="76" t="s">
        <v>395</v>
      </c>
      <c r="D2463" s="76" t="s">
        <v>902</v>
      </c>
      <c r="E2463" s="79" t="s">
        <v>2077</v>
      </c>
      <c r="F2463" s="79"/>
    </row>
    <row r="2464" spans="1:7">
      <c r="A2464" s="77">
        <f t="shared" ca="1" si="194"/>
        <v>45991</v>
      </c>
      <c r="B2464" s="80">
        <f t="shared" ca="1" si="195"/>
        <v>45991.165090162038</v>
      </c>
      <c r="C2464" s="76" t="s">
        <v>395</v>
      </c>
      <c r="D2464" s="76" t="s">
        <v>902</v>
      </c>
      <c r="E2464" s="79" t="s">
        <v>2078</v>
      </c>
      <c r="F2464" s="79"/>
    </row>
    <row r="2465" spans="1:6">
      <c r="A2465" s="77">
        <f t="shared" ref="A2465:A2487" ca="1" si="196">IF(C2465&lt;&gt;0,IF(A2465=0,TODAY(),A2465),)</f>
        <v>45991</v>
      </c>
      <c r="B2465" s="80">
        <f t="shared" ref="B2465:B2487" ca="1" si="197">IF(C2465&lt;&gt;0,IF(B2465=0,NOW(),B2465),)</f>
        <v>45991.16744247685</v>
      </c>
      <c r="C2465" s="76" t="s">
        <v>395</v>
      </c>
      <c r="D2465" s="76" t="s">
        <v>902</v>
      </c>
      <c r="E2465" s="79" t="s">
        <v>1793</v>
      </c>
      <c r="F2465" s="79"/>
    </row>
    <row r="2466" spans="1:6">
      <c r="A2466" s="77">
        <f t="shared" ca="1" si="196"/>
        <v>45991</v>
      </c>
      <c r="B2466" s="80">
        <f t="shared" ca="1" si="197"/>
        <v>45991.167658217593</v>
      </c>
      <c r="C2466" s="76" t="s">
        <v>395</v>
      </c>
      <c r="D2466" s="76" t="s">
        <v>902</v>
      </c>
      <c r="E2466" s="79" t="s">
        <v>2079</v>
      </c>
      <c r="F2466" s="79"/>
    </row>
    <row r="2467" spans="1:6">
      <c r="A2467" s="77">
        <f t="shared" ca="1" si="196"/>
        <v>45991</v>
      </c>
      <c r="B2467" s="80">
        <f t="shared" ca="1" si="197"/>
        <v>45991.167687731482</v>
      </c>
      <c r="C2467" s="76" t="s">
        <v>395</v>
      </c>
      <c r="D2467" s="76" t="s">
        <v>902</v>
      </c>
      <c r="E2467" s="79" t="s">
        <v>2080</v>
      </c>
      <c r="F2467" s="79"/>
    </row>
    <row r="2468" spans="1:6">
      <c r="A2468" s="77">
        <f t="shared" ca="1" si="196"/>
        <v>45991</v>
      </c>
      <c r="B2468" s="80">
        <f t="shared" ca="1" si="197"/>
        <v>45991.170465625</v>
      </c>
      <c r="C2468" s="76" t="s">
        <v>395</v>
      </c>
      <c r="D2468" s="76" t="s">
        <v>902</v>
      </c>
      <c r="E2468" s="79" t="s">
        <v>2080</v>
      </c>
      <c r="F2468" s="79"/>
    </row>
    <row r="2469" spans="1:6">
      <c r="A2469" s="77">
        <f t="shared" ca="1" si="196"/>
        <v>45991</v>
      </c>
      <c r="B2469" s="80">
        <f t="shared" ca="1" si="197"/>
        <v>45991.170532638891</v>
      </c>
      <c r="C2469" s="76" t="s">
        <v>395</v>
      </c>
      <c r="D2469" s="76" t="s">
        <v>902</v>
      </c>
      <c r="E2469" s="79" t="s">
        <v>2080</v>
      </c>
      <c r="F2469" s="79"/>
    </row>
    <row r="2470" spans="1:6">
      <c r="A2470" s="77">
        <f t="shared" ca="1" si="196"/>
        <v>45991</v>
      </c>
      <c r="B2470" s="80">
        <f t="shared" ca="1" si="197"/>
        <v>45991.171042361108</v>
      </c>
      <c r="C2470" s="76" t="s">
        <v>395</v>
      </c>
      <c r="D2470" s="76" t="s">
        <v>902</v>
      </c>
      <c r="E2470" s="79" t="s">
        <v>2080</v>
      </c>
      <c r="F2470" s="79"/>
    </row>
    <row r="2471" spans="1:6">
      <c r="A2471" s="77">
        <f t="shared" ca="1" si="196"/>
        <v>45991</v>
      </c>
      <c r="B2471" s="80">
        <f t="shared" ca="1" si="197"/>
        <v>45991.176879513892</v>
      </c>
      <c r="C2471" s="76" t="s">
        <v>395</v>
      </c>
      <c r="D2471" s="76" t="s">
        <v>902</v>
      </c>
      <c r="E2471" s="79" t="s">
        <v>2080</v>
      </c>
      <c r="F2471" s="79"/>
    </row>
    <row r="2472" spans="1:6">
      <c r="A2472" s="77">
        <f t="shared" ca="1" si="196"/>
        <v>45991</v>
      </c>
      <c r="B2472" s="80">
        <f t="shared" ca="1" si="197"/>
        <v>45991.177495949072</v>
      </c>
      <c r="C2472" s="76" t="s">
        <v>395</v>
      </c>
      <c r="D2472" s="76" t="s">
        <v>902</v>
      </c>
      <c r="E2472" s="79" t="s">
        <v>1793</v>
      </c>
      <c r="F2472" s="79"/>
    </row>
    <row r="2473" spans="1:6">
      <c r="A2473" s="77">
        <f t="shared" ca="1" si="196"/>
        <v>45991</v>
      </c>
      <c r="B2473" s="80">
        <f t="shared" ca="1" si="197"/>
        <v>45991.178107523148</v>
      </c>
      <c r="C2473" s="76" t="s">
        <v>395</v>
      </c>
      <c r="D2473" s="76" t="s">
        <v>902</v>
      </c>
      <c r="E2473" s="79" t="s">
        <v>2080</v>
      </c>
      <c r="F2473" s="79"/>
    </row>
    <row r="2474" spans="1:6">
      <c r="A2474" s="77">
        <f t="shared" ca="1" si="196"/>
        <v>45991</v>
      </c>
      <c r="B2474" s="80">
        <f t="shared" ca="1" si="197"/>
        <v>45991.179759027778</v>
      </c>
      <c r="C2474" s="76" t="s">
        <v>395</v>
      </c>
      <c r="D2474" s="76" t="s">
        <v>902</v>
      </c>
      <c r="E2474" s="79" t="s">
        <v>2080</v>
      </c>
      <c r="F2474" s="79"/>
    </row>
    <row r="2475" spans="1:6">
      <c r="A2475" s="77">
        <f t="shared" ca="1" si="196"/>
        <v>45991</v>
      </c>
      <c r="B2475" s="80">
        <f t="shared" ca="1" si="197"/>
        <v>45991.183102083334</v>
      </c>
      <c r="C2475" s="76" t="s">
        <v>395</v>
      </c>
      <c r="D2475" s="76" t="s">
        <v>902</v>
      </c>
      <c r="E2475" s="79" t="s">
        <v>2080</v>
      </c>
      <c r="F2475" s="79"/>
    </row>
    <row r="2476" spans="1:6">
      <c r="A2476" s="77">
        <f t="shared" ca="1" si="196"/>
        <v>45991</v>
      </c>
      <c r="B2476" s="80">
        <f t="shared" ca="1" si="197"/>
        <v>45991.183246296299</v>
      </c>
      <c r="C2476" s="76" t="s">
        <v>395</v>
      </c>
      <c r="D2476" s="76" t="s">
        <v>902</v>
      </c>
      <c r="E2476" s="79" t="s">
        <v>2080</v>
      </c>
      <c r="F2476" s="79"/>
    </row>
    <row r="2477" spans="1:6">
      <c r="A2477" s="77">
        <f t="shared" ca="1" si="196"/>
        <v>45991</v>
      </c>
      <c r="B2477" s="80">
        <f t="shared" ca="1" si="197"/>
        <v>45991.185562847226</v>
      </c>
      <c r="C2477" s="76" t="s">
        <v>395</v>
      </c>
      <c r="D2477" s="76" t="s">
        <v>902</v>
      </c>
      <c r="E2477" s="79" t="s">
        <v>2080</v>
      </c>
      <c r="F2477" s="79"/>
    </row>
    <row r="2478" spans="1:6">
      <c r="A2478" s="77">
        <f t="shared" ca="1" si="196"/>
        <v>45991</v>
      </c>
      <c r="B2478" s="80">
        <f t="shared" ca="1" si="197"/>
        <v>45991.19089247685</v>
      </c>
      <c r="C2478" s="76" t="s">
        <v>395</v>
      </c>
      <c r="D2478" s="76" t="s">
        <v>902</v>
      </c>
      <c r="E2478" s="79" t="s">
        <v>2081</v>
      </c>
      <c r="F2478" s="79"/>
    </row>
    <row r="2479" spans="1:6">
      <c r="A2479" s="77">
        <f t="shared" ca="1" si="196"/>
        <v>45991</v>
      </c>
      <c r="B2479" s="80">
        <f t="shared" ca="1" si="197"/>
        <v>45991.196873263892</v>
      </c>
      <c r="C2479" s="76" t="s">
        <v>395</v>
      </c>
      <c r="D2479" s="76" t="s">
        <v>902</v>
      </c>
      <c r="E2479" s="79" t="s">
        <v>2082</v>
      </c>
      <c r="F2479" s="79"/>
    </row>
    <row r="2480" spans="1:6">
      <c r="A2480" s="77">
        <f t="shared" ca="1" si="196"/>
        <v>45991</v>
      </c>
      <c r="B2480" s="80">
        <f t="shared" ca="1" si="197"/>
        <v>45991.203418634257</v>
      </c>
      <c r="C2480" s="76" t="s">
        <v>395</v>
      </c>
      <c r="D2480" s="76" t="s">
        <v>902</v>
      </c>
      <c r="E2480" s="79" t="s">
        <v>2080</v>
      </c>
      <c r="F2480" s="79"/>
    </row>
    <row r="2481" spans="1:7">
      <c r="A2481" s="77">
        <f t="shared" ca="1" si="196"/>
        <v>45991</v>
      </c>
      <c r="B2481" s="80">
        <f t="shared" ca="1" si="197"/>
        <v>45991.210953009257</v>
      </c>
      <c r="C2481" s="76" t="s">
        <v>395</v>
      </c>
      <c r="D2481" s="76" t="s">
        <v>902</v>
      </c>
      <c r="E2481" s="79" t="s">
        <v>1793</v>
      </c>
      <c r="F2481" s="79"/>
    </row>
    <row r="2482" spans="1:7">
      <c r="A2482" s="77">
        <f t="shared" ca="1" si="196"/>
        <v>45991</v>
      </c>
      <c r="B2482" s="80">
        <f t="shared" ca="1" si="197"/>
        <v>45991.21246909722</v>
      </c>
      <c r="C2482" s="76" t="s">
        <v>395</v>
      </c>
      <c r="D2482" s="76" t="s">
        <v>902</v>
      </c>
      <c r="E2482" s="79" t="s">
        <v>1793</v>
      </c>
      <c r="F2482" s="79"/>
    </row>
    <row r="2483" spans="1:7">
      <c r="A2483" s="77">
        <f t="shared" ca="1" si="196"/>
        <v>45991</v>
      </c>
      <c r="B2483" s="80">
        <f t="shared" ca="1" si="197"/>
        <v>45991.253787615744</v>
      </c>
      <c r="C2483" s="76" t="s">
        <v>395</v>
      </c>
      <c r="D2483" s="76" t="s">
        <v>902</v>
      </c>
      <c r="E2483" s="79" t="s">
        <v>1793</v>
      </c>
      <c r="F2483" s="79"/>
    </row>
    <row r="2484" spans="1:7">
      <c r="A2484" s="77">
        <f t="shared" ca="1" si="196"/>
        <v>45991</v>
      </c>
      <c r="B2484" s="80">
        <f t="shared" ca="1" si="197"/>
        <v>45991.284357870369</v>
      </c>
      <c r="C2484" s="76" t="s">
        <v>395</v>
      </c>
      <c r="D2484" s="76" t="s">
        <v>902</v>
      </c>
      <c r="E2484" s="79" t="s">
        <v>1793</v>
      </c>
      <c r="F2484" s="79"/>
    </row>
    <row r="2485" spans="1:7">
      <c r="A2485" s="77">
        <f t="shared" ca="1" si="196"/>
        <v>45991</v>
      </c>
      <c r="B2485" s="80">
        <f t="shared" ca="1" si="197"/>
        <v>45991.301137962961</v>
      </c>
      <c r="C2485" s="76" t="s">
        <v>395</v>
      </c>
      <c r="D2485" s="76" t="s">
        <v>902</v>
      </c>
      <c r="E2485" s="79" t="s">
        <v>2080</v>
      </c>
      <c r="F2485" s="79"/>
    </row>
    <row r="2486" spans="1:7">
      <c r="A2486" s="77">
        <f t="shared" ca="1" si="196"/>
        <v>45991</v>
      </c>
      <c r="B2486" s="80">
        <f t="shared" ca="1" si="197"/>
        <v>45991.309350462965</v>
      </c>
      <c r="C2486" s="76" t="s">
        <v>395</v>
      </c>
      <c r="D2486" s="76" t="s">
        <v>902</v>
      </c>
      <c r="E2486" s="79" t="s">
        <v>996</v>
      </c>
      <c r="F2486" s="79"/>
    </row>
    <row r="2487" spans="1:7">
      <c r="A2487" s="77">
        <f t="shared" ca="1" si="196"/>
        <v>45991</v>
      </c>
      <c r="B2487" s="80">
        <f t="shared" ca="1" si="197"/>
        <v>45991.31547199074</v>
      </c>
      <c r="C2487" s="76" t="s">
        <v>395</v>
      </c>
      <c r="D2487" s="76" t="s">
        <v>902</v>
      </c>
      <c r="E2487" s="79" t="s">
        <v>2071</v>
      </c>
      <c r="F2487" s="79"/>
    </row>
    <row r="2488" spans="1:7" ht="30.75">
      <c r="A2488" s="77">
        <f ca="1">IF(C2488&lt;&gt;0,IF(A2488=0,TODAY(),A2488),)</f>
        <v>45991</v>
      </c>
      <c r="B2488" s="80">
        <f ca="1">IF(C2488&lt;&gt;0,IF(B2488=0,NOW(),B2488),)</f>
        <v>45991.3237912037</v>
      </c>
      <c r="C2488" s="76" t="s">
        <v>395</v>
      </c>
      <c r="D2488" s="210" t="s">
        <v>922</v>
      </c>
      <c r="E2488" s="79"/>
      <c r="F2488" s="79"/>
      <c r="G2488" s="76" t="s">
        <v>2083</v>
      </c>
    </row>
    <row r="2489" spans="1:7">
      <c r="A2489" s="77">
        <f t="shared" ref="A2489:A2502" ca="1" si="198">IF(C2489&lt;&gt;0,IF(A2489=0,TODAY(),A2489),)</f>
        <v>45991</v>
      </c>
      <c r="B2489" s="80">
        <f t="shared" ref="B2489:B2502" ca="1" si="199">IF(C2489&lt;&gt;0,IF(B2489=0,NOW(),B2489),)</f>
        <v>45991.393068750003</v>
      </c>
      <c r="C2489" s="76" t="s">
        <v>395</v>
      </c>
      <c r="D2489" s="210" t="s">
        <v>1098</v>
      </c>
      <c r="E2489" s="79"/>
      <c r="F2489" s="79"/>
    </row>
    <row r="2490" spans="1:7">
      <c r="A2490" s="77">
        <f t="shared" ca="1" si="198"/>
        <v>45991</v>
      </c>
      <c r="B2490" s="80">
        <f t="shared" ca="1" si="199"/>
        <v>45991.482356018518</v>
      </c>
      <c r="C2490" s="76" t="s">
        <v>397</v>
      </c>
      <c r="D2490" s="210" t="s">
        <v>906</v>
      </c>
      <c r="E2490" s="79"/>
      <c r="F2490" s="79"/>
    </row>
    <row r="2491" spans="1:7">
      <c r="A2491" s="77">
        <f t="shared" ca="1" si="198"/>
        <v>45991</v>
      </c>
      <c r="B2491" s="80">
        <f t="shared" ca="1" si="199"/>
        <v>45991.524392013889</v>
      </c>
      <c r="C2491" s="76" t="s">
        <v>397</v>
      </c>
      <c r="D2491" s="210" t="s">
        <v>909</v>
      </c>
      <c r="E2491" s="79"/>
      <c r="F2491" s="79"/>
    </row>
    <row r="2492" spans="1:7">
      <c r="A2492" s="77">
        <f t="shared" ca="1" si="198"/>
        <v>45991</v>
      </c>
      <c r="B2492" s="80">
        <f t="shared" ca="1" si="199"/>
        <v>45991.527232060187</v>
      </c>
      <c r="C2492" s="76" t="s">
        <v>397</v>
      </c>
      <c r="D2492" s="76" t="s">
        <v>902</v>
      </c>
      <c r="E2492" s="79" t="s">
        <v>1055</v>
      </c>
      <c r="F2492" s="79"/>
    </row>
    <row r="2493" spans="1:7">
      <c r="A2493" s="77">
        <f t="shared" ca="1" si="198"/>
        <v>45991</v>
      </c>
      <c r="B2493" s="80">
        <f t="shared" ca="1" si="199"/>
        <v>45991.52988587963</v>
      </c>
      <c r="C2493" s="76" t="s">
        <v>397</v>
      </c>
      <c r="D2493" s="76" t="s">
        <v>902</v>
      </c>
      <c r="E2493" s="79" t="s">
        <v>2084</v>
      </c>
      <c r="F2493" s="79"/>
    </row>
    <row r="2494" spans="1:7">
      <c r="A2494" s="77">
        <f t="shared" ca="1" si="198"/>
        <v>45991</v>
      </c>
      <c r="B2494" s="80">
        <f t="shared" ca="1" si="199"/>
        <v>45991.530204976851</v>
      </c>
      <c r="C2494" s="76" t="s">
        <v>397</v>
      </c>
      <c r="D2494" s="76" t="s">
        <v>902</v>
      </c>
      <c r="E2494" s="79" t="s">
        <v>1314</v>
      </c>
      <c r="F2494" s="79"/>
    </row>
    <row r="2495" spans="1:7">
      <c r="A2495" s="77">
        <f t="shared" ca="1" si="198"/>
        <v>45991</v>
      </c>
      <c r="B2495" s="80">
        <f t="shared" ca="1" si="199"/>
        <v>45991.537368865742</v>
      </c>
      <c r="C2495" s="76" t="s">
        <v>397</v>
      </c>
      <c r="D2495" s="76" t="s">
        <v>902</v>
      </c>
      <c r="E2495" s="79"/>
      <c r="F2495" s="79"/>
      <c r="G2495" s="76" t="s">
        <v>2085</v>
      </c>
    </row>
    <row r="2496" spans="1:7">
      <c r="A2496" s="77">
        <f t="shared" ca="1" si="198"/>
        <v>45991</v>
      </c>
      <c r="B2496" s="80">
        <f t="shared" ca="1" si="199"/>
        <v>45991.541442708331</v>
      </c>
      <c r="C2496" s="76" t="s">
        <v>397</v>
      </c>
      <c r="D2496" s="150" t="s">
        <v>1007</v>
      </c>
      <c r="E2496" s="79" t="s">
        <v>2086</v>
      </c>
      <c r="F2496" s="79"/>
    </row>
    <row r="2497" spans="1:7">
      <c r="A2497" s="77">
        <f t="shared" ca="1" si="198"/>
        <v>45991</v>
      </c>
      <c r="B2497" s="80">
        <f t="shared" ca="1" si="199"/>
        <v>45991.545829050927</v>
      </c>
      <c r="C2497" s="76" t="s">
        <v>397</v>
      </c>
      <c r="D2497" s="76" t="s">
        <v>902</v>
      </c>
      <c r="E2497" s="79" t="s">
        <v>2087</v>
      </c>
      <c r="F2497" s="79"/>
    </row>
    <row r="2498" spans="1:7">
      <c r="A2498" s="77">
        <f t="shared" ca="1" si="198"/>
        <v>45991</v>
      </c>
      <c r="B2498" s="80">
        <f t="shared" ca="1" si="199"/>
        <v>45991.558011689813</v>
      </c>
      <c r="C2498" s="76" t="s">
        <v>397</v>
      </c>
      <c r="D2498" s="76" t="s">
        <v>902</v>
      </c>
      <c r="E2498" s="79" t="s">
        <v>1055</v>
      </c>
      <c r="F2498" s="79"/>
    </row>
    <row r="2499" spans="1:7">
      <c r="A2499" s="77">
        <f t="shared" ca="1" si="198"/>
        <v>45991</v>
      </c>
      <c r="B2499" s="80">
        <f t="shared" ca="1" si="199"/>
        <v>45991.558301504629</v>
      </c>
      <c r="C2499" s="76" t="s">
        <v>397</v>
      </c>
      <c r="D2499" s="76" t="s">
        <v>902</v>
      </c>
      <c r="E2499" s="79" t="s">
        <v>2084</v>
      </c>
      <c r="F2499" s="79"/>
    </row>
    <row r="2500" spans="1:7">
      <c r="A2500" s="77">
        <f t="shared" ca="1" si="198"/>
        <v>45991</v>
      </c>
      <c r="B2500" s="80">
        <f t="shared" ca="1" si="199"/>
        <v>45991.57690925926</v>
      </c>
      <c r="C2500" s="76" t="s">
        <v>397</v>
      </c>
      <c r="D2500" s="76" t="s">
        <v>902</v>
      </c>
      <c r="E2500" s="79"/>
      <c r="F2500" s="79"/>
      <c r="G2500" s="76" t="s">
        <v>2088</v>
      </c>
    </row>
    <row r="2501" spans="1:7">
      <c r="A2501" s="77">
        <f t="shared" ca="1" si="198"/>
        <v>45991</v>
      </c>
      <c r="B2501" s="80">
        <f t="shared" ca="1" si="199"/>
        <v>45991.576989351852</v>
      </c>
      <c r="C2501" s="76" t="s">
        <v>397</v>
      </c>
      <c r="D2501" s="76" t="s">
        <v>902</v>
      </c>
      <c r="E2501" s="79" t="s">
        <v>2089</v>
      </c>
      <c r="F2501" s="79"/>
    </row>
    <row r="2502" spans="1:7">
      <c r="A2502" s="77">
        <f t="shared" ca="1" si="198"/>
        <v>45991</v>
      </c>
      <c r="B2502" s="80">
        <f t="shared" ca="1" si="199"/>
        <v>45991.580304861112</v>
      </c>
      <c r="C2502" s="76" t="s">
        <v>397</v>
      </c>
      <c r="D2502" s="76" t="s">
        <v>902</v>
      </c>
      <c r="E2502" s="79"/>
      <c r="F2502" s="79"/>
      <c r="G2502" s="76" t="s">
        <v>2090</v>
      </c>
    </row>
    <row r="2503" spans="1:7">
      <c r="A2503" s="77">
        <f t="shared" ref="A2503:A2521" ca="1" si="200">IF(C2503&lt;&gt;0,IF(A2503=0,TODAY(),A2503),)</f>
        <v>45991</v>
      </c>
      <c r="B2503" s="80">
        <f t="shared" ref="B2503:B2521" ca="1" si="201">IF(C2503&lt;&gt;0,IF(B2503=0,NOW(),B2503),)</f>
        <v>45991.602698726849</v>
      </c>
      <c r="C2503" s="76" t="s">
        <v>397</v>
      </c>
      <c r="D2503" s="150" t="s">
        <v>1084</v>
      </c>
      <c r="E2503" s="79"/>
      <c r="F2503" s="79"/>
      <c r="G2503" s="76" t="s">
        <v>2091</v>
      </c>
    </row>
    <row r="2504" spans="1:7">
      <c r="A2504" s="77">
        <f t="shared" ca="1" si="200"/>
        <v>45991</v>
      </c>
      <c r="B2504" s="80">
        <f t="shared" ca="1" si="201"/>
        <v>45991.62079375</v>
      </c>
      <c r="C2504" s="76" t="s">
        <v>397</v>
      </c>
      <c r="D2504" s="76" t="s">
        <v>902</v>
      </c>
      <c r="E2504" s="79"/>
      <c r="F2504" s="79"/>
      <c r="G2504" s="76" t="s">
        <v>2092</v>
      </c>
    </row>
    <row r="2505" spans="1:7">
      <c r="A2505" s="77">
        <f t="shared" ca="1" si="200"/>
        <v>45991</v>
      </c>
      <c r="B2505" s="80">
        <f t="shared" ca="1" si="201"/>
        <v>45991.624690393517</v>
      </c>
      <c r="C2505" s="76" t="s">
        <v>397</v>
      </c>
      <c r="D2505" s="76" t="s">
        <v>902</v>
      </c>
      <c r="E2505" s="79"/>
      <c r="F2505" s="79"/>
      <c r="G2505" s="76" t="s">
        <v>1249</v>
      </c>
    </row>
    <row r="2506" spans="1:7">
      <c r="A2506" s="77">
        <f t="shared" ca="1" si="200"/>
        <v>45991</v>
      </c>
      <c r="B2506" s="80">
        <f t="shared" ca="1" si="201"/>
        <v>45991.62691215278</v>
      </c>
      <c r="C2506" s="76" t="s">
        <v>397</v>
      </c>
      <c r="D2506" s="76" t="s">
        <v>902</v>
      </c>
      <c r="E2506" s="79" t="s">
        <v>1314</v>
      </c>
      <c r="F2506" s="79"/>
    </row>
    <row r="2507" spans="1:7">
      <c r="A2507" s="77">
        <f t="shared" ca="1" si="200"/>
        <v>45991</v>
      </c>
      <c r="B2507" s="80">
        <f t="shared" ca="1" si="201"/>
        <v>45991.627127893516</v>
      </c>
      <c r="C2507" s="76" t="s">
        <v>397</v>
      </c>
      <c r="D2507" s="76" t="s">
        <v>902</v>
      </c>
      <c r="E2507" s="79" t="s">
        <v>2093</v>
      </c>
      <c r="F2507" s="79"/>
    </row>
    <row r="2508" spans="1:7">
      <c r="A2508" s="77">
        <f t="shared" ca="1" si="200"/>
        <v>45991</v>
      </c>
      <c r="B2508" s="80">
        <f t="shared" ca="1" si="201"/>
        <v>45991.640969675929</v>
      </c>
      <c r="C2508" s="76" t="s">
        <v>397</v>
      </c>
      <c r="D2508" s="76" t="s">
        <v>902</v>
      </c>
      <c r="E2508" s="79" t="s">
        <v>1314</v>
      </c>
      <c r="F2508" s="79"/>
    </row>
    <row r="2509" spans="1:7">
      <c r="A2509" s="77">
        <f t="shared" ca="1" si="200"/>
        <v>45991</v>
      </c>
      <c r="B2509" s="80">
        <f t="shared" ca="1" si="201"/>
        <v>45991.655794907405</v>
      </c>
      <c r="C2509" s="76" t="s">
        <v>397</v>
      </c>
      <c r="D2509" s="76" t="s">
        <v>902</v>
      </c>
      <c r="E2509" s="79" t="s">
        <v>996</v>
      </c>
      <c r="F2509" s="79"/>
    </row>
    <row r="2510" spans="1:7">
      <c r="A2510" s="77">
        <f t="shared" ca="1" si="200"/>
        <v>45991</v>
      </c>
      <c r="B2510" s="80">
        <f t="shared" ca="1" si="201"/>
        <v>45991.658264467595</v>
      </c>
      <c r="C2510" s="76" t="s">
        <v>397</v>
      </c>
      <c r="D2510" s="76" t="s">
        <v>902</v>
      </c>
      <c r="E2510" s="79" t="s">
        <v>1314</v>
      </c>
      <c r="F2510" s="79"/>
    </row>
    <row r="2511" spans="1:7">
      <c r="A2511" s="77">
        <f t="shared" ca="1" si="200"/>
        <v>45991</v>
      </c>
      <c r="B2511" s="80">
        <f t="shared" ca="1" si="201"/>
        <v>45991.675745601853</v>
      </c>
      <c r="C2511" s="76" t="s">
        <v>397</v>
      </c>
      <c r="D2511" s="76" t="s">
        <v>902</v>
      </c>
      <c r="E2511" s="79" t="s">
        <v>1045</v>
      </c>
      <c r="F2511" s="79"/>
    </row>
    <row r="2512" spans="1:7">
      <c r="A2512" s="77">
        <f t="shared" ca="1" si="200"/>
        <v>45991</v>
      </c>
      <c r="B2512" s="80">
        <f t="shared" ca="1" si="201"/>
        <v>45991.6795255787</v>
      </c>
      <c r="C2512" s="76" t="s">
        <v>397</v>
      </c>
      <c r="D2512" s="210" t="s">
        <v>922</v>
      </c>
      <c r="E2512" s="79"/>
      <c r="F2512" s="79"/>
    </row>
    <row r="2513" spans="1:7">
      <c r="A2513" s="77">
        <f t="shared" ca="1" si="200"/>
        <v>45991</v>
      </c>
      <c r="B2513" s="80">
        <f t="shared" ca="1" si="201"/>
        <v>45991.693885532404</v>
      </c>
      <c r="C2513" s="76" t="s">
        <v>397</v>
      </c>
      <c r="D2513" s="210" t="s">
        <v>1098</v>
      </c>
      <c r="E2513" s="79"/>
      <c r="F2513" s="79"/>
      <c r="G2513" s="76" t="s">
        <v>2094</v>
      </c>
    </row>
    <row r="2514" spans="1:7">
      <c r="A2514" s="77">
        <f t="shared" ca="1" si="200"/>
        <v>45991</v>
      </c>
      <c r="B2514" s="80">
        <f t="shared" ca="1" si="201"/>
        <v>45991.726410300929</v>
      </c>
      <c r="C2514" s="76" t="s">
        <v>400</v>
      </c>
      <c r="D2514" s="210" t="s">
        <v>906</v>
      </c>
      <c r="E2514" s="79"/>
      <c r="F2514" s="79"/>
    </row>
    <row r="2515" spans="1:7">
      <c r="A2515" s="77">
        <f t="shared" ca="1" si="200"/>
        <v>45991</v>
      </c>
      <c r="B2515" s="80">
        <f t="shared" ca="1" si="201"/>
        <v>45991.745850925923</v>
      </c>
      <c r="C2515" s="76" t="s">
        <v>400</v>
      </c>
      <c r="D2515" s="210" t="s">
        <v>909</v>
      </c>
      <c r="E2515" s="79"/>
      <c r="F2515" s="79"/>
    </row>
    <row r="2516" spans="1:7">
      <c r="A2516" s="77">
        <f t="shared" ca="1" si="200"/>
        <v>45991</v>
      </c>
      <c r="B2516" s="80">
        <f t="shared" ca="1" si="201"/>
        <v>45991.746193865743</v>
      </c>
      <c r="C2516" s="76" t="s">
        <v>400</v>
      </c>
      <c r="D2516" s="76" t="s">
        <v>902</v>
      </c>
      <c r="E2516" s="79" t="s">
        <v>2095</v>
      </c>
      <c r="F2516" s="79"/>
    </row>
    <row r="2517" spans="1:7">
      <c r="A2517" s="77">
        <f t="shared" ca="1" si="200"/>
        <v>45991</v>
      </c>
      <c r="B2517" s="80">
        <f t="shared" ca="1" si="201"/>
        <v>45991.748822337962</v>
      </c>
      <c r="C2517" s="76" t="s">
        <v>400</v>
      </c>
      <c r="D2517" s="76" t="s">
        <v>902</v>
      </c>
      <c r="E2517" s="79" t="s">
        <v>1521</v>
      </c>
      <c r="F2517" s="79"/>
    </row>
    <row r="2518" spans="1:7">
      <c r="A2518" s="77">
        <f t="shared" ca="1" si="200"/>
        <v>45991</v>
      </c>
      <c r="B2518" s="80">
        <f t="shared" ca="1" si="201"/>
        <v>45991.750539583336</v>
      </c>
      <c r="C2518" s="76" t="s">
        <v>400</v>
      </c>
      <c r="D2518" s="76" t="s">
        <v>902</v>
      </c>
      <c r="E2518" s="79" t="s">
        <v>1055</v>
      </c>
      <c r="F2518" s="79"/>
    </row>
    <row r="2519" spans="1:7">
      <c r="A2519" s="77">
        <f t="shared" ca="1" si="200"/>
        <v>45991</v>
      </c>
      <c r="B2519" s="80">
        <f t="shared" ca="1" si="201"/>
        <v>45991.770976504631</v>
      </c>
      <c r="C2519" s="76" t="s">
        <v>400</v>
      </c>
      <c r="D2519" s="76" t="s">
        <v>902</v>
      </c>
      <c r="E2519" s="79" t="s">
        <v>1045</v>
      </c>
      <c r="F2519" s="79"/>
    </row>
    <row r="2520" spans="1:7">
      <c r="A2520" s="77">
        <f t="shared" ca="1" si="200"/>
        <v>45991</v>
      </c>
      <c r="B2520" s="80">
        <f t="shared" ca="1" si="201"/>
        <v>45991.771452430556</v>
      </c>
      <c r="C2520" s="76" t="s">
        <v>400</v>
      </c>
      <c r="D2520" s="76" t="s">
        <v>902</v>
      </c>
      <c r="E2520" s="79" t="s">
        <v>1045</v>
      </c>
      <c r="F2520" s="79"/>
    </row>
    <row r="2521" spans="1:7">
      <c r="A2521" s="77">
        <f t="shared" ca="1" si="200"/>
        <v>45991</v>
      </c>
      <c r="B2521" s="80">
        <f t="shared" ca="1" si="201"/>
        <v>45991.775630555552</v>
      </c>
      <c r="C2521" s="76" t="s">
        <v>400</v>
      </c>
      <c r="D2521" s="76" t="s">
        <v>902</v>
      </c>
      <c r="E2521" s="79" t="s">
        <v>996</v>
      </c>
      <c r="F2521" s="79"/>
    </row>
    <row r="2522" spans="1:7">
      <c r="A2522" s="77">
        <f t="shared" ref="A2522:A2541" ca="1" si="202">IF(C2522&lt;&gt;0,IF(A2522=0,TODAY(),A2522),)</f>
        <v>45991</v>
      </c>
      <c r="B2522" s="80">
        <v>0.77847222222222223</v>
      </c>
      <c r="C2522" s="76" t="s">
        <v>400</v>
      </c>
      <c r="D2522" s="210" t="s">
        <v>1569</v>
      </c>
      <c r="E2522" s="79"/>
      <c r="F2522" s="79"/>
      <c r="G2522" s="76" t="s">
        <v>2096</v>
      </c>
    </row>
    <row r="2523" spans="1:7">
      <c r="A2523" s="77">
        <f t="shared" ca="1" si="202"/>
        <v>45991</v>
      </c>
      <c r="B2523" s="80">
        <f t="shared" ref="B2523:B2541" ca="1" si="203">IF(C2523&lt;&gt;0,IF(B2523=0,NOW(),B2523),)</f>
        <v>45991.784957870368</v>
      </c>
      <c r="C2523" s="76" t="s">
        <v>400</v>
      </c>
      <c r="D2523" s="210" t="s">
        <v>1098</v>
      </c>
      <c r="E2523" s="79"/>
      <c r="F2523" s="79"/>
    </row>
    <row r="2524" spans="1:7">
      <c r="A2524" s="77">
        <f t="shared" ca="1" si="202"/>
        <v>45991</v>
      </c>
      <c r="B2524" s="80">
        <f t="shared" ca="1" si="203"/>
        <v>45991.808452777776</v>
      </c>
      <c r="C2524" s="76" t="s">
        <v>402</v>
      </c>
      <c r="D2524" s="210" t="s">
        <v>906</v>
      </c>
      <c r="E2524" s="79"/>
      <c r="F2524" s="79"/>
    </row>
    <row r="2525" spans="1:7">
      <c r="A2525" s="77">
        <f t="shared" ca="1" si="202"/>
        <v>45991</v>
      </c>
      <c r="B2525" s="80">
        <f t="shared" ca="1" si="203"/>
        <v>45991.809924074078</v>
      </c>
      <c r="C2525" s="76" t="s">
        <v>402</v>
      </c>
      <c r="D2525" s="210" t="s">
        <v>909</v>
      </c>
      <c r="E2525" s="79"/>
      <c r="F2525" s="79"/>
    </row>
    <row r="2526" spans="1:7">
      <c r="A2526" s="77">
        <f t="shared" ca="1" si="202"/>
        <v>45991</v>
      </c>
      <c r="B2526" s="80">
        <f t="shared" ca="1" si="203"/>
        <v>45991.817280092589</v>
      </c>
      <c r="C2526" s="76" t="s">
        <v>402</v>
      </c>
      <c r="D2526" s="76" t="s">
        <v>902</v>
      </c>
      <c r="E2526" s="79" t="s">
        <v>2097</v>
      </c>
      <c r="F2526" s="79"/>
    </row>
    <row r="2527" spans="1:7">
      <c r="A2527" s="77">
        <f t="shared" ca="1" si="202"/>
        <v>45991</v>
      </c>
      <c r="B2527" s="80">
        <f t="shared" ca="1" si="203"/>
        <v>45991.823212152776</v>
      </c>
      <c r="C2527" s="76" t="s">
        <v>402</v>
      </c>
      <c r="D2527" s="76" t="s">
        <v>902</v>
      </c>
      <c r="E2527" s="79" t="s">
        <v>1555</v>
      </c>
      <c r="F2527" s="79"/>
    </row>
    <row r="2528" spans="1:7">
      <c r="A2528" s="77">
        <f t="shared" ca="1" si="202"/>
        <v>45991</v>
      </c>
      <c r="B2528" s="80">
        <f t="shared" ca="1" si="203"/>
        <v>45991.83334016204</v>
      </c>
      <c r="C2528" s="76" t="s">
        <v>402</v>
      </c>
      <c r="D2528" s="150" t="s">
        <v>1007</v>
      </c>
      <c r="E2528" s="79" t="s">
        <v>2098</v>
      </c>
      <c r="F2528" s="79"/>
    </row>
    <row r="2529" spans="1:7">
      <c r="A2529" s="77">
        <f t="shared" ca="1" si="202"/>
        <v>45991</v>
      </c>
      <c r="B2529" s="80">
        <f t="shared" ca="1" si="203"/>
        <v>45991.841204861114</v>
      </c>
      <c r="C2529" s="76" t="s">
        <v>402</v>
      </c>
      <c r="D2529" s="76" t="s">
        <v>902</v>
      </c>
      <c r="E2529" s="79" t="s">
        <v>2099</v>
      </c>
      <c r="F2529" s="79"/>
    </row>
    <row r="2530" spans="1:7">
      <c r="A2530" s="77">
        <f t="shared" ca="1" si="202"/>
        <v>45991</v>
      </c>
      <c r="B2530" s="80">
        <f t="shared" ca="1" si="203"/>
        <v>45991.841213425927</v>
      </c>
      <c r="C2530" s="76" t="s">
        <v>402</v>
      </c>
      <c r="D2530" s="76" t="s">
        <v>902</v>
      </c>
      <c r="E2530" s="79" t="s">
        <v>2100</v>
      </c>
      <c r="F2530" s="79"/>
    </row>
    <row r="2531" spans="1:7">
      <c r="A2531" s="77">
        <f t="shared" ca="1" si="202"/>
        <v>45991</v>
      </c>
      <c r="B2531" s="80">
        <f t="shared" ca="1" si="203"/>
        <v>45991.841662962965</v>
      </c>
      <c r="C2531" s="76" t="s">
        <v>402</v>
      </c>
      <c r="D2531" s="76" t="s">
        <v>902</v>
      </c>
      <c r="E2531" s="79" t="s">
        <v>2101</v>
      </c>
      <c r="F2531" s="79"/>
    </row>
    <row r="2532" spans="1:7">
      <c r="A2532" s="77">
        <f t="shared" ca="1" si="202"/>
        <v>45991</v>
      </c>
      <c r="B2532" s="80">
        <f t="shared" ca="1" si="203"/>
        <v>45991.853038425928</v>
      </c>
      <c r="C2532" s="76" t="s">
        <v>402</v>
      </c>
      <c r="D2532" s="76" t="s">
        <v>902</v>
      </c>
      <c r="E2532" s="79" t="s">
        <v>1555</v>
      </c>
      <c r="F2532" s="79"/>
      <c r="G2532" s="76" t="s">
        <v>2102</v>
      </c>
    </row>
    <row r="2533" spans="1:7">
      <c r="A2533" s="77">
        <f t="shared" ca="1" si="202"/>
        <v>45991</v>
      </c>
      <c r="B2533" s="80">
        <f t="shared" ca="1" si="203"/>
        <v>45991.853293055552</v>
      </c>
      <c r="C2533" s="76" t="s">
        <v>402</v>
      </c>
      <c r="D2533" s="76" t="s">
        <v>902</v>
      </c>
      <c r="E2533" s="79" t="s">
        <v>1064</v>
      </c>
      <c r="F2533" s="79"/>
    </row>
    <row r="2534" spans="1:7">
      <c r="A2534" s="77">
        <f t="shared" ca="1" si="202"/>
        <v>45991</v>
      </c>
      <c r="B2534" s="80">
        <f t="shared" ca="1" si="203"/>
        <v>45991.858393287039</v>
      </c>
      <c r="C2534" s="76" t="s">
        <v>402</v>
      </c>
      <c r="D2534" s="150" t="s">
        <v>1007</v>
      </c>
      <c r="E2534" s="76" t="s">
        <v>2102</v>
      </c>
      <c r="F2534" s="79"/>
    </row>
    <row r="2535" spans="1:7">
      <c r="A2535" s="77">
        <f t="shared" ca="1" si="202"/>
        <v>45991</v>
      </c>
      <c r="B2535" s="80">
        <f t="shared" ca="1" si="203"/>
        <v>45991.860534837964</v>
      </c>
      <c r="C2535" s="76" t="s">
        <v>402</v>
      </c>
      <c r="D2535" s="76" t="s">
        <v>902</v>
      </c>
      <c r="E2535" s="79" t="s">
        <v>1555</v>
      </c>
      <c r="F2535" s="79"/>
    </row>
    <row r="2536" spans="1:7">
      <c r="A2536" s="77">
        <f t="shared" ca="1" si="202"/>
        <v>45991</v>
      </c>
      <c r="B2536" s="80">
        <f t="shared" ca="1" si="203"/>
        <v>45991.861826157408</v>
      </c>
      <c r="C2536" s="76" t="s">
        <v>402</v>
      </c>
      <c r="D2536" s="150" t="s">
        <v>1007</v>
      </c>
      <c r="E2536" s="79" t="s">
        <v>2100</v>
      </c>
      <c r="F2536" s="79"/>
    </row>
    <row r="2537" spans="1:7">
      <c r="A2537" s="77">
        <f t="shared" ca="1" si="202"/>
        <v>45991</v>
      </c>
      <c r="B2537" s="80">
        <f t="shared" ca="1" si="203"/>
        <v>45991.869083680554</v>
      </c>
      <c r="C2537" s="76" t="s">
        <v>402</v>
      </c>
      <c r="D2537" s="76" t="s">
        <v>902</v>
      </c>
      <c r="E2537" s="79" t="s">
        <v>1357</v>
      </c>
      <c r="F2537" s="79"/>
    </row>
    <row r="2538" spans="1:7">
      <c r="A2538" s="77">
        <f t="shared" ca="1" si="202"/>
        <v>45991</v>
      </c>
      <c r="B2538" s="80">
        <f t="shared" ca="1" si="203"/>
        <v>45991.879508564816</v>
      </c>
      <c r="C2538" s="76" t="s">
        <v>402</v>
      </c>
      <c r="D2538" s="76" t="s">
        <v>902</v>
      </c>
      <c r="E2538" s="79" t="s">
        <v>2097</v>
      </c>
      <c r="F2538" s="79"/>
    </row>
    <row r="2539" spans="1:7">
      <c r="A2539" s="77">
        <f t="shared" ca="1" si="202"/>
        <v>45991</v>
      </c>
      <c r="B2539" s="80">
        <f t="shared" ca="1" si="203"/>
        <v>45991.887214120368</v>
      </c>
      <c r="C2539" s="76" t="s">
        <v>402</v>
      </c>
      <c r="D2539" s="76" t="s">
        <v>902</v>
      </c>
      <c r="E2539" s="79" t="s">
        <v>1555</v>
      </c>
      <c r="F2539" s="79"/>
    </row>
    <row r="2540" spans="1:7">
      <c r="A2540" s="77">
        <f t="shared" ca="1" si="202"/>
        <v>45991</v>
      </c>
      <c r="B2540" s="80">
        <f t="shared" ca="1" si="203"/>
        <v>45991.891567708335</v>
      </c>
      <c r="C2540" s="76" t="s">
        <v>402</v>
      </c>
      <c r="D2540" s="150" t="s">
        <v>1007</v>
      </c>
      <c r="E2540" s="79" t="s">
        <v>2103</v>
      </c>
      <c r="F2540" s="79"/>
    </row>
    <row r="2541" spans="1:7">
      <c r="A2541" s="77">
        <f t="shared" ca="1" si="202"/>
        <v>45991</v>
      </c>
      <c r="B2541" s="80">
        <f t="shared" ca="1" si="203"/>
        <v>45991.91797372685</v>
      </c>
      <c r="C2541" s="76" t="s">
        <v>402</v>
      </c>
      <c r="D2541" s="76" t="s">
        <v>902</v>
      </c>
      <c r="E2541" s="79" t="s">
        <v>2097</v>
      </c>
      <c r="F2541" s="79"/>
    </row>
    <row r="2542" spans="1:7">
      <c r="A2542" s="77">
        <f t="shared" ref="A2542:A2568" ca="1" si="204">IF(C2542&lt;&gt;0,IF(A2542=0,TODAY(),A2542),)</f>
        <v>45991</v>
      </c>
      <c r="B2542" s="80">
        <f t="shared" ref="B2542:B2568" ca="1" si="205">IF(C2542&lt;&gt;0,IF(B2542=0,NOW(),B2542),)</f>
        <v>45991.939409375002</v>
      </c>
      <c r="C2542" s="76" t="s">
        <v>402</v>
      </c>
      <c r="D2542" s="76" t="s">
        <v>902</v>
      </c>
      <c r="E2542" s="79" t="s">
        <v>1555</v>
      </c>
      <c r="F2542" s="79"/>
    </row>
    <row r="2543" spans="1:7">
      <c r="A2543" s="77">
        <f t="shared" ca="1" si="204"/>
        <v>45991</v>
      </c>
      <c r="B2543" s="80">
        <f t="shared" ca="1" si="205"/>
        <v>45991.939510185184</v>
      </c>
      <c r="C2543" s="76" t="s">
        <v>402</v>
      </c>
      <c r="D2543" s="150" t="s">
        <v>1007</v>
      </c>
      <c r="E2543" s="79" t="s">
        <v>2040</v>
      </c>
      <c r="F2543" s="79"/>
    </row>
    <row r="2544" spans="1:7">
      <c r="A2544" s="77">
        <f t="shared" ca="1" si="204"/>
        <v>45991</v>
      </c>
      <c r="B2544" s="80">
        <f t="shared" ca="1" si="205"/>
        <v>45991.943072222224</v>
      </c>
      <c r="C2544" s="76" t="s">
        <v>402</v>
      </c>
      <c r="D2544" s="76" t="s">
        <v>902</v>
      </c>
      <c r="E2544" s="79" t="s">
        <v>1055</v>
      </c>
      <c r="F2544" s="79"/>
    </row>
    <row r="2545" spans="1:7">
      <c r="A2545" s="77">
        <f t="shared" ca="1" si="204"/>
        <v>45991</v>
      </c>
      <c r="B2545" s="80">
        <f t="shared" ca="1" si="205"/>
        <v>45991.943606944442</v>
      </c>
      <c r="C2545" s="76" t="s">
        <v>402</v>
      </c>
      <c r="D2545" s="76" t="s">
        <v>902</v>
      </c>
      <c r="E2545" s="79" t="s">
        <v>1357</v>
      </c>
      <c r="F2545" s="79"/>
    </row>
    <row r="2546" spans="1:7">
      <c r="A2546" s="77">
        <f t="shared" ca="1" si="204"/>
        <v>45991</v>
      </c>
      <c r="B2546" s="80">
        <f t="shared" ca="1" si="205"/>
        <v>45991.944633101855</v>
      </c>
      <c r="C2546" s="76" t="s">
        <v>402</v>
      </c>
      <c r="D2546" s="76" t="s">
        <v>902</v>
      </c>
      <c r="E2546" s="79" t="s">
        <v>1918</v>
      </c>
      <c r="F2546" s="79"/>
    </row>
    <row r="2547" spans="1:7">
      <c r="A2547" s="77">
        <f t="shared" ca="1" si="204"/>
        <v>45991</v>
      </c>
      <c r="B2547" s="80">
        <f ca="1">IF(C2547&lt;&gt;0,IF(B2547=0,NOW(),B2547),)</f>
        <v>45991.955061111112</v>
      </c>
      <c r="C2547" s="76" t="s">
        <v>402</v>
      </c>
      <c r="D2547" s="210" t="s">
        <v>922</v>
      </c>
      <c r="E2547" s="79"/>
      <c r="F2547" s="79"/>
      <c r="G2547" s="76" t="s">
        <v>2104</v>
      </c>
    </row>
    <row r="2548" spans="1:7">
      <c r="A2548" s="77">
        <f t="shared" ca="1" si="204"/>
        <v>45991</v>
      </c>
      <c r="B2548" s="80">
        <f t="shared" ca="1" si="205"/>
        <v>45991.99354826389</v>
      </c>
      <c r="C2548" s="76" t="s">
        <v>402</v>
      </c>
      <c r="D2548" s="210" t="s">
        <v>1098</v>
      </c>
      <c r="E2548" s="79"/>
      <c r="F2548" s="79"/>
    </row>
    <row r="2549" spans="1:7">
      <c r="A2549" s="77">
        <v>45993</v>
      </c>
      <c r="B2549" s="80" t="s">
        <v>2105</v>
      </c>
      <c r="C2549" s="76" t="s">
        <v>405</v>
      </c>
      <c r="D2549" s="210" t="s">
        <v>906</v>
      </c>
      <c r="E2549" s="79"/>
      <c r="F2549" s="79"/>
    </row>
    <row r="2550" spans="1:7">
      <c r="A2550" s="77">
        <v>45993</v>
      </c>
      <c r="B2550" s="80">
        <f t="shared" ca="1" si="205"/>
        <v>45993.10388923611</v>
      </c>
      <c r="C2550" s="76" t="s">
        <v>405</v>
      </c>
      <c r="D2550" s="210" t="s">
        <v>906</v>
      </c>
      <c r="E2550" s="79" t="s">
        <v>2106</v>
      </c>
      <c r="F2550" s="79"/>
      <c r="G2550" s="76" t="s">
        <v>2107</v>
      </c>
    </row>
    <row r="2551" spans="1:7">
      <c r="A2551" s="77">
        <f ca="1">IF(C2551&lt;&gt;0,IF(A2551=0,TODAY(),A2551),)</f>
        <v>45993</v>
      </c>
      <c r="B2551" s="80">
        <f ca="1">IF(C2551&lt;&gt;0,IF(B2551=0,NOW(),B2551),)</f>
        <v>45993.165589351855</v>
      </c>
      <c r="C2551" s="90" t="s">
        <v>405</v>
      </c>
      <c r="D2551" s="210" t="s">
        <v>909</v>
      </c>
      <c r="E2551" s="79"/>
      <c r="F2551" s="79"/>
      <c r="G2551" s="76" t="s">
        <v>2108</v>
      </c>
    </row>
    <row r="2552" spans="1:7">
      <c r="A2552" s="77">
        <f t="shared" ca="1" si="204"/>
        <v>45993</v>
      </c>
      <c r="B2552" s="80">
        <f t="shared" ca="1" si="205"/>
        <v>45993.169143055558</v>
      </c>
      <c r="C2552" s="90" t="s">
        <v>405</v>
      </c>
      <c r="D2552" s="150" t="s">
        <v>1070</v>
      </c>
      <c r="E2552" s="79"/>
      <c r="F2552" s="79"/>
      <c r="G2552" s="76" t="s">
        <v>2109</v>
      </c>
    </row>
    <row r="2553" spans="1:7">
      <c r="A2553" s="77">
        <f t="shared" ca="1" si="204"/>
        <v>45993</v>
      </c>
      <c r="B2553" s="80">
        <f t="shared" ca="1" si="205"/>
        <v>45993.18561886574</v>
      </c>
      <c r="C2553" s="90" t="s">
        <v>405</v>
      </c>
      <c r="D2553" s="76" t="s">
        <v>902</v>
      </c>
      <c r="E2553" s="79"/>
      <c r="F2553" s="79"/>
      <c r="G2553" s="76" t="s">
        <v>2110</v>
      </c>
    </row>
    <row r="2554" spans="1:7">
      <c r="A2554" s="77">
        <f t="shared" ca="1" si="204"/>
        <v>45993</v>
      </c>
      <c r="B2554" s="80">
        <f t="shared" ca="1" si="205"/>
        <v>45993.204892824077</v>
      </c>
      <c r="C2554" s="90" t="s">
        <v>405</v>
      </c>
      <c r="D2554" s="76" t="s">
        <v>902</v>
      </c>
      <c r="E2554" s="79" t="s">
        <v>1196</v>
      </c>
      <c r="F2554" s="79"/>
    </row>
    <row r="2555" spans="1:7">
      <c r="A2555" s="77">
        <f t="shared" ca="1" si="204"/>
        <v>45993</v>
      </c>
      <c r="B2555" s="80">
        <f t="shared" ca="1" si="205"/>
        <v>45993.217150115743</v>
      </c>
      <c r="C2555" s="90" t="s">
        <v>405</v>
      </c>
      <c r="D2555" s="76" t="s">
        <v>902</v>
      </c>
      <c r="E2555" s="79" t="s">
        <v>1196</v>
      </c>
      <c r="F2555" s="79"/>
    </row>
    <row r="2556" spans="1:7">
      <c r="A2556" s="77">
        <f t="shared" ca="1" si="204"/>
        <v>45993</v>
      </c>
      <c r="B2556" s="80">
        <v>45993.286574074074</v>
      </c>
      <c r="C2556" s="90" t="s">
        <v>405</v>
      </c>
      <c r="D2556" s="150" t="s">
        <v>1007</v>
      </c>
      <c r="E2556" s="79" t="s">
        <v>1555</v>
      </c>
      <c r="F2556" s="79"/>
      <c r="G2556" s="76" t="s">
        <v>2111</v>
      </c>
    </row>
    <row r="2557" spans="1:7">
      <c r="A2557" s="77">
        <f t="shared" ca="1" si="204"/>
        <v>45993</v>
      </c>
      <c r="B2557" s="80">
        <f t="shared" ca="1" si="205"/>
        <v>45993.290426736108</v>
      </c>
      <c r="C2557" s="90" t="s">
        <v>405</v>
      </c>
      <c r="D2557" s="76" t="s">
        <v>902</v>
      </c>
      <c r="E2557" s="79" t="s">
        <v>2112</v>
      </c>
      <c r="F2557" s="79"/>
    </row>
    <row r="2558" spans="1:7">
      <c r="A2558" s="77">
        <f t="shared" ca="1" si="204"/>
        <v>45993</v>
      </c>
      <c r="B2558" s="80">
        <f t="shared" ca="1" si="205"/>
        <v>45993.315630324076</v>
      </c>
      <c r="C2558" s="90" t="s">
        <v>405</v>
      </c>
      <c r="D2558" s="76" t="s">
        <v>902</v>
      </c>
      <c r="E2558" s="79" t="s">
        <v>2113</v>
      </c>
      <c r="F2558" s="79"/>
    </row>
    <row r="2559" spans="1:7">
      <c r="A2559" s="77">
        <f t="shared" ca="1" si="204"/>
        <v>45993</v>
      </c>
      <c r="B2559" s="80">
        <f t="shared" ca="1" si="205"/>
        <v>45993.351789236112</v>
      </c>
      <c r="C2559" s="90" t="s">
        <v>405</v>
      </c>
      <c r="D2559" s="210" t="s">
        <v>922</v>
      </c>
      <c r="E2559" s="79"/>
      <c r="F2559" s="79"/>
      <c r="G2559" s="76" t="s">
        <v>2114</v>
      </c>
    </row>
    <row r="2560" spans="1:7">
      <c r="A2560" s="77">
        <f t="shared" ca="1" si="204"/>
        <v>45993</v>
      </c>
      <c r="B2560" s="80">
        <f t="shared" ca="1" si="205"/>
        <v>45993.398187037033</v>
      </c>
      <c r="C2560" s="90" t="s">
        <v>405</v>
      </c>
      <c r="D2560" s="210" t="s">
        <v>1098</v>
      </c>
      <c r="E2560" s="79"/>
      <c r="F2560" s="79"/>
    </row>
    <row r="2561" spans="1:6">
      <c r="A2561" s="77">
        <f t="shared" ca="1" si="204"/>
        <v>45993</v>
      </c>
      <c r="B2561" s="80">
        <f t="shared" ca="1" si="205"/>
        <v>45993.469436111111</v>
      </c>
      <c r="C2561" s="76" t="s">
        <v>410</v>
      </c>
      <c r="D2561" s="210" t="s">
        <v>906</v>
      </c>
      <c r="E2561" s="79"/>
      <c r="F2561" s="79"/>
    </row>
    <row r="2562" spans="1:6">
      <c r="A2562" s="77">
        <f t="shared" ca="1" si="204"/>
        <v>45993</v>
      </c>
      <c r="B2562" s="80">
        <f t="shared" ca="1" si="205"/>
        <v>45993.50872662037</v>
      </c>
      <c r="C2562" s="76" t="s">
        <v>410</v>
      </c>
      <c r="D2562" s="210" t="s">
        <v>909</v>
      </c>
      <c r="E2562" s="79"/>
      <c r="F2562" s="79"/>
    </row>
    <row r="2563" spans="1:6">
      <c r="A2563" s="77">
        <f t="shared" ca="1" si="204"/>
        <v>45993</v>
      </c>
      <c r="B2563" s="80">
        <f t="shared" ca="1" si="205"/>
        <v>45993.531241666664</v>
      </c>
      <c r="C2563" s="76" t="s">
        <v>410</v>
      </c>
      <c r="D2563" s="76" t="s">
        <v>902</v>
      </c>
      <c r="E2563" s="79" t="s">
        <v>2115</v>
      </c>
      <c r="F2563" s="79"/>
    </row>
    <row r="2564" spans="1:6">
      <c r="A2564" s="77">
        <f t="shared" ca="1" si="204"/>
        <v>45993</v>
      </c>
      <c r="B2564" s="80">
        <f t="shared" ca="1" si="205"/>
        <v>45993.580072453704</v>
      </c>
      <c r="C2564" s="76" t="s">
        <v>410</v>
      </c>
      <c r="D2564" s="76" t="s">
        <v>902</v>
      </c>
      <c r="E2564" s="79" t="s">
        <v>1025</v>
      </c>
      <c r="F2564" s="79"/>
    </row>
    <row r="2565" spans="1:6">
      <c r="A2565" s="77">
        <f t="shared" ca="1" si="204"/>
        <v>45993</v>
      </c>
      <c r="B2565" s="80">
        <f t="shared" ca="1" si="205"/>
        <v>45993.604284953704</v>
      </c>
      <c r="C2565" s="76" t="s">
        <v>410</v>
      </c>
      <c r="D2565" s="76" t="s">
        <v>902</v>
      </c>
      <c r="E2565" s="79" t="s">
        <v>1918</v>
      </c>
      <c r="F2565" s="79"/>
    </row>
    <row r="2566" spans="1:6">
      <c r="A2566" s="77">
        <f t="shared" ca="1" si="204"/>
        <v>45993</v>
      </c>
      <c r="B2566" s="80">
        <v>45993.613553240742</v>
      </c>
      <c r="C2566" s="76" t="s">
        <v>410</v>
      </c>
      <c r="D2566" s="150" t="s">
        <v>1007</v>
      </c>
      <c r="E2566" s="79" t="s">
        <v>2040</v>
      </c>
      <c r="F2566" s="79"/>
    </row>
    <row r="2567" spans="1:6">
      <c r="A2567" s="77">
        <f t="shared" ca="1" si="204"/>
        <v>45993</v>
      </c>
      <c r="B2567" s="80">
        <f t="shared" ca="1" si="205"/>
        <v>45993.634884259256</v>
      </c>
      <c r="C2567" s="76" t="s">
        <v>410</v>
      </c>
      <c r="D2567" s="76" t="s">
        <v>902</v>
      </c>
      <c r="E2567" s="79" t="s">
        <v>2116</v>
      </c>
      <c r="F2567" s="79"/>
    </row>
    <row r="2568" spans="1:6">
      <c r="A2568" s="77">
        <f t="shared" ca="1" si="204"/>
        <v>45993</v>
      </c>
      <c r="B2568" s="80">
        <f t="shared" ca="1" si="205"/>
        <v>45993.643569791668</v>
      </c>
      <c r="C2568" s="76" t="s">
        <v>410</v>
      </c>
      <c r="D2568" s="76" t="s">
        <v>902</v>
      </c>
      <c r="E2568" s="79" t="s">
        <v>1918</v>
      </c>
      <c r="F2568" s="79"/>
    </row>
    <row r="2569" spans="1:6">
      <c r="A2569" s="77">
        <v>2</v>
      </c>
      <c r="B2569" s="80">
        <f t="shared" ref="B2569:B2589" ca="1" si="206">IF(C2569&lt;&gt;0,IF(B2569=0,NOW(),B2569),)</f>
        <v>45993.643598958333</v>
      </c>
      <c r="C2569" s="76" t="s">
        <v>410</v>
      </c>
      <c r="D2569" s="76" t="s">
        <v>902</v>
      </c>
      <c r="E2569" s="79" t="s">
        <v>1352</v>
      </c>
      <c r="F2569" s="79"/>
    </row>
    <row r="2570" spans="1:6">
      <c r="A2570" s="77">
        <f t="shared" ref="A2570:A2589" ca="1" si="207">IF(C2570&lt;&gt;0,IF(A2570=0,TODAY(),A2570),)</f>
        <v>45993</v>
      </c>
      <c r="B2570" s="80">
        <f t="shared" ca="1" si="206"/>
        <v>45993.643624999997</v>
      </c>
      <c r="C2570" s="76" t="s">
        <v>410</v>
      </c>
      <c r="D2570" s="76" t="s">
        <v>902</v>
      </c>
      <c r="E2570" s="79" t="s">
        <v>1352</v>
      </c>
      <c r="F2570" s="79"/>
    </row>
    <row r="2571" spans="1:6">
      <c r="A2571" s="77">
        <f t="shared" ca="1" si="207"/>
        <v>45993</v>
      </c>
      <c r="B2571" s="80">
        <f t="shared" ca="1" si="206"/>
        <v>45993.645439583335</v>
      </c>
      <c r="C2571" s="76" t="s">
        <v>410</v>
      </c>
      <c r="D2571" s="76" t="s">
        <v>902</v>
      </c>
      <c r="E2571" s="79" t="s">
        <v>1918</v>
      </c>
      <c r="F2571" s="79"/>
    </row>
    <row r="2572" spans="1:6">
      <c r="A2572" s="77">
        <f t="shared" ca="1" si="207"/>
        <v>45993</v>
      </c>
      <c r="B2572" s="80">
        <f t="shared" ca="1" si="206"/>
        <v>45993.649061226854</v>
      </c>
      <c r="C2572" s="76" t="s">
        <v>410</v>
      </c>
      <c r="D2572" s="76" t="s">
        <v>902</v>
      </c>
      <c r="E2572" s="79" t="s">
        <v>1064</v>
      </c>
      <c r="F2572" s="79"/>
    </row>
    <row r="2573" spans="1:6">
      <c r="A2573" s="77">
        <f t="shared" ca="1" si="207"/>
        <v>45993</v>
      </c>
      <c r="B2573" s="80">
        <f t="shared" ca="1" si="206"/>
        <v>45993.664238888887</v>
      </c>
      <c r="C2573" s="76" t="s">
        <v>410</v>
      </c>
      <c r="D2573" s="76" t="s">
        <v>902</v>
      </c>
      <c r="E2573" s="79" t="s">
        <v>2027</v>
      </c>
      <c r="F2573" s="79"/>
    </row>
    <row r="2574" spans="1:6">
      <c r="A2574" s="77">
        <f t="shared" ca="1" si="207"/>
        <v>45993</v>
      </c>
      <c r="B2574" s="80">
        <f t="shared" ca="1" si="206"/>
        <v>45993.694570717591</v>
      </c>
      <c r="C2574" s="76" t="s">
        <v>410</v>
      </c>
      <c r="D2574" s="76" t="s">
        <v>902</v>
      </c>
      <c r="E2574" s="79" t="s">
        <v>2117</v>
      </c>
      <c r="F2574" s="79"/>
    </row>
    <row r="2575" spans="1:6">
      <c r="A2575" s="77">
        <f t="shared" ca="1" si="207"/>
        <v>45993</v>
      </c>
      <c r="B2575" s="80">
        <f t="shared" ca="1" si="206"/>
        <v>45993.699175694448</v>
      </c>
      <c r="C2575" s="76" t="s">
        <v>410</v>
      </c>
      <c r="D2575" s="76" t="s">
        <v>902</v>
      </c>
      <c r="E2575" s="79" t="s">
        <v>1284</v>
      </c>
      <c r="F2575" s="79"/>
    </row>
    <row r="2576" spans="1:6">
      <c r="A2576" s="77">
        <f t="shared" ca="1" si="207"/>
        <v>45993</v>
      </c>
      <c r="B2576" s="80">
        <f t="shared" ca="1" si="206"/>
        <v>45993.712084143517</v>
      </c>
      <c r="C2576" s="76" t="s">
        <v>410</v>
      </c>
      <c r="D2576" s="76" t="s">
        <v>902</v>
      </c>
      <c r="E2576" s="79" t="s">
        <v>1583</v>
      </c>
      <c r="F2576" s="79"/>
    </row>
    <row r="2577" spans="1:6">
      <c r="A2577" s="77">
        <f t="shared" ca="1" si="207"/>
        <v>45993</v>
      </c>
      <c r="B2577" s="80">
        <f t="shared" ca="1" si="206"/>
        <v>45993.714097800927</v>
      </c>
      <c r="C2577" s="76" t="s">
        <v>410</v>
      </c>
      <c r="D2577" s="150" t="s">
        <v>1007</v>
      </c>
      <c r="E2577" s="79" t="s">
        <v>946</v>
      </c>
      <c r="F2577" s="79"/>
    </row>
    <row r="2578" spans="1:6">
      <c r="A2578" s="77">
        <f t="shared" ca="1" si="207"/>
        <v>45993</v>
      </c>
      <c r="B2578" s="80">
        <f t="shared" ca="1" si="206"/>
        <v>45993.725848148148</v>
      </c>
      <c r="C2578" s="76" t="s">
        <v>410</v>
      </c>
      <c r="D2578" s="210" t="s">
        <v>922</v>
      </c>
      <c r="E2578" s="79"/>
      <c r="F2578" s="79"/>
    </row>
    <row r="2579" spans="1:6">
      <c r="A2579" s="77">
        <f t="shared" ca="1" si="207"/>
        <v>45993</v>
      </c>
      <c r="B2579" s="80">
        <f t="shared" ca="1" si="206"/>
        <v>45993.75774710648</v>
      </c>
      <c r="C2579" s="76" t="s">
        <v>410</v>
      </c>
      <c r="D2579" s="210" t="s">
        <v>1098</v>
      </c>
      <c r="E2579" s="79"/>
      <c r="F2579" s="79"/>
    </row>
    <row r="2580" spans="1:6">
      <c r="A2580" s="77">
        <f t="shared" ca="1" si="207"/>
        <v>45993</v>
      </c>
      <c r="B2580" s="80">
        <f t="shared" ca="1" si="206"/>
        <v>45993.817414120371</v>
      </c>
      <c r="C2580" s="76" t="s">
        <v>414</v>
      </c>
      <c r="D2580" s="210" t="s">
        <v>906</v>
      </c>
      <c r="E2580" s="79"/>
      <c r="F2580" s="79"/>
    </row>
    <row r="2581" spans="1:6">
      <c r="A2581" s="77">
        <f t="shared" ca="1" si="207"/>
        <v>45993</v>
      </c>
      <c r="B2581" s="80">
        <f t="shared" ca="1" si="206"/>
        <v>45993.863240046296</v>
      </c>
      <c r="C2581" s="76" t="s">
        <v>414</v>
      </c>
      <c r="D2581" s="210" t="s">
        <v>909</v>
      </c>
      <c r="E2581" s="79"/>
      <c r="F2581" s="79"/>
    </row>
    <row r="2582" spans="1:6" ht="30">
      <c r="A2582" s="77">
        <f t="shared" ca="1" si="207"/>
        <v>45993</v>
      </c>
      <c r="B2582" s="80">
        <f t="shared" ca="1" si="206"/>
        <v>45993.900200810182</v>
      </c>
      <c r="C2582" s="95" t="s">
        <v>414</v>
      </c>
      <c r="D2582" s="76" t="s">
        <v>902</v>
      </c>
      <c r="E2582" s="79" t="s">
        <v>2118</v>
      </c>
      <c r="F2582" s="79"/>
    </row>
    <row r="2583" spans="1:6">
      <c r="A2583" s="77">
        <f t="shared" ca="1" si="207"/>
        <v>45993</v>
      </c>
      <c r="B2583" s="80">
        <f t="shared" ca="1" si="206"/>
        <v>45993.913540740738</v>
      </c>
      <c r="C2583" s="92" t="s">
        <v>414</v>
      </c>
      <c r="D2583" s="76" t="s">
        <v>902</v>
      </c>
      <c r="E2583" s="79" t="s">
        <v>2119</v>
      </c>
      <c r="F2583" s="79"/>
    </row>
    <row r="2584" spans="1:6">
      <c r="A2584" s="77">
        <f t="shared" ca="1" si="207"/>
        <v>45993</v>
      </c>
      <c r="B2584" s="80">
        <f t="shared" ca="1" si="206"/>
        <v>45993.920819328705</v>
      </c>
      <c r="C2584" s="92" t="s">
        <v>414</v>
      </c>
      <c r="D2584" s="76" t="s">
        <v>902</v>
      </c>
      <c r="E2584" s="90" t="s">
        <v>2118</v>
      </c>
      <c r="F2584" s="79"/>
    </row>
    <row r="2585" spans="1:6">
      <c r="A2585" s="77">
        <f t="shared" ca="1" si="207"/>
        <v>45993</v>
      </c>
      <c r="B2585" s="80">
        <f t="shared" ca="1" si="206"/>
        <v>45993.937644444442</v>
      </c>
      <c r="C2585" s="92" t="s">
        <v>414</v>
      </c>
      <c r="D2585" s="76" t="s">
        <v>902</v>
      </c>
      <c r="E2585" s="79" t="s">
        <v>1504</v>
      </c>
      <c r="F2585" s="79"/>
    </row>
    <row r="2586" spans="1:6">
      <c r="A2586" s="77">
        <f t="shared" ca="1" si="207"/>
        <v>45993</v>
      </c>
      <c r="B2586" s="80">
        <f t="shared" ca="1" si="206"/>
        <v>45993.944043981479</v>
      </c>
      <c r="C2586" s="92" t="s">
        <v>414</v>
      </c>
      <c r="D2586" s="76" t="s">
        <v>902</v>
      </c>
      <c r="E2586" s="90" t="s">
        <v>2118</v>
      </c>
      <c r="F2586" s="79"/>
    </row>
    <row r="2587" spans="1:6">
      <c r="A2587" s="77">
        <f t="shared" ca="1" si="207"/>
        <v>45993</v>
      </c>
      <c r="B2587" s="80">
        <f t="shared" ca="1" si="206"/>
        <v>45993.95472858796</v>
      </c>
      <c r="C2587" s="92" t="s">
        <v>414</v>
      </c>
      <c r="D2587" s="76" t="s">
        <v>902</v>
      </c>
      <c r="E2587" s="90" t="s">
        <v>2118</v>
      </c>
      <c r="F2587" s="79"/>
    </row>
    <row r="2588" spans="1:6">
      <c r="A2588" s="77">
        <f t="shared" ca="1" si="207"/>
        <v>45993</v>
      </c>
      <c r="B2588" s="80">
        <f t="shared" ca="1" si="206"/>
        <v>45993.963814467592</v>
      </c>
      <c r="C2588" s="90" t="s">
        <v>414</v>
      </c>
      <c r="D2588" s="76" t="s">
        <v>902</v>
      </c>
      <c r="E2588" s="79" t="s">
        <v>2118</v>
      </c>
      <c r="F2588" s="79"/>
    </row>
    <row r="2589" spans="1:6">
      <c r="A2589" s="77">
        <f t="shared" ca="1" si="207"/>
        <v>45993</v>
      </c>
      <c r="B2589" s="80">
        <f t="shared" ca="1" si="206"/>
        <v>45993.965757175923</v>
      </c>
      <c r="C2589" s="90" t="s">
        <v>414</v>
      </c>
      <c r="D2589" s="76" t="s">
        <v>902</v>
      </c>
      <c r="E2589" s="79" t="s">
        <v>911</v>
      </c>
      <c r="F2589" s="79"/>
    </row>
    <row r="2590" spans="1:6">
      <c r="A2590" s="77">
        <v>45993</v>
      </c>
      <c r="B2590" s="80" t="s">
        <v>2120</v>
      </c>
      <c r="C2590" s="90" t="s">
        <v>414</v>
      </c>
      <c r="D2590" s="76" t="s">
        <v>902</v>
      </c>
      <c r="E2590" s="79" t="s">
        <v>1284</v>
      </c>
      <c r="F2590" s="79"/>
    </row>
    <row r="2591" spans="1:6">
      <c r="A2591" s="77">
        <f t="shared" ref="A2591:A2611" ca="1" si="208">IF(C2591&lt;&gt;0,IF(A2591=0,TODAY(),A2591),)</f>
        <v>45993</v>
      </c>
      <c r="B2591" s="80">
        <f t="shared" ref="B2591:B2611" ca="1" si="209">IF(C2591&lt;&gt;0,IF(B2591=0,NOW(),B2591),)</f>
        <v>45993.975342708334</v>
      </c>
      <c r="C2591" s="90" t="s">
        <v>414</v>
      </c>
      <c r="D2591" s="76" t="s">
        <v>902</v>
      </c>
      <c r="E2591" s="79" t="s">
        <v>2121</v>
      </c>
      <c r="F2591" s="79"/>
    </row>
    <row r="2592" spans="1:6">
      <c r="A2592" s="77">
        <f t="shared" ca="1" si="208"/>
        <v>45993</v>
      </c>
      <c r="B2592" s="80">
        <f t="shared" ca="1" si="209"/>
        <v>45993.97610821759</v>
      </c>
      <c r="C2592" s="90" t="s">
        <v>414</v>
      </c>
      <c r="D2592" s="76" t="s">
        <v>902</v>
      </c>
      <c r="E2592" s="90" t="s">
        <v>2121</v>
      </c>
      <c r="F2592" s="79"/>
    </row>
    <row r="2593" spans="1:7">
      <c r="A2593" s="77">
        <f t="shared" ca="1" si="208"/>
        <v>45993</v>
      </c>
      <c r="B2593" s="80">
        <f t="shared" ca="1" si="209"/>
        <v>45993.981934143521</v>
      </c>
      <c r="C2593" s="90" t="s">
        <v>414</v>
      </c>
      <c r="D2593" s="76" t="s">
        <v>902</v>
      </c>
      <c r="E2593" s="79" t="s">
        <v>2118</v>
      </c>
      <c r="F2593" s="79"/>
    </row>
    <row r="2594" spans="1:7">
      <c r="A2594" s="77">
        <f t="shared" ca="1" si="208"/>
        <v>45993</v>
      </c>
      <c r="B2594" s="80">
        <f t="shared" ca="1" si="209"/>
        <v>45993.982920254632</v>
      </c>
      <c r="C2594" s="90" t="s">
        <v>414</v>
      </c>
      <c r="D2594" s="76" t="s">
        <v>902</v>
      </c>
      <c r="E2594" s="90" t="s">
        <v>1284</v>
      </c>
      <c r="F2594" s="79"/>
    </row>
    <row r="2595" spans="1:7">
      <c r="A2595" s="77">
        <f t="shared" ca="1" si="208"/>
        <v>45994</v>
      </c>
      <c r="B2595" s="80">
        <f t="shared" ca="1" si="209"/>
        <v>45994.016129745367</v>
      </c>
      <c r="C2595" s="90" t="s">
        <v>414</v>
      </c>
      <c r="D2595" s="210" t="s">
        <v>922</v>
      </c>
      <c r="E2595" s="79"/>
      <c r="F2595" s="79"/>
    </row>
    <row r="2596" spans="1:7">
      <c r="A2596" s="77">
        <f t="shared" ca="1" si="208"/>
        <v>45994</v>
      </c>
      <c r="B2596" s="80">
        <f t="shared" ca="1" si="209"/>
        <v>45994.113532523152</v>
      </c>
      <c r="C2596" s="76" t="s">
        <v>419</v>
      </c>
      <c r="D2596" s="210" t="s">
        <v>909</v>
      </c>
      <c r="E2596" s="79"/>
      <c r="F2596" s="79"/>
    </row>
    <row r="2597" spans="1:7">
      <c r="A2597" s="77">
        <f t="shared" ca="1" si="208"/>
        <v>45994</v>
      </c>
      <c r="B2597" s="80">
        <f t="shared" ca="1" si="209"/>
        <v>45994.114272222221</v>
      </c>
      <c r="C2597" s="90" t="s">
        <v>419</v>
      </c>
      <c r="D2597" s="76" t="s">
        <v>902</v>
      </c>
      <c r="E2597" s="79" t="s">
        <v>993</v>
      </c>
      <c r="F2597" s="79"/>
    </row>
    <row r="2598" spans="1:7">
      <c r="A2598" s="77">
        <f t="shared" ca="1" si="208"/>
        <v>45994</v>
      </c>
      <c r="B2598" s="80">
        <f t="shared" ca="1" si="209"/>
        <v>45994.11707291667</v>
      </c>
      <c r="C2598" s="90" t="s">
        <v>419</v>
      </c>
      <c r="D2598" s="76" t="s">
        <v>902</v>
      </c>
      <c r="E2598" s="79" t="s">
        <v>2122</v>
      </c>
      <c r="F2598" s="79"/>
    </row>
    <row r="2599" spans="1:7">
      <c r="A2599" s="77">
        <f t="shared" ca="1" si="208"/>
        <v>45994</v>
      </c>
      <c r="B2599" s="80">
        <f t="shared" ca="1" si="209"/>
        <v>45994.117247106478</v>
      </c>
      <c r="C2599" s="90" t="s">
        <v>419</v>
      </c>
      <c r="D2599" s="76" t="s">
        <v>902</v>
      </c>
      <c r="E2599" s="79" t="s">
        <v>1284</v>
      </c>
      <c r="F2599" s="79"/>
    </row>
    <row r="2600" spans="1:7">
      <c r="A2600" s="77">
        <f t="shared" ca="1" si="208"/>
        <v>45994</v>
      </c>
      <c r="B2600" s="80">
        <f t="shared" ca="1" si="209"/>
        <v>45994.117988541664</v>
      </c>
      <c r="C2600" s="90" t="s">
        <v>419</v>
      </c>
      <c r="D2600" s="76" t="s">
        <v>902</v>
      </c>
      <c r="E2600" s="90" t="s">
        <v>1284</v>
      </c>
      <c r="F2600" s="79"/>
    </row>
    <row r="2601" spans="1:7">
      <c r="A2601" s="77">
        <f t="shared" ca="1" si="208"/>
        <v>45994</v>
      </c>
      <c r="B2601" s="80">
        <f t="shared" ca="1" si="209"/>
        <v>45994.119780092595</v>
      </c>
      <c r="C2601" s="90" t="s">
        <v>419</v>
      </c>
      <c r="D2601" s="76" t="s">
        <v>902</v>
      </c>
      <c r="E2601" s="79" t="s">
        <v>1284</v>
      </c>
      <c r="F2601" s="79"/>
    </row>
    <row r="2602" spans="1:7">
      <c r="A2602" s="77">
        <f t="shared" ca="1" si="208"/>
        <v>45994</v>
      </c>
      <c r="B2602" s="80">
        <f t="shared" ca="1" si="209"/>
        <v>45994.141281597222</v>
      </c>
      <c r="C2602" s="90" t="s">
        <v>419</v>
      </c>
      <c r="D2602" s="76" t="s">
        <v>902</v>
      </c>
      <c r="E2602" s="79" t="s">
        <v>2123</v>
      </c>
      <c r="F2602" s="79"/>
    </row>
    <row r="2603" spans="1:7">
      <c r="A2603" s="77">
        <f t="shared" ca="1" si="208"/>
        <v>45994</v>
      </c>
      <c r="B2603" s="80">
        <f t="shared" ca="1" si="209"/>
        <v>45994.152544791665</v>
      </c>
      <c r="C2603" s="90" t="s">
        <v>419</v>
      </c>
      <c r="D2603" s="76" t="s">
        <v>902</v>
      </c>
      <c r="E2603" s="79" t="s">
        <v>2124</v>
      </c>
      <c r="F2603" s="79"/>
    </row>
    <row r="2604" spans="1:7">
      <c r="A2604" s="77">
        <f t="shared" ca="1" si="208"/>
        <v>45994</v>
      </c>
      <c r="B2604" s="80">
        <f t="shared" ca="1" si="209"/>
        <v>45994.155163425923</v>
      </c>
      <c r="C2604" s="90" t="s">
        <v>419</v>
      </c>
      <c r="D2604" s="76" t="s">
        <v>902</v>
      </c>
      <c r="E2604" s="79" t="s">
        <v>1242</v>
      </c>
      <c r="F2604" s="79"/>
    </row>
    <row r="2605" spans="1:7">
      <c r="A2605" s="77">
        <f t="shared" ca="1" si="208"/>
        <v>45994</v>
      </c>
      <c r="B2605" s="80">
        <f t="shared" ca="1" si="209"/>
        <v>45994.159077083335</v>
      </c>
      <c r="C2605" s="90" t="s">
        <v>419</v>
      </c>
      <c r="D2605" s="76" t="s">
        <v>902</v>
      </c>
      <c r="E2605" s="79" t="s">
        <v>1284</v>
      </c>
      <c r="F2605" s="79"/>
    </row>
    <row r="2606" spans="1:7">
      <c r="A2606" s="77">
        <f t="shared" ca="1" si="208"/>
        <v>45994</v>
      </c>
      <c r="B2606" s="80">
        <f t="shared" ca="1" si="209"/>
        <v>45994.172827314818</v>
      </c>
      <c r="C2606" s="76" t="s">
        <v>419</v>
      </c>
      <c r="D2606" s="76" t="s">
        <v>902</v>
      </c>
      <c r="E2606" s="90" t="s">
        <v>1284</v>
      </c>
      <c r="F2606" s="79"/>
    </row>
    <row r="2607" spans="1:7">
      <c r="A2607" s="77">
        <f t="shared" ca="1" si="208"/>
        <v>45994</v>
      </c>
      <c r="B2607" s="80">
        <f t="shared" ca="1" si="209"/>
        <v>45994.175270486114</v>
      </c>
      <c r="C2607" s="90" t="s">
        <v>419</v>
      </c>
      <c r="D2607" s="76" t="s">
        <v>902</v>
      </c>
      <c r="E2607" s="79" t="s">
        <v>1508</v>
      </c>
      <c r="F2607" s="79"/>
    </row>
    <row r="2608" spans="1:7">
      <c r="A2608" s="77">
        <f t="shared" ca="1" si="208"/>
        <v>45994</v>
      </c>
      <c r="B2608" s="80">
        <f t="shared" ca="1" si="209"/>
        <v>45994.213123263886</v>
      </c>
      <c r="C2608" s="90" t="s">
        <v>419</v>
      </c>
      <c r="D2608" s="150" t="s">
        <v>1007</v>
      </c>
      <c r="E2608" s="79"/>
      <c r="F2608" s="79"/>
      <c r="G2608" s="76" t="s">
        <v>2125</v>
      </c>
    </row>
    <row r="2609" spans="1:6">
      <c r="A2609" s="77">
        <f t="shared" ca="1" si="208"/>
        <v>45994</v>
      </c>
      <c r="B2609" s="80">
        <f t="shared" ca="1" si="209"/>
        <v>45994.221316550924</v>
      </c>
      <c r="C2609" s="90" t="s">
        <v>419</v>
      </c>
      <c r="D2609" s="210" t="s">
        <v>922</v>
      </c>
      <c r="E2609" s="79"/>
      <c r="F2609" s="79"/>
    </row>
    <row r="2610" spans="1:6">
      <c r="A2610" s="77">
        <f t="shared" ca="1" si="208"/>
        <v>45994</v>
      </c>
      <c r="B2610" s="80">
        <f t="shared" ca="1" si="209"/>
        <v>45994.243986921298</v>
      </c>
      <c r="C2610" s="90" t="s">
        <v>419</v>
      </c>
      <c r="D2610" s="210" t="s">
        <v>1098</v>
      </c>
      <c r="E2610" s="79"/>
      <c r="F2610" s="79"/>
    </row>
    <row r="2611" spans="1:6">
      <c r="A2611" s="77">
        <f t="shared" ca="1" si="208"/>
        <v>45994</v>
      </c>
      <c r="B2611" s="80">
        <f t="shared" ca="1" si="209"/>
        <v>45994.30761689815</v>
      </c>
      <c r="C2611" s="76" t="s">
        <v>422</v>
      </c>
      <c r="D2611" s="210" t="s">
        <v>906</v>
      </c>
      <c r="E2611" s="79"/>
      <c r="F2611" s="79"/>
    </row>
    <row r="2612" spans="1:6">
      <c r="A2612" s="77">
        <f t="shared" ref="A2612:A2643" ca="1" si="210">IF(C2612&lt;&gt;0,IF(A2612=0,TODAY(),A2612),)</f>
        <v>45994</v>
      </c>
      <c r="B2612" s="80">
        <f t="shared" ref="B2612:B2643" ca="1" si="211">IF(C2612&lt;&gt;0,IF(B2612=0,NOW(),B2612),)</f>
        <v>45994.341249999998</v>
      </c>
      <c r="C2612" s="76" t="s">
        <v>422</v>
      </c>
      <c r="D2612" s="210" t="s">
        <v>909</v>
      </c>
      <c r="E2612" s="79"/>
      <c r="F2612" s="79"/>
    </row>
    <row r="2613" spans="1:6">
      <c r="A2613" s="77">
        <f t="shared" ca="1" si="210"/>
        <v>45994</v>
      </c>
      <c r="B2613" s="80">
        <f t="shared" ca="1" si="211"/>
        <v>45994.351520138887</v>
      </c>
      <c r="C2613" s="76" t="s">
        <v>422</v>
      </c>
      <c r="D2613" s="76" t="s">
        <v>902</v>
      </c>
      <c r="E2613" s="79" t="s">
        <v>2126</v>
      </c>
      <c r="F2613" s="79"/>
    </row>
    <row r="2614" spans="1:6">
      <c r="A2614" s="77">
        <f t="shared" ca="1" si="210"/>
        <v>45994</v>
      </c>
      <c r="B2614" s="80">
        <f t="shared" ca="1" si="211"/>
        <v>45994.362278009263</v>
      </c>
      <c r="C2614" s="76" t="s">
        <v>422</v>
      </c>
      <c r="D2614" s="76" t="s">
        <v>902</v>
      </c>
      <c r="E2614" s="79" t="s">
        <v>1555</v>
      </c>
      <c r="F2614" s="79"/>
    </row>
    <row r="2615" spans="1:6">
      <c r="A2615" s="77">
        <f t="shared" ca="1" si="210"/>
        <v>45994</v>
      </c>
      <c r="B2615" s="80">
        <f t="shared" ca="1" si="211"/>
        <v>45994.368230324071</v>
      </c>
      <c r="C2615" s="76" t="s">
        <v>422</v>
      </c>
      <c r="D2615" s="150" t="s">
        <v>1007</v>
      </c>
      <c r="E2615" s="79" t="s">
        <v>2127</v>
      </c>
      <c r="F2615" s="79"/>
    </row>
    <row r="2616" spans="1:6">
      <c r="A2616" s="77">
        <f t="shared" ca="1" si="210"/>
        <v>45994</v>
      </c>
      <c r="B2616" s="80">
        <f t="shared" ca="1" si="211"/>
        <v>45994.370953703707</v>
      </c>
      <c r="C2616" s="76" t="s">
        <v>422</v>
      </c>
      <c r="D2616" s="76" t="s">
        <v>902</v>
      </c>
      <c r="E2616" s="79" t="s">
        <v>2128</v>
      </c>
      <c r="F2616" s="79"/>
    </row>
    <row r="2617" spans="1:6">
      <c r="A2617" s="77">
        <f t="shared" ca="1" si="210"/>
        <v>45994</v>
      </c>
      <c r="B2617" s="80">
        <f t="shared" ca="1" si="211"/>
        <v>45994.393009490741</v>
      </c>
      <c r="C2617" s="76" t="s">
        <v>422</v>
      </c>
      <c r="D2617" s="76" t="s">
        <v>902</v>
      </c>
      <c r="E2617" s="79" t="s">
        <v>2129</v>
      </c>
      <c r="F2617" s="79"/>
    </row>
    <row r="2618" spans="1:6">
      <c r="A2618" s="77">
        <f t="shared" ca="1" si="210"/>
        <v>45994</v>
      </c>
      <c r="B2618" s="80">
        <f t="shared" ca="1" si="211"/>
        <v>45994.395812847222</v>
      </c>
      <c r="C2618" s="76" t="s">
        <v>422</v>
      </c>
      <c r="D2618" s="76" t="s">
        <v>902</v>
      </c>
      <c r="E2618" s="79" t="s">
        <v>1284</v>
      </c>
      <c r="F2618" s="79"/>
    </row>
    <row r="2619" spans="1:6">
      <c r="A2619" s="77">
        <f t="shared" ca="1" si="210"/>
        <v>45994</v>
      </c>
      <c r="B2619" s="80">
        <f t="shared" ca="1" si="211"/>
        <v>45994.402930787037</v>
      </c>
      <c r="C2619" s="76" t="s">
        <v>422</v>
      </c>
      <c r="D2619" s="76" t="s">
        <v>902</v>
      </c>
      <c r="E2619" s="79" t="s">
        <v>2130</v>
      </c>
      <c r="F2619" s="79"/>
    </row>
    <row r="2620" spans="1:6">
      <c r="A2620" s="77">
        <f t="shared" ca="1" si="210"/>
        <v>45994</v>
      </c>
      <c r="B2620" s="80">
        <f t="shared" ca="1" si="211"/>
        <v>45994.407275694444</v>
      </c>
      <c r="C2620" s="76" t="s">
        <v>422</v>
      </c>
      <c r="D2620" s="76" t="s">
        <v>902</v>
      </c>
      <c r="E2620" s="79" t="s">
        <v>1555</v>
      </c>
      <c r="F2620" s="79"/>
    </row>
    <row r="2621" spans="1:6">
      <c r="A2621" s="77">
        <f t="shared" ca="1" si="210"/>
        <v>45994</v>
      </c>
      <c r="B2621" s="80">
        <f t="shared" ca="1" si="211"/>
        <v>45994.40889953704</v>
      </c>
      <c r="C2621" s="76" t="s">
        <v>422</v>
      </c>
      <c r="D2621" s="150" t="s">
        <v>1007</v>
      </c>
      <c r="E2621" s="79" t="s">
        <v>1507</v>
      </c>
      <c r="F2621" s="79"/>
    </row>
    <row r="2622" spans="1:6">
      <c r="A2622" s="77">
        <f t="shared" ca="1" si="210"/>
        <v>45994</v>
      </c>
      <c r="B2622" s="80">
        <f t="shared" ca="1" si="211"/>
        <v>45994.431849884262</v>
      </c>
      <c r="C2622" s="76" t="s">
        <v>422</v>
      </c>
      <c r="D2622" s="76" t="s">
        <v>902</v>
      </c>
      <c r="E2622" s="79" t="s">
        <v>2131</v>
      </c>
      <c r="F2622" s="79"/>
    </row>
    <row r="2623" spans="1:6">
      <c r="A2623" s="77">
        <f t="shared" ca="1" si="210"/>
        <v>45994</v>
      </c>
      <c r="B2623" s="80">
        <f t="shared" ca="1" si="211"/>
        <v>45994.433937268521</v>
      </c>
      <c r="C2623" s="76" t="s">
        <v>422</v>
      </c>
      <c r="D2623" s="76" t="s">
        <v>902</v>
      </c>
      <c r="E2623" s="79" t="s">
        <v>2132</v>
      </c>
      <c r="F2623" s="79"/>
    </row>
    <row r="2624" spans="1:6">
      <c r="A2624" s="77">
        <f t="shared" ca="1" si="210"/>
        <v>45994</v>
      </c>
      <c r="B2624" s="80">
        <f t="shared" ca="1" si="211"/>
        <v>45994.448191203701</v>
      </c>
      <c r="C2624" s="76" t="s">
        <v>422</v>
      </c>
      <c r="D2624" s="76" t="s">
        <v>902</v>
      </c>
      <c r="E2624" s="79" t="s">
        <v>2025</v>
      </c>
      <c r="F2624" s="79"/>
    </row>
    <row r="2625" spans="1:7">
      <c r="A2625" s="77">
        <f t="shared" ca="1" si="210"/>
        <v>45994</v>
      </c>
      <c r="B2625" s="80">
        <f t="shared" ca="1" si="211"/>
        <v>45994.449325231479</v>
      </c>
      <c r="C2625" s="76" t="s">
        <v>422</v>
      </c>
      <c r="D2625" s="76" t="s">
        <v>902</v>
      </c>
      <c r="E2625" s="79" t="s">
        <v>1493</v>
      </c>
      <c r="F2625" s="79"/>
    </row>
    <row r="2626" spans="1:7">
      <c r="A2626" s="77">
        <f t="shared" ca="1" si="210"/>
        <v>45994</v>
      </c>
      <c r="B2626" s="80">
        <f t="shared" ca="1" si="211"/>
        <v>45994.45121655093</v>
      </c>
      <c r="C2626" s="76" t="s">
        <v>422</v>
      </c>
      <c r="D2626" s="76" t="s">
        <v>902</v>
      </c>
      <c r="E2626" s="79" t="s">
        <v>932</v>
      </c>
      <c r="F2626" s="79"/>
    </row>
    <row r="2627" spans="1:7">
      <c r="A2627" s="77">
        <f t="shared" ca="1" si="210"/>
        <v>45994</v>
      </c>
      <c r="B2627" s="80">
        <f t="shared" ca="1" si="211"/>
        <v>45994.456165856478</v>
      </c>
      <c r="C2627" s="76" t="s">
        <v>422</v>
      </c>
      <c r="D2627" s="76" t="s">
        <v>902</v>
      </c>
      <c r="E2627" s="79" t="s">
        <v>2133</v>
      </c>
      <c r="F2627" s="79"/>
    </row>
    <row r="2628" spans="1:7">
      <c r="A2628" s="77">
        <f t="shared" ca="1" si="210"/>
        <v>45994</v>
      </c>
      <c r="B2628" s="80">
        <f t="shared" ca="1" si="211"/>
        <v>45994.457763425926</v>
      </c>
      <c r="C2628" s="76" t="s">
        <v>422</v>
      </c>
      <c r="D2628" s="76" t="s">
        <v>902</v>
      </c>
      <c r="E2628" s="79" t="s">
        <v>2130</v>
      </c>
      <c r="F2628" s="79"/>
    </row>
    <row r="2629" spans="1:7">
      <c r="A2629" s="77">
        <f t="shared" ca="1" si="210"/>
        <v>45994</v>
      </c>
      <c r="B2629" s="80">
        <f t="shared" ca="1" si="211"/>
        <v>45994.465900578703</v>
      </c>
      <c r="C2629" s="76" t="s">
        <v>422</v>
      </c>
      <c r="D2629" s="76" t="s">
        <v>902</v>
      </c>
      <c r="E2629" s="79" t="s">
        <v>932</v>
      </c>
      <c r="F2629" s="79"/>
    </row>
    <row r="2630" spans="1:7">
      <c r="A2630" s="77">
        <f t="shared" ca="1" si="210"/>
        <v>45994</v>
      </c>
      <c r="B2630" s="80">
        <f t="shared" ca="1" si="211"/>
        <v>45994.472335416664</v>
      </c>
      <c r="C2630" s="76" t="s">
        <v>422</v>
      </c>
      <c r="D2630" s="76" t="s">
        <v>902</v>
      </c>
      <c r="E2630" s="79" t="s">
        <v>1698</v>
      </c>
      <c r="F2630" s="79"/>
    </row>
    <row r="2631" spans="1:7">
      <c r="A2631" s="77">
        <f t="shared" ca="1" si="210"/>
        <v>45994</v>
      </c>
      <c r="B2631" s="80">
        <f t="shared" ca="1" si="211"/>
        <v>45994.474656365739</v>
      </c>
      <c r="C2631" s="76" t="s">
        <v>422</v>
      </c>
      <c r="D2631" s="76" t="s">
        <v>902</v>
      </c>
      <c r="E2631" s="79" t="s">
        <v>2134</v>
      </c>
      <c r="F2631" s="79"/>
    </row>
    <row r="2632" spans="1:7">
      <c r="A2632" s="77">
        <f t="shared" ca="1" si="210"/>
        <v>45994</v>
      </c>
      <c r="B2632" s="80">
        <f t="shared" ca="1" si="211"/>
        <v>45994.481393634262</v>
      </c>
      <c r="C2632" s="76" t="s">
        <v>422</v>
      </c>
      <c r="D2632" s="76" t="s">
        <v>902</v>
      </c>
      <c r="E2632" s="79" t="s">
        <v>2135</v>
      </c>
      <c r="F2632" s="79"/>
    </row>
    <row r="2633" spans="1:7">
      <c r="A2633" s="77">
        <f t="shared" ca="1" si="210"/>
        <v>45994</v>
      </c>
      <c r="B2633" s="80">
        <f t="shared" ca="1" si="211"/>
        <v>45994.495087037038</v>
      </c>
      <c r="C2633" s="76" t="s">
        <v>422</v>
      </c>
      <c r="D2633" s="76" t="s">
        <v>902</v>
      </c>
      <c r="E2633" s="79" t="s">
        <v>2000</v>
      </c>
      <c r="F2633" s="79"/>
    </row>
    <row r="2634" spans="1:7">
      <c r="A2634" s="77">
        <f t="shared" ca="1" si="210"/>
        <v>45994</v>
      </c>
      <c r="B2634" s="80">
        <f t="shared" ca="1" si="211"/>
        <v>45994.501301620374</v>
      </c>
      <c r="C2634" s="76" t="s">
        <v>422</v>
      </c>
      <c r="D2634" s="76" t="s">
        <v>902</v>
      </c>
      <c r="E2634" s="79" t="s">
        <v>2130</v>
      </c>
      <c r="F2634" s="79"/>
      <c r="G2634" s="76" t="s">
        <v>2136</v>
      </c>
    </row>
    <row r="2635" spans="1:7">
      <c r="A2635" s="77">
        <f t="shared" ca="1" si="210"/>
        <v>45994</v>
      </c>
      <c r="B2635" s="80">
        <f t="shared" ca="1" si="211"/>
        <v>45994.516682060188</v>
      </c>
      <c r="C2635" s="76" t="s">
        <v>422</v>
      </c>
      <c r="D2635" s="76" t="s">
        <v>902</v>
      </c>
      <c r="E2635" s="79" t="s">
        <v>2129</v>
      </c>
      <c r="F2635" s="79"/>
    </row>
    <row r="2636" spans="1:7">
      <c r="A2636" s="77">
        <f t="shared" ca="1" si="210"/>
        <v>45994</v>
      </c>
      <c r="B2636" s="80">
        <f t="shared" ca="1" si="211"/>
        <v>45994.519609953706</v>
      </c>
      <c r="C2636" s="76" t="s">
        <v>422</v>
      </c>
      <c r="D2636" s="76" t="s">
        <v>902</v>
      </c>
      <c r="E2636" s="79" t="s">
        <v>1555</v>
      </c>
      <c r="F2636" s="79"/>
    </row>
    <row r="2637" spans="1:7">
      <c r="A2637" s="77">
        <f t="shared" ca="1" si="210"/>
        <v>45994</v>
      </c>
      <c r="B2637" s="80">
        <f t="shared" ca="1" si="211"/>
        <v>45994.539179050924</v>
      </c>
      <c r="C2637" s="76" t="s">
        <v>422</v>
      </c>
      <c r="D2637" s="150" t="s">
        <v>1007</v>
      </c>
      <c r="E2637" s="79" t="s">
        <v>2137</v>
      </c>
      <c r="F2637" s="79"/>
      <c r="G2637" s="76" t="s">
        <v>1508</v>
      </c>
    </row>
    <row r="2638" spans="1:7">
      <c r="A2638" s="77">
        <f t="shared" ca="1" si="210"/>
        <v>45994</v>
      </c>
      <c r="B2638" s="80">
        <f t="shared" ca="1" si="211"/>
        <v>45994.539615277776</v>
      </c>
      <c r="C2638" s="76" t="s">
        <v>422</v>
      </c>
      <c r="D2638" s="210" t="s">
        <v>922</v>
      </c>
      <c r="E2638" s="79"/>
      <c r="F2638" s="79"/>
    </row>
    <row r="2639" spans="1:7">
      <c r="A2639" s="77">
        <f t="shared" ca="1" si="210"/>
        <v>45994</v>
      </c>
      <c r="B2639" s="80">
        <f t="shared" ca="1" si="211"/>
        <v>45994.554411226854</v>
      </c>
      <c r="C2639" s="76" t="s">
        <v>422</v>
      </c>
      <c r="D2639" s="210" t="s">
        <v>1098</v>
      </c>
      <c r="E2639" s="79"/>
      <c r="F2639" s="79"/>
    </row>
    <row r="2640" spans="1:7">
      <c r="A2640" s="77">
        <f t="shared" ca="1" si="210"/>
        <v>45994</v>
      </c>
      <c r="B2640" s="80">
        <f t="shared" ca="1" si="211"/>
        <v>45994.594520833336</v>
      </c>
      <c r="C2640" s="76" t="s">
        <v>2138</v>
      </c>
      <c r="D2640" s="210" t="s">
        <v>906</v>
      </c>
      <c r="E2640" s="79"/>
      <c r="F2640" s="79"/>
    </row>
    <row r="2641" spans="1:7">
      <c r="A2641" s="77">
        <f t="shared" ca="1" si="210"/>
        <v>45994</v>
      </c>
      <c r="B2641" s="80">
        <f t="shared" ca="1" si="211"/>
        <v>45994.646942824074</v>
      </c>
      <c r="C2641" s="76" t="s">
        <v>2138</v>
      </c>
      <c r="D2641" s="210" t="s">
        <v>909</v>
      </c>
      <c r="E2641" s="79"/>
      <c r="F2641" s="79"/>
    </row>
    <row r="2642" spans="1:7">
      <c r="A2642" s="77">
        <f t="shared" ca="1" si="210"/>
        <v>45994</v>
      </c>
      <c r="B2642" s="80">
        <f t="shared" ca="1" si="211"/>
        <v>45994.690664583337</v>
      </c>
      <c r="C2642" s="76" t="s">
        <v>2138</v>
      </c>
      <c r="D2642" s="76" t="s">
        <v>902</v>
      </c>
      <c r="E2642" s="79" t="s">
        <v>2072</v>
      </c>
      <c r="F2642" s="79"/>
      <c r="G2642" s="76" t="s">
        <v>2139</v>
      </c>
    </row>
    <row r="2643" spans="1:7">
      <c r="A2643" s="77">
        <f t="shared" ca="1" si="210"/>
        <v>45994</v>
      </c>
      <c r="B2643" s="80">
        <f t="shared" ca="1" si="211"/>
        <v>45994.721533796299</v>
      </c>
      <c r="C2643" s="76" t="s">
        <v>2138</v>
      </c>
      <c r="D2643" s="76" t="s">
        <v>902</v>
      </c>
      <c r="E2643" s="79" t="s">
        <v>2140</v>
      </c>
      <c r="F2643" s="79"/>
    </row>
    <row r="2644" spans="1:7">
      <c r="A2644" s="77">
        <f t="shared" ref="A2644:A2674" ca="1" si="212">IF(C2644&lt;&gt;0,IF(A2644=0,TODAY(),A2644),)</f>
        <v>45994</v>
      </c>
      <c r="B2644" s="80">
        <f t="shared" ref="B2644:B2674" ca="1" si="213">IF(C2644&lt;&gt;0,IF(B2644=0,NOW(),B2644),)</f>
        <v>45994.734743981484</v>
      </c>
      <c r="C2644" s="76" t="s">
        <v>2138</v>
      </c>
      <c r="D2644" s="76" t="s">
        <v>902</v>
      </c>
      <c r="E2644" s="79" t="s">
        <v>2027</v>
      </c>
      <c r="F2644" s="79"/>
    </row>
    <row r="2645" spans="1:7">
      <c r="A2645" s="77">
        <f t="shared" ca="1" si="212"/>
        <v>45994</v>
      </c>
      <c r="B2645" s="80">
        <f t="shared" ca="1" si="213"/>
        <v>45994.757611921297</v>
      </c>
      <c r="C2645" s="76" t="s">
        <v>2138</v>
      </c>
      <c r="D2645" s="76" t="s">
        <v>902</v>
      </c>
      <c r="E2645" s="79" t="s">
        <v>2140</v>
      </c>
      <c r="F2645" s="79"/>
    </row>
    <row r="2646" spans="1:7">
      <c r="A2646" s="77">
        <f t="shared" ca="1" si="212"/>
        <v>45994</v>
      </c>
      <c r="B2646" s="80">
        <f t="shared" ca="1" si="213"/>
        <v>45994.772362037038</v>
      </c>
      <c r="C2646" s="76" t="s">
        <v>2138</v>
      </c>
      <c r="D2646" s="76" t="s">
        <v>902</v>
      </c>
      <c r="E2646" s="79" t="s">
        <v>1918</v>
      </c>
      <c r="F2646" s="79"/>
    </row>
    <row r="2647" spans="1:7">
      <c r="A2647" s="77">
        <f t="shared" ca="1" si="212"/>
        <v>45994</v>
      </c>
      <c r="B2647" s="80">
        <f t="shared" ca="1" si="213"/>
        <v>45994.778393981484</v>
      </c>
      <c r="C2647" s="90" t="s">
        <v>2138</v>
      </c>
      <c r="D2647" s="76" t="s">
        <v>902</v>
      </c>
      <c r="E2647" s="79" t="s">
        <v>2141</v>
      </c>
      <c r="F2647" s="79"/>
      <c r="G2647" s="76" t="s">
        <v>2142</v>
      </c>
    </row>
    <row r="2648" spans="1:7">
      <c r="A2648" s="77">
        <f t="shared" ca="1" si="212"/>
        <v>45994</v>
      </c>
      <c r="B2648" s="80">
        <f t="shared" ca="1" si="213"/>
        <v>45994.779304745367</v>
      </c>
      <c r="C2648" s="90" t="s">
        <v>2138</v>
      </c>
      <c r="D2648" s="76" t="s">
        <v>902</v>
      </c>
      <c r="E2648" s="79"/>
      <c r="F2648" s="79"/>
      <c r="G2648" s="76" t="s">
        <v>2143</v>
      </c>
    </row>
    <row r="2649" spans="1:7">
      <c r="A2649" s="77">
        <f t="shared" ca="1" si="212"/>
        <v>45994</v>
      </c>
      <c r="B2649" s="80">
        <f t="shared" ca="1" si="213"/>
        <v>45994.789540162034</v>
      </c>
      <c r="C2649" s="90" t="s">
        <v>2138</v>
      </c>
      <c r="D2649" s="150" t="s">
        <v>1007</v>
      </c>
      <c r="E2649" s="79" t="s">
        <v>2144</v>
      </c>
      <c r="F2649" s="79"/>
    </row>
    <row r="2650" spans="1:7">
      <c r="A2650" s="77">
        <f t="shared" ca="1" si="212"/>
        <v>45994</v>
      </c>
      <c r="B2650" s="80">
        <f t="shared" ca="1" si="213"/>
        <v>45994.794584027775</v>
      </c>
      <c r="C2650" s="90" t="s">
        <v>2138</v>
      </c>
      <c r="D2650" s="76" t="s">
        <v>902</v>
      </c>
      <c r="E2650" s="79" t="s">
        <v>2145</v>
      </c>
      <c r="F2650" s="79"/>
    </row>
    <row r="2651" spans="1:7">
      <c r="A2651" s="77">
        <f t="shared" ca="1" si="212"/>
        <v>45994</v>
      </c>
      <c r="B2651" s="80">
        <f t="shared" ca="1" si="213"/>
        <v>45994.839578472223</v>
      </c>
      <c r="C2651" s="90" t="s">
        <v>2138</v>
      </c>
      <c r="D2651" s="150" t="s">
        <v>1007</v>
      </c>
      <c r="E2651" s="79" t="s">
        <v>2146</v>
      </c>
      <c r="F2651" s="79"/>
    </row>
    <row r="2652" spans="1:7">
      <c r="A2652" s="77">
        <f t="shared" ca="1" si="212"/>
        <v>45994</v>
      </c>
      <c r="B2652" s="80">
        <f t="shared" ca="1" si="213"/>
        <v>45994.844550000002</v>
      </c>
      <c r="C2652" s="76" t="s">
        <v>2138</v>
      </c>
      <c r="D2652" s="76" t="s">
        <v>902</v>
      </c>
      <c r="E2652" s="79"/>
      <c r="F2652" s="79"/>
      <c r="G2652" s="76" t="s">
        <v>2147</v>
      </c>
    </row>
    <row r="2653" spans="1:7">
      <c r="A2653" s="77">
        <f t="shared" ca="1" si="212"/>
        <v>45994</v>
      </c>
      <c r="B2653" s="80">
        <f t="shared" ca="1" si="213"/>
        <v>45994.846666435187</v>
      </c>
      <c r="C2653" s="90" t="s">
        <v>2138</v>
      </c>
      <c r="D2653" s="76" t="s">
        <v>902</v>
      </c>
      <c r="E2653" s="79"/>
      <c r="F2653" s="79"/>
      <c r="G2653" s="76" t="s">
        <v>1905</v>
      </c>
    </row>
    <row r="2654" spans="1:7">
      <c r="A2654" s="77">
        <f t="shared" ca="1" si="212"/>
        <v>45994</v>
      </c>
      <c r="B2654" s="80">
        <f t="shared" ca="1" si="213"/>
        <v>45994.854739351853</v>
      </c>
      <c r="C2654" s="76" t="s">
        <v>2138</v>
      </c>
      <c r="D2654" s="150" t="s">
        <v>1007</v>
      </c>
      <c r="E2654" s="79" t="s">
        <v>2148</v>
      </c>
      <c r="F2654" s="79"/>
      <c r="G2654" s="76" t="s">
        <v>2149</v>
      </c>
    </row>
    <row r="2655" spans="1:7">
      <c r="A2655" s="77">
        <f t="shared" ca="1" si="212"/>
        <v>45994</v>
      </c>
      <c r="B2655" s="80">
        <f t="shared" ca="1" si="213"/>
        <v>45994.868318518522</v>
      </c>
      <c r="C2655" s="76" t="s">
        <v>2138</v>
      </c>
      <c r="D2655" s="76" t="s">
        <v>902</v>
      </c>
      <c r="E2655" s="79" t="s">
        <v>1284</v>
      </c>
      <c r="F2655" s="79"/>
      <c r="G2655" s="76" t="s">
        <v>2150</v>
      </c>
    </row>
    <row r="2656" spans="1:7">
      <c r="A2656" s="77">
        <f t="shared" ca="1" si="212"/>
        <v>45994</v>
      </c>
      <c r="B2656" s="80">
        <f t="shared" ca="1" si="213"/>
        <v>45994.880378703703</v>
      </c>
      <c r="C2656" s="76" t="s">
        <v>2138</v>
      </c>
      <c r="D2656" s="210" t="s">
        <v>922</v>
      </c>
      <c r="E2656" s="79"/>
      <c r="F2656" s="79"/>
      <c r="G2656" s="76" t="s">
        <v>2151</v>
      </c>
    </row>
    <row r="2657" spans="1:7">
      <c r="A2657" s="77">
        <f t="shared" ca="1" si="212"/>
        <v>45994</v>
      </c>
      <c r="B2657" s="80">
        <f t="shared" ca="1" si="213"/>
        <v>45994.909379166667</v>
      </c>
      <c r="C2657" s="90" t="s">
        <v>2138</v>
      </c>
      <c r="D2657" s="210" t="s">
        <v>1098</v>
      </c>
      <c r="E2657" s="79"/>
      <c r="F2657" s="79"/>
    </row>
    <row r="2658" spans="1:7">
      <c r="A2658" s="77">
        <f t="shared" ca="1" si="212"/>
        <v>45994</v>
      </c>
      <c r="B2658" s="80">
        <f t="shared" ca="1" si="213"/>
        <v>45994.957104398149</v>
      </c>
      <c r="C2658" s="90" t="s">
        <v>2138</v>
      </c>
      <c r="D2658" s="210" t="s">
        <v>906</v>
      </c>
      <c r="E2658" s="79"/>
      <c r="F2658" s="79"/>
    </row>
    <row r="2659" spans="1:7">
      <c r="A2659" s="77">
        <f t="shared" ca="1" si="212"/>
        <v>45995</v>
      </c>
      <c r="B2659" s="80">
        <f t="shared" ca="1" si="213"/>
        <v>45995.023779513889</v>
      </c>
      <c r="C2659" s="90" t="s">
        <v>428</v>
      </c>
      <c r="D2659" s="210" t="s">
        <v>909</v>
      </c>
      <c r="E2659" s="79"/>
      <c r="F2659" s="79"/>
    </row>
    <row r="2660" spans="1:7">
      <c r="A2660" s="77">
        <f t="shared" ca="1" si="212"/>
        <v>45995</v>
      </c>
      <c r="B2660" s="80">
        <f t="shared" ca="1" si="213"/>
        <v>45995.091751273147</v>
      </c>
      <c r="C2660" s="90" t="s">
        <v>428</v>
      </c>
      <c r="D2660" s="76" t="s">
        <v>902</v>
      </c>
      <c r="E2660" s="79" t="s">
        <v>1479</v>
      </c>
      <c r="F2660" s="79"/>
    </row>
    <row r="2661" spans="1:7">
      <c r="A2661" s="77">
        <f t="shared" ca="1" si="212"/>
        <v>45995</v>
      </c>
      <c r="B2661" s="80">
        <f t="shared" ca="1" si="213"/>
        <v>45995.104621990744</v>
      </c>
      <c r="C2661" s="90" t="s">
        <v>428</v>
      </c>
      <c r="D2661" s="76" t="s">
        <v>902</v>
      </c>
      <c r="E2661" s="79" t="s">
        <v>1507</v>
      </c>
      <c r="F2661" s="79"/>
    </row>
    <row r="2662" spans="1:7">
      <c r="A2662" s="77">
        <f t="shared" ca="1" si="212"/>
        <v>45995</v>
      </c>
      <c r="B2662" s="80">
        <f t="shared" ca="1" si="213"/>
        <v>45995.107462037035</v>
      </c>
      <c r="C2662" s="90" t="s">
        <v>428</v>
      </c>
      <c r="D2662" s="76" t="s">
        <v>902</v>
      </c>
      <c r="E2662" s="79"/>
      <c r="F2662" s="79"/>
      <c r="G2662" s="76" t="s">
        <v>2152</v>
      </c>
    </row>
    <row r="2663" spans="1:7">
      <c r="A2663" s="77">
        <f t="shared" ca="1" si="212"/>
        <v>45995</v>
      </c>
      <c r="B2663" s="80">
        <f t="shared" ca="1" si="213"/>
        <v>45995.115453124999</v>
      </c>
      <c r="C2663" s="90" t="s">
        <v>428</v>
      </c>
      <c r="D2663" s="150" t="s">
        <v>1007</v>
      </c>
      <c r="E2663" s="79" t="s">
        <v>1507</v>
      </c>
      <c r="F2663" s="79"/>
    </row>
    <row r="2664" spans="1:7">
      <c r="A2664" s="77">
        <f t="shared" ca="1" si="212"/>
        <v>45995</v>
      </c>
      <c r="B2664" s="80">
        <f t="shared" ca="1" si="213"/>
        <v>45995.127631828705</v>
      </c>
      <c r="C2664" s="90" t="s">
        <v>428</v>
      </c>
      <c r="D2664" s="76" t="s">
        <v>902</v>
      </c>
      <c r="E2664" s="90" t="s">
        <v>2140</v>
      </c>
      <c r="F2664" s="79"/>
    </row>
    <row r="2665" spans="1:7">
      <c r="A2665" s="77">
        <f t="shared" ca="1" si="212"/>
        <v>45995</v>
      </c>
      <c r="B2665" s="80">
        <f t="shared" ca="1" si="213"/>
        <v>45995.13032222222</v>
      </c>
      <c r="C2665" s="90" t="s">
        <v>428</v>
      </c>
      <c r="D2665" s="76" t="s">
        <v>902</v>
      </c>
      <c r="E2665" s="90" t="s">
        <v>2145</v>
      </c>
      <c r="F2665" s="79"/>
    </row>
    <row r="2666" spans="1:7">
      <c r="A2666" s="77">
        <f t="shared" ca="1" si="212"/>
        <v>45995</v>
      </c>
      <c r="B2666" s="80">
        <f t="shared" ca="1" si="213"/>
        <v>45995.152277546294</v>
      </c>
      <c r="C2666" s="90" t="s">
        <v>428</v>
      </c>
      <c r="D2666" s="150" t="s">
        <v>1007</v>
      </c>
      <c r="E2666" s="79" t="s">
        <v>1584</v>
      </c>
      <c r="F2666" s="79"/>
    </row>
    <row r="2667" spans="1:7">
      <c r="A2667" s="77">
        <f t="shared" ca="1" si="212"/>
        <v>45995</v>
      </c>
      <c r="B2667" s="80">
        <f t="shared" ca="1" si="213"/>
        <v>45995.18570347222</v>
      </c>
      <c r="C2667" s="90" t="s">
        <v>428</v>
      </c>
      <c r="D2667" s="76" t="s">
        <v>902</v>
      </c>
      <c r="E2667" s="79" t="s">
        <v>2027</v>
      </c>
      <c r="F2667" s="79"/>
    </row>
    <row r="2668" spans="1:7">
      <c r="A2668" s="77">
        <f t="shared" ca="1" si="212"/>
        <v>45995</v>
      </c>
      <c r="B2668" s="80">
        <f t="shared" ca="1" si="213"/>
        <v>45995.192658217595</v>
      </c>
      <c r="C2668" s="90" t="s">
        <v>428</v>
      </c>
      <c r="D2668" s="210" t="s">
        <v>922</v>
      </c>
      <c r="E2668" s="79"/>
      <c r="F2668" s="79"/>
      <c r="G2668" s="76" t="s">
        <v>2153</v>
      </c>
    </row>
    <row r="2669" spans="1:7">
      <c r="A2669" s="77">
        <f t="shared" ca="1" si="212"/>
        <v>45995</v>
      </c>
      <c r="B2669" s="80">
        <f t="shared" ca="1" si="213"/>
        <v>45995.223407986108</v>
      </c>
      <c r="C2669" s="90" t="s">
        <v>428</v>
      </c>
      <c r="D2669" s="210" t="s">
        <v>1098</v>
      </c>
      <c r="E2669" s="79"/>
      <c r="F2669" s="79"/>
    </row>
    <row r="2670" spans="1:7">
      <c r="A2670" s="77">
        <f t="shared" ca="1" si="212"/>
        <v>45995</v>
      </c>
      <c r="B2670" s="80">
        <f t="shared" ca="1" si="213"/>
        <v>45995.252604050926</v>
      </c>
      <c r="C2670" s="90" t="s">
        <v>2154</v>
      </c>
      <c r="D2670" s="210" t="s">
        <v>906</v>
      </c>
      <c r="E2670" s="79"/>
      <c r="F2670" s="79"/>
    </row>
    <row r="2671" spans="1:7">
      <c r="A2671" s="77">
        <f t="shared" ca="1" si="212"/>
        <v>45995</v>
      </c>
      <c r="B2671" s="80">
        <f t="shared" ca="1" si="213"/>
        <v>45995.300390046294</v>
      </c>
      <c r="C2671" s="90" t="s">
        <v>2154</v>
      </c>
      <c r="D2671" s="210" t="s">
        <v>909</v>
      </c>
      <c r="E2671" s="79"/>
      <c r="F2671" s="79"/>
    </row>
    <row r="2672" spans="1:7">
      <c r="A2672" s="77">
        <f t="shared" ca="1" si="212"/>
        <v>45995</v>
      </c>
      <c r="B2672" s="80">
        <f t="shared" ca="1" si="213"/>
        <v>45995.303467361111</v>
      </c>
      <c r="C2672" s="90" t="s">
        <v>2154</v>
      </c>
      <c r="D2672" s="76" t="s">
        <v>902</v>
      </c>
      <c r="E2672" s="79" t="s">
        <v>1045</v>
      </c>
      <c r="F2672" s="79"/>
    </row>
    <row r="2673" spans="1:6">
      <c r="A2673" s="77">
        <f t="shared" ca="1" si="212"/>
        <v>45995</v>
      </c>
      <c r="B2673" s="80">
        <f t="shared" ca="1" si="213"/>
        <v>45995.304052777778</v>
      </c>
      <c r="C2673" s="90" t="s">
        <v>2154</v>
      </c>
      <c r="D2673" s="76" t="s">
        <v>902</v>
      </c>
      <c r="E2673" s="79" t="s">
        <v>2155</v>
      </c>
      <c r="F2673" s="79"/>
    </row>
    <row r="2674" spans="1:6">
      <c r="A2674" s="77">
        <f t="shared" ca="1" si="212"/>
        <v>45995</v>
      </c>
      <c r="B2674" s="80">
        <f t="shared" ca="1" si="213"/>
        <v>45995.306794212964</v>
      </c>
      <c r="C2674" s="90" t="s">
        <v>2154</v>
      </c>
      <c r="D2674" s="76" t="s">
        <v>902</v>
      </c>
      <c r="E2674" s="79" t="s">
        <v>1324</v>
      </c>
      <c r="F2674" s="79"/>
    </row>
    <row r="2675" spans="1:6">
      <c r="A2675" s="77">
        <f t="shared" ref="A2675:A2697" ca="1" si="214">IF(C2675&lt;&gt;0,IF(A2675=0,TODAY(),A2675),)</f>
        <v>45995</v>
      </c>
      <c r="B2675" s="80">
        <f t="shared" ref="B2675:B2697" ca="1" si="215">IF(C2675&lt;&gt;0,IF(B2675=0,NOW(),B2675),)</f>
        <v>45995.371030671296</v>
      </c>
      <c r="C2675" s="90" t="s">
        <v>2154</v>
      </c>
      <c r="D2675" s="76" t="s">
        <v>902</v>
      </c>
      <c r="E2675" s="79" t="s">
        <v>1583</v>
      </c>
      <c r="F2675" s="79"/>
    </row>
    <row r="2676" spans="1:6">
      <c r="A2676" s="77">
        <f t="shared" ca="1" si="214"/>
        <v>45995</v>
      </c>
      <c r="B2676" s="80">
        <f t="shared" ca="1" si="215"/>
        <v>45995.379067708331</v>
      </c>
      <c r="C2676" s="90" t="s">
        <v>2154</v>
      </c>
      <c r="D2676" s="150" t="s">
        <v>1007</v>
      </c>
      <c r="E2676" s="79" t="s">
        <v>2156</v>
      </c>
      <c r="F2676" s="79"/>
    </row>
    <row r="2677" spans="1:6">
      <c r="A2677" s="77">
        <f t="shared" ca="1" si="214"/>
        <v>45995</v>
      </c>
      <c r="B2677" s="80">
        <f t="shared" ca="1" si="215"/>
        <v>45995.383273032407</v>
      </c>
      <c r="C2677" s="90" t="s">
        <v>2154</v>
      </c>
      <c r="D2677" s="76" t="s">
        <v>902</v>
      </c>
      <c r="E2677" s="79" t="s">
        <v>932</v>
      </c>
      <c r="F2677" s="79"/>
    </row>
    <row r="2678" spans="1:6">
      <c r="A2678" s="77">
        <f t="shared" ca="1" si="214"/>
        <v>45995</v>
      </c>
      <c r="B2678" s="80">
        <f t="shared" ca="1" si="215"/>
        <v>45995.387953472222</v>
      </c>
      <c r="C2678" s="90" t="s">
        <v>2154</v>
      </c>
      <c r="D2678" s="76" t="s">
        <v>902</v>
      </c>
      <c r="E2678" s="79" t="s">
        <v>1045</v>
      </c>
      <c r="F2678" s="79"/>
    </row>
    <row r="2679" spans="1:6">
      <c r="A2679" s="77">
        <f t="shared" ca="1" si="214"/>
        <v>45995</v>
      </c>
      <c r="B2679" s="80">
        <f t="shared" ca="1" si="215"/>
        <v>45995.398662615742</v>
      </c>
      <c r="C2679" s="96" t="s">
        <v>2154</v>
      </c>
      <c r="D2679" s="76" t="s">
        <v>902</v>
      </c>
      <c r="E2679" s="79" t="s">
        <v>996</v>
      </c>
      <c r="F2679" s="79"/>
    </row>
    <row r="2680" spans="1:6">
      <c r="A2680" s="77">
        <f t="shared" ca="1" si="214"/>
        <v>45995</v>
      </c>
      <c r="B2680" s="80">
        <f t="shared" ca="1" si="215"/>
        <v>45995.399267592591</v>
      </c>
      <c r="C2680" s="76" t="s">
        <v>2154</v>
      </c>
      <c r="D2680" s="76" t="s">
        <v>902</v>
      </c>
      <c r="E2680" s="79" t="s">
        <v>1045</v>
      </c>
      <c r="F2680" s="79"/>
    </row>
    <row r="2681" spans="1:6">
      <c r="A2681" s="77">
        <f t="shared" ca="1" si="214"/>
        <v>45995</v>
      </c>
      <c r="B2681" s="80">
        <f t="shared" ca="1" si="215"/>
        <v>45995.404116666665</v>
      </c>
      <c r="C2681" s="76" t="s">
        <v>2154</v>
      </c>
      <c r="D2681" s="76" t="s">
        <v>902</v>
      </c>
      <c r="E2681" s="79" t="s">
        <v>1284</v>
      </c>
      <c r="F2681" s="79"/>
    </row>
    <row r="2682" spans="1:6">
      <c r="A2682" s="77">
        <f t="shared" ca="1" si="214"/>
        <v>45995</v>
      </c>
      <c r="B2682" s="80">
        <f t="shared" ca="1" si="215"/>
        <v>45995.407008680559</v>
      </c>
      <c r="C2682" s="76" t="s">
        <v>2154</v>
      </c>
      <c r="D2682" s="76" t="s">
        <v>902</v>
      </c>
      <c r="E2682" s="79" t="s">
        <v>2157</v>
      </c>
      <c r="F2682" s="79"/>
    </row>
    <row r="2683" spans="1:6">
      <c r="A2683" s="77">
        <f t="shared" ca="1" si="214"/>
        <v>45995</v>
      </c>
      <c r="B2683" s="80">
        <f t="shared" ca="1" si="215"/>
        <v>45995.444313657405</v>
      </c>
      <c r="C2683" s="76" t="s">
        <v>2154</v>
      </c>
      <c r="D2683" s="76" t="s">
        <v>902</v>
      </c>
      <c r="E2683" s="79" t="s">
        <v>932</v>
      </c>
      <c r="F2683" s="79"/>
    </row>
    <row r="2684" spans="1:6">
      <c r="A2684" s="77">
        <f t="shared" ca="1" si="214"/>
        <v>45995</v>
      </c>
      <c r="B2684" s="80">
        <f t="shared" ca="1" si="215"/>
        <v>45995.445318981481</v>
      </c>
      <c r="C2684" s="76" t="s">
        <v>2154</v>
      </c>
      <c r="D2684" s="76" t="s">
        <v>902</v>
      </c>
      <c r="E2684" s="79" t="s">
        <v>1284</v>
      </c>
      <c r="F2684" s="79"/>
    </row>
    <row r="2685" spans="1:6">
      <c r="A2685" s="77">
        <f t="shared" ca="1" si="214"/>
        <v>45995</v>
      </c>
      <c r="B2685" s="80">
        <f t="shared" ca="1" si="215"/>
        <v>45995.453710069443</v>
      </c>
      <c r="C2685" s="76" t="s">
        <v>2154</v>
      </c>
      <c r="D2685" s="76" t="s">
        <v>902</v>
      </c>
      <c r="E2685" s="79" t="s">
        <v>2158</v>
      </c>
      <c r="F2685" s="79"/>
    </row>
    <row r="2686" spans="1:6">
      <c r="A2686" s="77">
        <f t="shared" ca="1" si="214"/>
        <v>45995</v>
      </c>
      <c r="B2686" s="80">
        <f t="shared" ca="1" si="215"/>
        <v>45995.484334606481</v>
      </c>
      <c r="C2686" s="76" t="s">
        <v>2154</v>
      </c>
      <c r="D2686" s="76" t="s">
        <v>902</v>
      </c>
      <c r="E2686" s="79" t="s">
        <v>2159</v>
      </c>
      <c r="F2686" s="79"/>
    </row>
    <row r="2687" spans="1:6">
      <c r="A2687" s="77">
        <f t="shared" ca="1" si="214"/>
        <v>45995</v>
      </c>
      <c r="B2687" s="80">
        <f t="shared" ca="1" si="215"/>
        <v>45995.505439120374</v>
      </c>
      <c r="C2687" s="76" t="s">
        <v>2154</v>
      </c>
      <c r="D2687" s="76" t="s">
        <v>902</v>
      </c>
      <c r="E2687" s="79" t="s">
        <v>1284</v>
      </c>
      <c r="F2687" s="79"/>
    </row>
    <row r="2688" spans="1:6">
      <c r="A2688" s="77">
        <f t="shared" ca="1" si="214"/>
        <v>45995</v>
      </c>
      <c r="B2688" s="80">
        <f t="shared" ca="1" si="215"/>
        <v>45995.541110763887</v>
      </c>
      <c r="C2688" s="76" t="s">
        <v>2154</v>
      </c>
      <c r="D2688" s="76" t="s">
        <v>902</v>
      </c>
      <c r="E2688" s="79" t="s">
        <v>2160</v>
      </c>
      <c r="F2688" s="79"/>
    </row>
    <row r="2689" spans="1:7">
      <c r="A2689" s="77">
        <f t="shared" ca="1" si="214"/>
        <v>45995</v>
      </c>
      <c r="B2689" s="80">
        <v>45995.549189814818</v>
      </c>
      <c r="C2689" s="76" t="s">
        <v>2154</v>
      </c>
      <c r="D2689" s="210" t="s">
        <v>922</v>
      </c>
      <c r="E2689" s="79"/>
      <c r="F2689" s="79"/>
    </row>
    <row r="2690" spans="1:7">
      <c r="A2690" s="77">
        <f t="shared" ca="1" si="214"/>
        <v>45995</v>
      </c>
      <c r="B2690" s="80">
        <f t="shared" ca="1" si="215"/>
        <v>45995.570200231479</v>
      </c>
      <c r="C2690" s="76" t="s">
        <v>2154</v>
      </c>
      <c r="D2690" s="210" t="s">
        <v>1098</v>
      </c>
      <c r="E2690" s="79"/>
      <c r="F2690" s="79"/>
      <c r="G2690" s="76" t="s">
        <v>2161</v>
      </c>
    </row>
    <row r="2691" spans="1:7">
      <c r="A2691" s="77">
        <f t="shared" ca="1" si="214"/>
        <v>45996</v>
      </c>
      <c r="B2691" s="80">
        <f t="shared" ca="1" si="215"/>
        <v>45996.445833680555</v>
      </c>
      <c r="C2691" s="76" t="s">
        <v>435</v>
      </c>
      <c r="D2691" s="210" t="s">
        <v>906</v>
      </c>
      <c r="E2691" s="79"/>
      <c r="F2691" s="79"/>
    </row>
    <row r="2692" spans="1:7">
      <c r="A2692" s="77">
        <f t="shared" ca="1" si="214"/>
        <v>45996</v>
      </c>
      <c r="B2692" s="80">
        <v>45996.527048611111</v>
      </c>
      <c r="C2692" s="76" t="s">
        <v>435</v>
      </c>
      <c r="D2692" s="210" t="s">
        <v>909</v>
      </c>
      <c r="E2692" s="79"/>
      <c r="F2692" s="79"/>
    </row>
    <row r="2693" spans="1:7">
      <c r="A2693" s="77">
        <f t="shared" ca="1" si="214"/>
        <v>45996</v>
      </c>
      <c r="B2693" s="80">
        <f t="shared" ca="1" si="215"/>
        <v>45996.534016319441</v>
      </c>
      <c r="C2693" s="76" t="s">
        <v>435</v>
      </c>
      <c r="D2693" s="76" t="s">
        <v>902</v>
      </c>
      <c r="E2693" s="79" t="s">
        <v>2162</v>
      </c>
      <c r="F2693" s="79"/>
    </row>
    <row r="2694" spans="1:7">
      <c r="A2694" s="77">
        <f t="shared" ca="1" si="214"/>
        <v>45996</v>
      </c>
      <c r="B2694" s="80">
        <f t="shared" ca="1" si="215"/>
        <v>45996.540413773146</v>
      </c>
      <c r="C2694" s="76" t="s">
        <v>435</v>
      </c>
      <c r="D2694" s="76" t="s">
        <v>902</v>
      </c>
      <c r="E2694" s="79" t="s">
        <v>2163</v>
      </c>
      <c r="F2694" s="79"/>
    </row>
    <row r="2695" spans="1:7">
      <c r="A2695" s="77">
        <f t="shared" ca="1" si="214"/>
        <v>45996</v>
      </c>
      <c r="B2695" s="80">
        <f t="shared" ca="1" si="215"/>
        <v>45996.612426388892</v>
      </c>
      <c r="C2695" s="76" t="s">
        <v>435</v>
      </c>
      <c r="D2695" s="76" t="s">
        <v>902</v>
      </c>
      <c r="E2695" s="79" t="s">
        <v>1229</v>
      </c>
      <c r="F2695" s="79"/>
    </row>
    <row r="2696" spans="1:7">
      <c r="A2696" s="77">
        <f t="shared" ca="1" si="214"/>
        <v>45996</v>
      </c>
      <c r="B2696" s="80">
        <f t="shared" ca="1" si="215"/>
        <v>45996.677432523145</v>
      </c>
      <c r="C2696" s="76" t="s">
        <v>435</v>
      </c>
      <c r="D2696" s="76" t="s">
        <v>902</v>
      </c>
      <c r="E2696" s="79" t="s">
        <v>1196</v>
      </c>
      <c r="F2696" s="79"/>
    </row>
    <row r="2697" spans="1:7">
      <c r="A2697" s="77">
        <f t="shared" ca="1" si="214"/>
        <v>45996</v>
      </c>
      <c r="B2697" s="80">
        <f t="shared" ca="1" si="215"/>
        <v>45996.686232870372</v>
      </c>
      <c r="C2697" s="76" t="s">
        <v>435</v>
      </c>
      <c r="D2697" s="210" t="s">
        <v>922</v>
      </c>
      <c r="E2697" s="79"/>
      <c r="F2697" s="79"/>
    </row>
    <row r="2698" spans="1:7">
      <c r="A2698" s="97">
        <v>45996</v>
      </c>
      <c r="B2698" s="98">
        <v>0.82464120370370375</v>
      </c>
      <c r="C2698" s="99" t="s">
        <v>439</v>
      </c>
      <c r="D2698" s="211" t="s">
        <v>909</v>
      </c>
      <c r="E2698" s="99" t="s">
        <v>2164</v>
      </c>
      <c r="F2698" s="99" t="s">
        <v>2164</v>
      </c>
      <c r="G2698" s="99" t="s">
        <v>2164</v>
      </c>
    </row>
    <row r="2699" spans="1:7">
      <c r="A2699" s="100">
        <v>45996</v>
      </c>
      <c r="B2699" s="101">
        <v>0.82537037037037042</v>
      </c>
      <c r="C2699" s="102" t="s">
        <v>439</v>
      </c>
      <c r="D2699" s="102" t="s">
        <v>902</v>
      </c>
      <c r="E2699" s="102" t="s">
        <v>2165</v>
      </c>
      <c r="F2699" s="102" t="s">
        <v>2164</v>
      </c>
      <c r="G2699" s="102" t="s">
        <v>2164</v>
      </c>
    </row>
    <row r="2700" spans="1:7">
      <c r="A2700" s="97">
        <v>45996</v>
      </c>
      <c r="B2700" s="98">
        <v>0.83598379629629627</v>
      </c>
      <c r="C2700" s="99" t="s">
        <v>439</v>
      </c>
      <c r="D2700" s="99" t="s">
        <v>902</v>
      </c>
      <c r="E2700" s="99" t="s">
        <v>2166</v>
      </c>
      <c r="F2700" s="99" t="s">
        <v>2164</v>
      </c>
      <c r="G2700" s="99" t="s">
        <v>2164</v>
      </c>
    </row>
    <row r="2701" spans="1:7">
      <c r="A2701" s="97">
        <v>45996</v>
      </c>
      <c r="B2701" s="98">
        <v>0.86968749999999995</v>
      </c>
      <c r="C2701" s="99" t="s">
        <v>439</v>
      </c>
      <c r="D2701" s="99" t="s">
        <v>902</v>
      </c>
      <c r="E2701" s="99" t="s">
        <v>2167</v>
      </c>
      <c r="F2701" s="99" t="s">
        <v>2164</v>
      </c>
      <c r="G2701" s="99" t="s">
        <v>2164</v>
      </c>
    </row>
    <row r="2702" spans="1:7">
      <c r="A2702" s="97">
        <v>45996</v>
      </c>
      <c r="B2702" s="98">
        <v>0.87414351851851857</v>
      </c>
      <c r="C2702" s="99" t="s">
        <v>439</v>
      </c>
      <c r="D2702" s="99" t="s">
        <v>902</v>
      </c>
      <c r="E2702" s="99" t="s">
        <v>2168</v>
      </c>
      <c r="F2702" s="99" t="s">
        <v>2164</v>
      </c>
      <c r="G2702" s="99" t="s">
        <v>2164</v>
      </c>
    </row>
    <row r="2703" spans="1:7">
      <c r="A2703" s="100">
        <v>45996</v>
      </c>
      <c r="B2703" s="101">
        <v>0.91188657407407403</v>
      </c>
      <c r="C2703" s="102" t="s">
        <v>439</v>
      </c>
      <c r="D2703" s="207" t="s">
        <v>1070</v>
      </c>
      <c r="E2703" s="102" t="s">
        <v>2169</v>
      </c>
      <c r="F2703" s="102" t="s">
        <v>2164</v>
      </c>
      <c r="G2703" s="102" t="s">
        <v>2164</v>
      </c>
    </row>
    <row r="2704" spans="1:7">
      <c r="A2704" s="97">
        <v>45996</v>
      </c>
      <c r="B2704" s="98">
        <v>0.9497916666666667</v>
      </c>
      <c r="C2704" s="99" t="s">
        <v>439</v>
      </c>
      <c r="D2704" s="99" t="s">
        <v>902</v>
      </c>
      <c r="E2704" s="99" t="s">
        <v>2067</v>
      </c>
      <c r="F2704" s="99" t="s">
        <v>2164</v>
      </c>
      <c r="G2704" s="99" t="s">
        <v>2164</v>
      </c>
    </row>
    <row r="2705" spans="1:7">
      <c r="A2705" s="100">
        <v>45996</v>
      </c>
      <c r="B2705" s="101">
        <v>0.95589120370370373</v>
      </c>
      <c r="C2705" s="102" t="s">
        <v>439</v>
      </c>
      <c r="D2705" s="102" t="s">
        <v>902</v>
      </c>
      <c r="E2705" s="102" t="s">
        <v>2067</v>
      </c>
      <c r="F2705" s="102" t="s">
        <v>2164</v>
      </c>
      <c r="G2705" s="102" t="s">
        <v>2164</v>
      </c>
    </row>
    <row r="2706" spans="1:7">
      <c r="A2706" s="97">
        <v>45996</v>
      </c>
      <c r="B2706" s="98">
        <v>0.98056712962962966</v>
      </c>
      <c r="C2706" s="99" t="s">
        <v>439</v>
      </c>
      <c r="D2706" s="211" t="s">
        <v>922</v>
      </c>
      <c r="E2706" s="99" t="s">
        <v>2164</v>
      </c>
      <c r="F2706" s="99" t="s">
        <v>2164</v>
      </c>
      <c r="G2706" s="99" t="s">
        <v>2164</v>
      </c>
    </row>
    <row r="2707" spans="1:7">
      <c r="A2707" s="100">
        <v>45997</v>
      </c>
      <c r="B2707" s="101">
        <v>0.11142361111111111</v>
      </c>
      <c r="C2707" s="102" t="s">
        <v>442</v>
      </c>
      <c r="D2707" s="211" t="s">
        <v>909</v>
      </c>
      <c r="E2707" s="102" t="s">
        <v>2164</v>
      </c>
      <c r="F2707" s="102" t="s">
        <v>2164</v>
      </c>
      <c r="G2707" s="102" t="s">
        <v>2164</v>
      </c>
    </row>
    <row r="2708" spans="1:7">
      <c r="A2708" s="97">
        <v>45997</v>
      </c>
      <c r="B2708" s="98">
        <v>0.22803240740740741</v>
      </c>
      <c r="C2708" s="99" t="s">
        <v>442</v>
      </c>
      <c r="D2708" s="99" t="s">
        <v>902</v>
      </c>
      <c r="E2708" s="99" t="s">
        <v>2170</v>
      </c>
      <c r="F2708" s="99" t="s">
        <v>2164</v>
      </c>
      <c r="G2708" s="99" t="s">
        <v>2164</v>
      </c>
    </row>
    <row r="2709" spans="1:7">
      <c r="A2709" s="100">
        <v>45997</v>
      </c>
      <c r="B2709" s="101">
        <v>0.26085648148148149</v>
      </c>
      <c r="C2709" s="102" t="s">
        <v>442</v>
      </c>
      <c r="D2709" s="211" t="s">
        <v>922</v>
      </c>
      <c r="E2709" s="102" t="s">
        <v>2171</v>
      </c>
      <c r="F2709" s="102" t="s">
        <v>2164</v>
      </c>
      <c r="G2709" s="102" t="s">
        <v>2164</v>
      </c>
    </row>
    <row r="2710" spans="1:7">
      <c r="A2710" s="97">
        <v>45997</v>
      </c>
      <c r="B2710" s="98">
        <v>0.31086805555555558</v>
      </c>
      <c r="C2710" s="99" t="s">
        <v>442</v>
      </c>
      <c r="D2710" s="211" t="s">
        <v>1098</v>
      </c>
      <c r="E2710" s="99" t="s">
        <v>2164</v>
      </c>
      <c r="F2710" s="99" t="s">
        <v>2164</v>
      </c>
      <c r="G2710" s="99" t="s">
        <v>2164</v>
      </c>
    </row>
    <row r="2711" spans="1:7">
      <c r="A2711" s="77">
        <f t="shared" ref="A2711:A2737" ca="1" si="216">IF(C2711&lt;&gt;0,IF(A2711=0,TODAY(),A2711),)</f>
        <v>45998</v>
      </c>
      <c r="B2711" s="80">
        <f t="shared" ref="B2711:B2737" ca="1" si="217">IF(C2711&lt;&gt;0,IF(B2711=0,NOW(),B2711),)</f>
        <v>45998.321323495373</v>
      </c>
      <c r="C2711" s="99" t="s">
        <v>442</v>
      </c>
      <c r="D2711" s="210" t="s">
        <v>906</v>
      </c>
      <c r="E2711" s="79"/>
      <c r="F2711" s="79"/>
      <c r="G2711" s="76" t="s">
        <v>2172</v>
      </c>
    </row>
    <row r="2712" spans="1:7">
      <c r="A2712" s="77">
        <f t="shared" ca="1" si="216"/>
        <v>45998</v>
      </c>
      <c r="B2712" s="80">
        <v>45998.394074074073</v>
      </c>
      <c r="C2712" s="99" t="s">
        <v>442</v>
      </c>
      <c r="D2712" s="210" t="s">
        <v>909</v>
      </c>
      <c r="E2712" s="79"/>
      <c r="F2712" s="79"/>
    </row>
    <row r="2713" spans="1:7">
      <c r="A2713" s="77">
        <f t="shared" ca="1" si="216"/>
        <v>45998</v>
      </c>
      <c r="B2713" s="80">
        <f t="shared" ca="1" si="217"/>
        <v>45998.396308101852</v>
      </c>
      <c r="C2713" s="99" t="s">
        <v>442</v>
      </c>
      <c r="D2713" s="76" t="s">
        <v>902</v>
      </c>
      <c r="E2713" s="79" t="s">
        <v>2173</v>
      </c>
      <c r="F2713" s="79"/>
    </row>
    <row r="2714" spans="1:7">
      <c r="A2714" s="77">
        <f t="shared" ca="1" si="216"/>
        <v>45998</v>
      </c>
      <c r="B2714" s="80">
        <f t="shared" ca="1" si="217"/>
        <v>45998.408502546299</v>
      </c>
      <c r="C2714" s="99" t="s">
        <v>442</v>
      </c>
      <c r="D2714" s="76" t="s">
        <v>902</v>
      </c>
      <c r="E2714" s="79" t="s">
        <v>1555</v>
      </c>
      <c r="F2714" s="79"/>
    </row>
    <row r="2715" spans="1:7">
      <c r="A2715" s="77">
        <f t="shared" ca="1" si="216"/>
        <v>45998</v>
      </c>
      <c r="B2715" s="80">
        <f t="shared" ca="1" si="217"/>
        <v>45998.413704282408</v>
      </c>
      <c r="C2715" s="99" t="s">
        <v>442</v>
      </c>
      <c r="D2715" s="150" t="s">
        <v>1007</v>
      </c>
      <c r="E2715" s="79" t="s">
        <v>2174</v>
      </c>
      <c r="F2715" s="79"/>
    </row>
    <row r="2716" spans="1:7">
      <c r="A2716" s="77">
        <f t="shared" ca="1" si="216"/>
        <v>45998</v>
      </c>
      <c r="B2716" s="80">
        <f t="shared" ca="1" si="217"/>
        <v>45998.456672337961</v>
      </c>
      <c r="C2716" s="99" t="s">
        <v>442</v>
      </c>
      <c r="D2716" s="76" t="s">
        <v>902</v>
      </c>
      <c r="E2716" s="79" t="s">
        <v>1555</v>
      </c>
      <c r="F2716" s="79"/>
    </row>
    <row r="2717" spans="1:7">
      <c r="A2717" s="77">
        <f t="shared" ca="1" si="216"/>
        <v>45998</v>
      </c>
      <c r="B2717" s="80">
        <f t="shared" ca="1" si="217"/>
        <v>45998.462429282408</v>
      </c>
      <c r="C2717" s="99" t="s">
        <v>442</v>
      </c>
      <c r="D2717" s="150" t="s">
        <v>1007</v>
      </c>
      <c r="E2717" s="79" t="s">
        <v>2175</v>
      </c>
      <c r="F2717" s="79"/>
    </row>
    <row r="2718" spans="1:7">
      <c r="A2718" s="77">
        <f t="shared" ca="1" si="216"/>
        <v>45998</v>
      </c>
      <c r="B2718" s="80">
        <f t="shared" ca="1" si="217"/>
        <v>45998.469799421298</v>
      </c>
      <c r="C2718" s="99" t="s">
        <v>442</v>
      </c>
      <c r="D2718" s="76" t="s">
        <v>902</v>
      </c>
      <c r="E2718" s="79" t="s">
        <v>2176</v>
      </c>
      <c r="F2718" s="79"/>
    </row>
    <row r="2719" spans="1:7">
      <c r="A2719" s="77">
        <f t="shared" ca="1" si="216"/>
        <v>45998</v>
      </c>
      <c r="B2719" s="80">
        <f t="shared" ca="1" si="217"/>
        <v>45998.483422916666</v>
      </c>
      <c r="C2719" s="99" t="s">
        <v>442</v>
      </c>
      <c r="D2719" s="76" t="s">
        <v>902</v>
      </c>
      <c r="E2719" s="79" t="s">
        <v>1025</v>
      </c>
      <c r="F2719" s="79"/>
    </row>
    <row r="2720" spans="1:7">
      <c r="A2720" s="77">
        <f t="shared" ca="1" si="216"/>
        <v>45998</v>
      </c>
      <c r="B2720" s="80">
        <f t="shared" ca="1" si="217"/>
        <v>45998.487525231481</v>
      </c>
      <c r="C2720" s="99" t="s">
        <v>442</v>
      </c>
      <c r="D2720" s="76" t="s">
        <v>902</v>
      </c>
      <c r="E2720" s="79" t="s">
        <v>2177</v>
      </c>
      <c r="F2720" s="79"/>
      <c r="G2720" s="76" t="s">
        <v>2178</v>
      </c>
    </row>
    <row r="2721" spans="1:7">
      <c r="A2721" s="77">
        <f t="shared" ca="1" si="216"/>
        <v>45998</v>
      </c>
      <c r="B2721" s="80">
        <f t="shared" ca="1" si="217"/>
        <v>45998.513573379627</v>
      </c>
      <c r="C2721" s="99" t="s">
        <v>442</v>
      </c>
      <c r="D2721" s="76" t="s">
        <v>902</v>
      </c>
      <c r="E2721" s="79" t="s">
        <v>2179</v>
      </c>
      <c r="F2721" s="79"/>
    </row>
    <row r="2722" spans="1:7">
      <c r="A2722" s="77">
        <f t="shared" ca="1" si="216"/>
        <v>45998</v>
      </c>
      <c r="B2722" s="80">
        <f t="shared" ca="1" si="217"/>
        <v>45998.531711342592</v>
      </c>
      <c r="C2722" s="99" t="s">
        <v>442</v>
      </c>
      <c r="D2722" s="210" t="s">
        <v>922</v>
      </c>
      <c r="E2722" s="79"/>
      <c r="F2722" s="79"/>
      <c r="G2722" s="76" t="s">
        <v>2180</v>
      </c>
    </row>
    <row r="2723" spans="1:7">
      <c r="A2723" s="77">
        <f t="shared" ca="1" si="216"/>
        <v>45998</v>
      </c>
      <c r="B2723" s="80">
        <f t="shared" ca="1" si="217"/>
        <v>45998.576378587961</v>
      </c>
      <c r="C2723" s="99" t="s">
        <v>442</v>
      </c>
      <c r="D2723" s="210" t="s">
        <v>1098</v>
      </c>
      <c r="E2723" s="79"/>
      <c r="F2723" s="79"/>
    </row>
    <row r="2724" spans="1:7">
      <c r="A2724" s="77">
        <f t="shared" ca="1" si="216"/>
        <v>45999</v>
      </c>
      <c r="B2724" s="80">
        <f t="shared" ca="1" si="217"/>
        <v>45999.147535416669</v>
      </c>
      <c r="C2724" s="76" t="s">
        <v>448</v>
      </c>
      <c r="D2724" s="210" t="s">
        <v>906</v>
      </c>
      <c r="E2724" s="79"/>
      <c r="F2724" s="79"/>
    </row>
    <row r="2725" spans="1:7">
      <c r="A2725" s="77">
        <f t="shared" ca="1" si="216"/>
        <v>45999</v>
      </c>
      <c r="B2725" s="80">
        <f t="shared" ca="1" si="217"/>
        <v>45999.165267129632</v>
      </c>
      <c r="C2725" s="76" t="s">
        <v>448</v>
      </c>
      <c r="D2725" s="76" t="s">
        <v>902</v>
      </c>
      <c r="E2725" s="79"/>
      <c r="F2725" s="79"/>
    </row>
    <row r="2726" spans="1:7">
      <c r="A2726" s="77">
        <f t="shared" ca="1" si="216"/>
        <v>45999</v>
      </c>
      <c r="B2726" s="80">
        <f t="shared" ca="1" si="217"/>
        <v>45999.266241898149</v>
      </c>
      <c r="C2726" s="76" t="s">
        <v>448</v>
      </c>
      <c r="D2726" s="210" t="s">
        <v>909</v>
      </c>
      <c r="E2726" s="79"/>
      <c r="F2726" s="79"/>
    </row>
    <row r="2727" spans="1:7">
      <c r="A2727" s="77">
        <f t="shared" ca="1" si="216"/>
        <v>45999</v>
      </c>
      <c r="B2727" s="80">
        <f t="shared" ca="1" si="217"/>
        <v>45999.28751678241</v>
      </c>
      <c r="C2727" s="76" t="s">
        <v>448</v>
      </c>
      <c r="D2727" s="76" t="s">
        <v>902</v>
      </c>
      <c r="E2727" s="79" t="s">
        <v>2181</v>
      </c>
      <c r="F2727" s="79"/>
    </row>
    <row r="2728" spans="1:7">
      <c r="A2728" s="77">
        <f t="shared" ca="1" si="216"/>
        <v>45999</v>
      </c>
      <c r="B2728" s="80">
        <f t="shared" ca="1" si="217"/>
        <v>45999.287578240743</v>
      </c>
      <c r="C2728" s="76" t="s">
        <v>448</v>
      </c>
      <c r="D2728" s="76" t="s">
        <v>902</v>
      </c>
      <c r="E2728" s="79" t="s">
        <v>2181</v>
      </c>
      <c r="F2728" s="79"/>
    </row>
    <row r="2729" spans="1:7">
      <c r="A2729" s="77">
        <f t="shared" ca="1" si="216"/>
        <v>45999</v>
      </c>
      <c r="B2729" s="80">
        <f t="shared" ca="1" si="217"/>
        <v>45999.288772222222</v>
      </c>
      <c r="C2729" s="76" t="s">
        <v>448</v>
      </c>
      <c r="D2729" s="76" t="s">
        <v>902</v>
      </c>
      <c r="E2729" s="79" t="s">
        <v>2181</v>
      </c>
      <c r="F2729" s="79"/>
    </row>
    <row r="2730" spans="1:7">
      <c r="A2730" s="77">
        <f t="shared" ca="1" si="216"/>
        <v>45999</v>
      </c>
      <c r="B2730" s="80">
        <f t="shared" ca="1" si="217"/>
        <v>45999.289461574073</v>
      </c>
      <c r="C2730" s="76" t="s">
        <v>448</v>
      </c>
      <c r="D2730" s="76" t="s">
        <v>902</v>
      </c>
      <c r="E2730" s="79" t="s">
        <v>2181</v>
      </c>
      <c r="F2730" s="79"/>
    </row>
    <row r="2731" spans="1:7">
      <c r="A2731" s="77">
        <f t="shared" ca="1" si="216"/>
        <v>45999</v>
      </c>
      <c r="B2731" s="80">
        <f t="shared" ca="1" si="217"/>
        <v>45999.311722685183</v>
      </c>
      <c r="C2731" s="76" t="s">
        <v>448</v>
      </c>
      <c r="D2731" s="76" t="s">
        <v>902</v>
      </c>
      <c r="E2731" s="79" t="s">
        <v>2181</v>
      </c>
      <c r="F2731" s="79"/>
    </row>
    <row r="2732" spans="1:7">
      <c r="A2732" s="77">
        <f t="shared" ca="1" si="216"/>
        <v>45999</v>
      </c>
      <c r="B2732" s="80">
        <f t="shared" ca="1" si="217"/>
        <v>45999.324310300923</v>
      </c>
      <c r="C2732" s="76" t="s">
        <v>448</v>
      </c>
      <c r="D2732" s="76" t="s">
        <v>902</v>
      </c>
      <c r="E2732" s="79" t="s">
        <v>2182</v>
      </c>
      <c r="F2732" s="79"/>
    </row>
    <row r="2733" spans="1:7">
      <c r="A2733" s="77">
        <f t="shared" ca="1" si="216"/>
        <v>45999</v>
      </c>
      <c r="B2733" s="80">
        <f t="shared" ca="1" si="217"/>
        <v>45999.325857407406</v>
      </c>
      <c r="C2733" s="76" t="s">
        <v>448</v>
      </c>
      <c r="D2733" s="76" t="s">
        <v>902</v>
      </c>
      <c r="E2733" s="79" t="s">
        <v>2182</v>
      </c>
      <c r="F2733" s="79"/>
    </row>
    <row r="2734" spans="1:7">
      <c r="A2734" s="77">
        <f t="shared" ca="1" si="216"/>
        <v>45999</v>
      </c>
      <c r="B2734" s="80">
        <f t="shared" ca="1" si="217"/>
        <v>45999.35152488426</v>
      </c>
      <c r="C2734" s="76" t="s">
        <v>448</v>
      </c>
      <c r="D2734" s="210" t="s">
        <v>922</v>
      </c>
      <c r="E2734" s="79"/>
      <c r="F2734" s="79"/>
    </row>
    <row r="2735" spans="1:7">
      <c r="A2735" s="77">
        <f t="shared" ca="1" si="216"/>
        <v>45999</v>
      </c>
      <c r="B2735" s="80">
        <f t="shared" ca="1" si="217"/>
        <v>45999.39501724537</v>
      </c>
      <c r="C2735" s="76" t="s">
        <v>448</v>
      </c>
      <c r="D2735" s="210" t="s">
        <v>1098</v>
      </c>
      <c r="E2735" s="79"/>
      <c r="F2735" s="79"/>
    </row>
    <row r="2736" spans="1:7">
      <c r="A2736" s="77">
        <f t="shared" ca="1" si="216"/>
        <v>45999</v>
      </c>
      <c r="B2736" s="80">
        <f t="shared" ca="1" si="217"/>
        <v>45999.450482638887</v>
      </c>
      <c r="C2736" s="76" t="s">
        <v>452</v>
      </c>
      <c r="D2736" s="210" t="s">
        <v>906</v>
      </c>
      <c r="E2736" s="79"/>
      <c r="F2736" s="79"/>
    </row>
    <row r="2737" spans="1:6">
      <c r="A2737" s="77">
        <f t="shared" ca="1" si="216"/>
        <v>45999</v>
      </c>
      <c r="B2737" s="80">
        <f t="shared" ca="1" si="217"/>
        <v>45999.476828356484</v>
      </c>
      <c r="C2737" s="76" t="s">
        <v>452</v>
      </c>
      <c r="D2737" s="210" t="s">
        <v>909</v>
      </c>
      <c r="E2737" s="79"/>
      <c r="F2737" s="79"/>
    </row>
    <row r="2738" spans="1:6">
      <c r="A2738" s="77">
        <f t="shared" ref="A2738:A2773" ca="1" si="218">IF(C2738&lt;&gt;0,IF(A2738=0,TODAY(),A2738),)</f>
        <v>45999</v>
      </c>
      <c r="B2738" s="80">
        <f t="shared" ref="B2738:B2769" ca="1" si="219">IF(C2738&lt;&gt;0,IF(B2738=0,NOW(),B2738),)</f>
        <v>45999.483404166669</v>
      </c>
      <c r="C2738" s="76" t="s">
        <v>452</v>
      </c>
      <c r="D2738" s="76" t="s">
        <v>902</v>
      </c>
      <c r="E2738" s="79" t="s">
        <v>1521</v>
      </c>
      <c r="F2738" s="79"/>
    </row>
    <row r="2739" spans="1:6">
      <c r="A2739" s="77">
        <f t="shared" ca="1" si="218"/>
        <v>45999</v>
      </c>
      <c r="B2739" s="80">
        <f t="shared" ca="1" si="219"/>
        <v>45999.486465046299</v>
      </c>
      <c r="C2739" s="76" t="s">
        <v>452</v>
      </c>
      <c r="D2739" s="76" t="s">
        <v>902</v>
      </c>
      <c r="E2739" s="79" t="s">
        <v>1063</v>
      </c>
      <c r="F2739" s="79"/>
    </row>
    <row r="2740" spans="1:6">
      <c r="A2740" s="77">
        <f t="shared" ca="1" si="218"/>
        <v>45999</v>
      </c>
      <c r="B2740" s="80">
        <f t="shared" ca="1" si="219"/>
        <v>45999.487876851854</v>
      </c>
      <c r="C2740" s="76" t="s">
        <v>452</v>
      </c>
      <c r="D2740" s="76" t="s">
        <v>902</v>
      </c>
      <c r="E2740" s="79" t="s">
        <v>1063</v>
      </c>
      <c r="F2740" s="79"/>
    </row>
    <row r="2741" spans="1:6">
      <c r="A2741" s="77">
        <f t="shared" ca="1" si="218"/>
        <v>45999</v>
      </c>
      <c r="B2741" s="80">
        <f t="shared" ca="1" si="219"/>
        <v>45999.489610532408</v>
      </c>
      <c r="C2741" s="76" t="s">
        <v>452</v>
      </c>
      <c r="D2741" s="76" t="s">
        <v>902</v>
      </c>
      <c r="E2741" s="79" t="s">
        <v>2183</v>
      </c>
      <c r="F2741" s="79"/>
    </row>
    <row r="2742" spans="1:6">
      <c r="A2742" s="77">
        <f t="shared" ca="1" si="218"/>
        <v>45999</v>
      </c>
      <c r="B2742" s="80">
        <f t="shared" ca="1" si="219"/>
        <v>45999.508011342594</v>
      </c>
      <c r="C2742" s="76" t="s">
        <v>452</v>
      </c>
      <c r="D2742" s="76" t="s">
        <v>902</v>
      </c>
      <c r="E2742" s="79" t="s">
        <v>1063</v>
      </c>
      <c r="F2742" s="79"/>
    </row>
    <row r="2743" spans="1:6">
      <c r="A2743" s="77">
        <f t="shared" ca="1" si="218"/>
        <v>45999</v>
      </c>
      <c r="B2743" s="80">
        <f t="shared" ca="1" si="219"/>
        <v>45999.510676967591</v>
      </c>
      <c r="C2743" s="76" t="s">
        <v>452</v>
      </c>
      <c r="D2743" s="76" t="s">
        <v>902</v>
      </c>
      <c r="E2743" s="79" t="s">
        <v>1063</v>
      </c>
      <c r="F2743" s="79"/>
    </row>
    <row r="2744" spans="1:6">
      <c r="A2744" s="77">
        <f t="shared" ca="1" si="218"/>
        <v>45999</v>
      </c>
      <c r="B2744" s="80">
        <f t="shared" ca="1" si="219"/>
        <v>45999.525429976849</v>
      </c>
      <c r="C2744" s="76" t="s">
        <v>452</v>
      </c>
      <c r="D2744" s="76" t="s">
        <v>902</v>
      </c>
      <c r="E2744" s="79" t="s">
        <v>1961</v>
      </c>
      <c r="F2744" s="79"/>
    </row>
    <row r="2745" spans="1:6">
      <c r="A2745" s="77">
        <f t="shared" ca="1" si="218"/>
        <v>45999</v>
      </c>
      <c r="B2745" s="80">
        <f t="shared" ca="1" si="219"/>
        <v>45999.532237037034</v>
      </c>
      <c r="C2745" s="76" t="s">
        <v>452</v>
      </c>
      <c r="D2745" s="76" t="s">
        <v>902</v>
      </c>
      <c r="E2745" s="79" t="s">
        <v>2184</v>
      </c>
      <c r="F2745" s="79"/>
    </row>
    <row r="2746" spans="1:6">
      <c r="A2746" s="77">
        <f t="shared" ca="1" si="218"/>
        <v>45999</v>
      </c>
      <c r="B2746" s="80">
        <f t="shared" ca="1" si="219"/>
        <v>45999.534977430558</v>
      </c>
      <c r="C2746" s="76" t="s">
        <v>452</v>
      </c>
      <c r="D2746" s="76" t="s">
        <v>902</v>
      </c>
      <c r="E2746" s="79" t="s">
        <v>2184</v>
      </c>
      <c r="F2746" s="79"/>
    </row>
    <row r="2747" spans="1:6">
      <c r="A2747" s="77">
        <f t="shared" ca="1" si="218"/>
        <v>45999</v>
      </c>
      <c r="B2747" s="80">
        <f t="shared" ca="1" si="219"/>
        <v>45999.536783101852</v>
      </c>
      <c r="C2747" s="76" t="s">
        <v>452</v>
      </c>
      <c r="D2747" s="76" t="s">
        <v>902</v>
      </c>
      <c r="E2747" s="79" t="s">
        <v>2184</v>
      </c>
      <c r="F2747" s="79"/>
    </row>
    <row r="2748" spans="1:6">
      <c r="A2748" s="77">
        <f t="shared" ca="1" si="218"/>
        <v>45999</v>
      </c>
      <c r="B2748" s="80">
        <f t="shared" ca="1" si="219"/>
        <v>45999.547189004632</v>
      </c>
      <c r="C2748" s="76" t="s">
        <v>452</v>
      </c>
      <c r="D2748" s="76" t="s">
        <v>902</v>
      </c>
      <c r="E2748" s="79" t="s">
        <v>1045</v>
      </c>
      <c r="F2748" s="79"/>
    </row>
    <row r="2749" spans="1:6">
      <c r="A2749" s="77">
        <f t="shared" ca="1" si="218"/>
        <v>45999</v>
      </c>
      <c r="B2749" s="80">
        <f t="shared" ca="1" si="219"/>
        <v>45999.5508619213</v>
      </c>
      <c r="C2749" s="76" t="s">
        <v>452</v>
      </c>
      <c r="D2749" s="76" t="s">
        <v>902</v>
      </c>
      <c r="E2749" s="79" t="s">
        <v>2185</v>
      </c>
      <c r="F2749" s="79"/>
    </row>
    <row r="2750" spans="1:6">
      <c r="A2750" s="77">
        <f t="shared" ca="1" si="218"/>
        <v>45999</v>
      </c>
      <c r="B2750" s="80">
        <f t="shared" ca="1" si="219"/>
        <v>45999.566738657406</v>
      </c>
      <c r="C2750" s="76" t="s">
        <v>452</v>
      </c>
      <c r="D2750" s="76" t="s">
        <v>902</v>
      </c>
      <c r="E2750" s="79" t="s">
        <v>2186</v>
      </c>
      <c r="F2750" s="79"/>
    </row>
    <row r="2751" spans="1:6">
      <c r="A2751" s="77">
        <f t="shared" ca="1" si="218"/>
        <v>45999</v>
      </c>
      <c r="B2751" s="80">
        <f t="shared" ca="1" si="219"/>
        <v>45999.585364236111</v>
      </c>
      <c r="C2751" s="76" t="s">
        <v>452</v>
      </c>
      <c r="D2751" s="76" t="s">
        <v>902</v>
      </c>
      <c r="E2751" s="79" t="s">
        <v>1063</v>
      </c>
      <c r="F2751" s="79"/>
    </row>
    <row r="2752" spans="1:6">
      <c r="A2752" s="77">
        <f t="shared" ca="1" si="218"/>
        <v>45999</v>
      </c>
      <c r="B2752" s="80">
        <f t="shared" ca="1" si="219"/>
        <v>45999.586577546295</v>
      </c>
      <c r="C2752" s="76" t="s">
        <v>452</v>
      </c>
      <c r="D2752" s="76" t="s">
        <v>902</v>
      </c>
      <c r="E2752" s="79" t="s">
        <v>1063</v>
      </c>
      <c r="F2752" s="79"/>
    </row>
    <row r="2753" spans="1:6">
      <c r="A2753" s="77">
        <f t="shared" ca="1" si="218"/>
        <v>45999</v>
      </c>
      <c r="B2753" s="80">
        <f t="shared" ca="1" si="219"/>
        <v>45999.587198032408</v>
      </c>
      <c r="C2753" s="76" t="s">
        <v>452</v>
      </c>
      <c r="D2753" s="210" t="s">
        <v>922</v>
      </c>
      <c r="E2753" s="79"/>
      <c r="F2753" s="79"/>
    </row>
    <row r="2754" spans="1:6">
      <c r="A2754" s="77">
        <f t="shared" ca="1" si="218"/>
        <v>45999</v>
      </c>
      <c r="B2754" s="80">
        <f t="shared" ca="1" si="219"/>
        <v>45999.608553819446</v>
      </c>
      <c r="C2754" s="76" t="s">
        <v>452</v>
      </c>
      <c r="D2754" s="210" t="s">
        <v>1098</v>
      </c>
      <c r="E2754" s="79"/>
      <c r="F2754" s="79"/>
    </row>
    <row r="2755" spans="1:6">
      <c r="A2755" s="77">
        <f t="shared" ca="1" si="218"/>
        <v>45999</v>
      </c>
      <c r="B2755" s="80">
        <f t="shared" ca="1" si="219"/>
        <v>45999.675676041668</v>
      </c>
      <c r="C2755" s="76" t="s">
        <v>456</v>
      </c>
      <c r="D2755" s="210" t="s">
        <v>906</v>
      </c>
      <c r="E2755" s="79"/>
      <c r="F2755" s="79"/>
    </row>
    <row r="2756" spans="1:6">
      <c r="A2756" s="77">
        <f t="shared" ca="1" si="218"/>
        <v>45999</v>
      </c>
      <c r="B2756" s="80">
        <f t="shared" ca="1" si="219"/>
        <v>45999.722458796299</v>
      </c>
      <c r="C2756" s="76" t="s">
        <v>456</v>
      </c>
      <c r="D2756" s="210" t="s">
        <v>909</v>
      </c>
      <c r="E2756" s="79"/>
      <c r="F2756" s="79"/>
    </row>
    <row r="2757" spans="1:6">
      <c r="A2757" s="77">
        <f t="shared" ca="1" si="218"/>
        <v>45999</v>
      </c>
      <c r="B2757" s="80">
        <f t="shared" ca="1" si="219"/>
        <v>45999.740417361114</v>
      </c>
      <c r="C2757" s="76" t="s">
        <v>456</v>
      </c>
      <c r="D2757" s="76" t="s">
        <v>902</v>
      </c>
      <c r="E2757" s="79" t="s">
        <v>2187</v>
      </c>
      <c r="F2757" s="79"/>
    </row>
    <row r="2758" spans="1:6">
      <c r="A2758" s="77">
        <f t="shared" ca="1" si="218"/>
        <v>45999</v>
      </c>
      <c r="B2758" s="80">
        <f t="shared" ca="1" si="219"/>
        <v>45999.79500416667</v>
      </c>
      <c r="C2758" s="76" t="s">
        <v>456</v>
      </c>
      <c r="D2758" s="210" t="s">
        <v>1098</v>
      </c>
      <c r="E2758" s="79" t="s">
        <v>2188</v>
      </c>
      <c r="F2758" s="79"/>
    </row>
    <row r="2759" spans="1:6">
      <c r="A2759" s="77">
        <f t="shared" ca="1" si="218"/>
        <v>45999</v>
      </c>
      <c r="B2759" s="80">
        <f t="shared" ca="1" si="219"/>
        <v>45999.857760648149</v>
      </c>
      <c r="C2759" s="76" t="s">
        <v>456</v>
      </c>
      <c r="D2759" s="210" t="s">
        <v>906</v>
      </c>
      <c r="E2759" s="79"/>
      <c r="F2759" s="79"/>
    </row>
    <row r="2760" spans="1:6">
      <c r="A2760" s="77">
        <f t="shared" ca="1" si="218"/>
        <v>45999</v>
      </c>
      <c r="B2760" s="80">
        <f t="shared" ca="1" si="219"/>
        <v>45999.910513194445</v>
      </c>
      <c r="C2760" s="76" t="s">
        <v>456</v>
      </c>
      <c r="D2760" s="210" t="s">
        <v>909</v>
      </c>
      <c r="E2760" s="79" t="s">
        <v>2189</v>
      </c>
      <c r="F2760" s="79"/>
    </row>
    <row r="2761" spans="1:6">
      <c r="A2761" s="77">
        <f t="shared" ca="1" si="218"/>
        <v>45999</v>
      </c>
      <c r="B2761" s="80">
        <f t="shared" ca="1" si="219"/>
        <v>45999.936356134262</v>
      </c>
      <c r="C2761" s="76" t="s">
        <v>456</v>
      </c>
      <c r="D2761" s="76" t="s">
        <v>902</v>
      </c>
      <c r="E2761" s="79" t="s">
        <v>2190</v>
      </c>
      <c r="F2761" s="79"/>
    </row>
    <row r="2762" spans="1:6">
      <c r="A2762" s="77">
        <f t="shared" ca="1" si="218"/>
        <v>45999</v>
      </c>
      <c r="B2762" s="80">
        <f t="shared" ca="1" si="219"/>
        <v>45999.979069791669</v>
      </c>
      <c r="C2762" s="76" t="s">
        <v>456</v>
      </c>
      <c r="D2762" s="76" t="s">
        <v>902</v>
      </c>
      <c r="E2762" s="79" t="s">
        <v>942</v>
      </c>
      <c r="F2762" s="79"/>
    </row>
    <row r="2763" spans="1:6">
      <c r="A2763" s="77">
        <f t="shared" ca="1" si="218"/>
        <v>46000</v>
      </c>
      <c r="B2763" s="80">
        <f t="shared" ca="1" si="219"/>
        <v>46000.004624768517</v>
      </c>
      <c r="C2763" s="76" t="s">
        <v>456</v>
      </c>
      <c r="D2763" s="150" t="s">
        <v>1007</v>
      </c>
      <c r="E2763" s="79" t="s">
        <v>2191</v>
      </c>
      <c r="F2763" s="79"/>
    </row>
    <row r="2764" spans="1:6">
      <c r="A2764" s="77">
        <f t="shared" ca="1" si="218"/>
        <v>46000</v>
      </c>
      <c r="B2764" s="80">
        <f t="shared" ca="1" si="219"/>
        <v>46000.026355092596</v>
      </c>
      <c r="C2764" s="76" t="s">
        <v>456</v>
      </c>
      <c r="D2764" s="150" t="s">
        <v>1007</v>
      </c>
      <c r="E2764" s="79" t="s">
        <v>2192</v>
      </c>
      <c r="F2764" s="79"/>
    </row>
    <row r="2765" spans="1:6">
      <c r="A2765" s="77">
        <f t="shared" ca="1" si="218"/>
        <v>46000</v>
      </c>
      <c r="B2765" s="80">
        <f t="shared" ca="1" si="219"/>
        <v>46000.035327430553</v>
      </c>
      <c r="C2765" s="76" t="s">
        <v>456</v>
      </c>
      <c r="D2765" s="76" t="s">
        <v>902</v>
      </c>
      <c r="E2765" s="79" t="s">
        <v>2193</v>
      </c>
      <c r="F2765" s="79"/>
    </row>
    <row r="2766" spans="1:6">
      <c r="A2766" s="77">
        <f t="shared" ca="1" si="218"/>
        <v>46000</v>
      </c>
      <c r="B2766" s="80">
        <f t="shared" ca="1" si="219"/>
        <v>46000.036572800927</v>
      </c>
      <c r="C2766" s="76" t="s">
        <v>456</v>
      </c>
      <c r="D2766" s="76" t="s">
        <v>902</v>
      </c>
      <c r="E2766" s="79"/>
      <c r="F2766" s="79"/>
    </row>
    <row r="2767" spans="1:6">
      <c r="A2767" s="77">
        <f t="shared" ca="1" si="218"/>
        <v>46000</v>
      </c>
      <c r="B2767" s="80">
        <f t="shared" ca="1" si="219"/>
        <v>46000.044241550924</v>
      </c>
      <c r="C2767" s="76" t="s">
        <v>456</v>
      </c>
      <c r="D2767" s="76" t="s">
        <v>902</v>
      </c>
      <c r="E2767" s="79" t="s">
        <v>2194</v>
      </c>
      <c r="F2767" s="79"/>
    </row>
    <row r="2768" spans="1:6">
      <c r="A2768" s="77">
        <f t="shared" ca="1" si="218"/>
        <v>46000</v>
      </c>
      <c r="B2768" s="80">
        <f t="shared" ca="1" si="219"/>
        <v>46000.05186388889</v>
      </c>
      <c r="C2768" s="76" t="s">
        <v>456</v>
      </c>
      <c r="D2768" s="76" t="s">
        <v>902</v>
      </c>
      <c r="E2768" s="79" t="s">
        <v>2140</v>
      </c>
      <c r="F2768" s="79"/>
    </row>
    <row r="2769" spans="1:7">
      <c r="A2769" s="77">
        <f t="shared" ca="1" si="218"/>
        <v>46000</v>
      </c>
      <c r="B2769" s="80">
        <f t="shared" ca="1" si="219"/>
        <v>46000.053917129633</v>
      </c>
      <c r="C2769" s="76" t="s">
        <v>456</v>
      </c>
      <c r="D2769" s="76" t="s">
        <v>902</v>
      </c>
      <c r="E2769" s="79" t="s">
        <v>2195</v>
      </c>
      <c r="F2769" s="79"/>
    </row>
    <row r="2770" spans="1:7">
      <c r="A2770" s="77">
        <f t="shared" ca="1" si="218"/>
        <v>46000</v>
      </c>
      <c r="B2770" s="80">
        <f t="shared" ref="B2770:B2773" ca="1" si="220">IF(C2770&lt;&gt;0,IF(B2770=0,NOW(),B2770),)</f>
        <v>46000.05900335648</v>
      </c>
      <c r="C2770" s="76" t="s">
        <v>456</v>
      </c>
      <c r="D2770" s="76" t="s">
        <v>902</v>
      </c>
      <c r="E2770" s="90" t="s">
        <v>2140</v>
      </c>
      <c r="F2770" s="79"/>
    </row>
    <row r="2771" spans="1:7">
      <c r="A2771" s="77">
        <f t="shared" ca="1" si="218"/>
        <v>46000</v>
      </c>
      <c r="B2771" s="80">
        <f t="shared" ca="1" si="220"/>
        <v>46000.060696412038</v>
      </c>
      <c r="C2771" s="76" t="s">
        <v>456</v>
      </c>
      <c r="D2771" s="76" t="s">
        <v>902</v>
      </c>
      <c r="E2771" s="79"/>
      <c r="F2771" s="79"/>
      <c r="G2771" s="76" t="s">
        <v>2196</v>
      </c>
    </row>
    <row r="2772" spans="1:7">
      <c r="A2772" s="77">
        <f t="shared" ca="1" si="218"/>
        <v>46000</v>
      </c>
      <c r="B2772" s="80">
        <f t="shared" ca="1" si="220"/>
        <v>46000.06317199074</v>
      </c>
      <c r="C2772" s="76" t="s">
        <v>456</v>
      </c>
      <c r="D2772" s="76" t="s">
        <v>902</v>
      </c>
      <c r="E2772" s="90" t="s">
        <v>2140</v>
      </c>
      <c r="F2772" s="79"/>
    </row>
    <row r="2773" spans="1:7">
      <c r="A2773" s="77">
        <f t="shared" ca="1" si="218"/>
        <v>46000</v>
      </c>
      <c r="B2773" s="80">
        <f t="shared" ca="1" si="220"/>
        <v>46000.072094675925</v>
      </c>
      <c r="C2773" s="76" t="s">
        <v>456</v>
      </c>
      <c r="D2773" s="76" t="s">
        <v>902</v>
      </c>
      <c r="E2773" s="79" t="s">
        <v>2197</v>
      </c>
      <c r="F2773" s="79"/>
    </row>
    <row r="2774" spans="1:7">
      <c r="A2774" s="77">
        <f t="shared" ref="A2774:A2806" ca="1" si="221">IF(C2774&lt;&gt;0,IF(A2774=0,TODAY(),A2774),)</f>
        <v>46000</v>
      </c>
      <c r="B2774" s="80">
        <f t="shared" ref="B2774:B2806" ca="1" si="222">IF(C2774&lt;&gt;0,IF(B2774=0,NOW(),B2774),)</f>
        <v>46000.085304745371</v>
      </c>
      <c r="C2774" s="76" t="s">
        <v>456</v>
      </c>
      <c r="D2774" s="76" t="s">
        <v>902</v>
      </c>
      <c r="E2774" s="79" t="s">
        <v>1314</v>
      </c>
      <c r="F2774" s="79"/>
    </row>
    <row r="2775" spans="1:7">
      <c r="A2775" s="77">
        <f t="shared" ca="1" si="221"/>
        <v>46000</v>
      </c>
      <c r="B2775" s="80">
        <f t="shared" ca="1" si="222"/>
        <v>46000.086077777778</v>
      </c>
      <c r="C2775" s="76" t="s">
        <v>456</v>
      </c>
      <c r="D2775" s="76" t="s">
        <v>902</v>
      </c>
      <c r="E2775" s="90" t="s">
        <v>2140</v>
      </c>
      <c r="F2775" s="79"/>
    </row>
    <row r="2776" spans="1:7">
      <c r="A2776" s="77">
        <f t="shared" ca="1" si="221"/>
        <v>46000</v>
      </c>
      <c r="B2776" s="80">
        <f t="shared" ca="1" si="222"/>
        <v>46000.094623958335</v>
      </c>
      <c r="C2776" s="76" t="s">
        <v>456</v>
      </c>
      <c r="D2776" s="76" t="s">
        <v>902</v>
      </c>
      <c r="E2776" s="79" t="s">
        <v>1235</v>
      </c>
      <c r="F2776" s="79"/>
    </row>
    <row r="2777" spans="1:7">
      <c r="A2777" s="77">
        <f t="shared" ca="1" si="221"/>
        <v>46000</v>
      </c>
      <c r="B2777" s="80">
        <f t="shared" ca="1" si="222"/>
        <v>46000.099952083336</v>
      </c>
      <c r="C2777" s="76" t="s">
        <v>456</v>
      </c>
      <c r="D2777" s="76" t="s">
        <v>902</v>
      </c>
      <c r="E2777" s="79" t="s">
        <v>2198</v>
      </c>
      <c r="F2777" s="79"/>
    </row>
    <row r="2778" spans="1:7">
      <c r="A2778" s="77">
        <f t="shared" ca="1" si="221"/>
        <v>46000</v>
      </c>
      <c r="B2778" s="80">
        <f t="shared" ca="1" si="222"/>
        <v>46000.102964583333</v>
      </c>
      <c r="C2778" s="76" t="s">
        <v>456</v>
      </c>
      <c r="D2778" s="76" t="s">
        <v>902</v>
      </c>
      <c r="E2778" s="79" t="s">
        <v>2199</v>
      </c>
      <c r="F2778" s="79"/>
    </row>
    <row r="2779" spans="1:7">
      <c r="A2779" s="77">
        <f t="shared" ca="1" si="221"/>
        <v>46000</v>
      </c>
      <c r="B2779" s="80">
        <f t="shared" ca="1" si="222"/>
        <v>46000.11233009259</v>
      </c>
      <c r="C2779" s="76" t="s">
        <v>456</v>
      </c>
      <c r="D2779" s="150" t="s">
        <v>1007</v>
      </c>
      <c r="E2779" s="79" t="s">
        <v>2200</v>
      </c>
      <c r="F2779" s="79"/>
    </row>
    <row r="2780" spans="1:7">
      <c r="A2780" s="77">
        <f t="shared" ca="1" si="221"/>
        <v>46000</v>
      </c>
      <c r="B2780" s="80">
        <f t="shared" ca="1" si="222"/>
        <v>46000.123326273148</v>
      </c>
      <c r="C2780" s="76" t="s">
        <v>456</v>
      </c>
      <c r="D2780" s="76" t="s">
        <v>902</v>
      </c>
      <c r="E2780" s="79" t="s">
        <v>2193</v>
      </c>
      <c r="F2780" s="79"/>
    </row>
    <row r="2781" spans="1:7">
      <c r="A2781" s="77">
        <f t="shared" ca="1" si="221"/>
        <v>46000</v>
      </c>
      <c r="B2781" s="80">
        <f t="shared" ca="1" si="222"/>
        <v>46000.133363425928</v>
      </c>
      <c r="C2781" s="76" t="s">
        <v>456</v>
      </c>
      <c r="D2781" s="76" t="s">
        <v>902</v>
      </c>
      <c r="E2781" s="79" t="s">
        <v>2201</v>
      </c>
      <c r="F2781" s="79"/>
      <c r="G2781" s="76" t="s">
        <v>2202</v>
      </c>
    </row>
    <row r="2782" spans="1:7">
      <c r="A2782" s="77">
        <f t="shared" ca="1" si="221"/>
        <v>46000</v>
      </c>
      <c r="B2782" s="80">
        <f t="shared" ca="1" si="222"/>
        <v>46000.133499421296</v>
      </c>
      <c r="C2782" s="76" t="s">
        <v>456</v>
      </c>
      <c r="D2782" s="76" t="s">
        <v>902</v>
      </c>
      <c r="E2782" s="79" t="s">
        <v>2203</v>
      </c>
      <c r="F2782" s="79"/>
    </row>
    <row r="2783" spans="1:7">
      <c r="A2783" s="77">
        <f t="shared" ca="1" si="221"/>
        <v>46000</v>
      </c>
      <c r="B2783" s="80">
        <f t="shared" ca="1" si="222"/>
        <v>46000.164010185188</v>
      </c>
      <c r="C2783" s="76" t="s">
        <v>456</v>
      </c>
      <c r="D2783" s="76" t="s">
        <v>902</v>
      </c>
      <c r="E2783" s="79"/>
      <c r="F2783" s="79"/>
      <c r="G2783" s="76" t="s">
        <v>2204</v>
      </c>
    </row>
    <row r="2784" spans="1:7">
      <c r="A2784" s="77">
        <f t="shared" ca="1" si="221"/>
        <v>46000</v>
      </c>
      <c r="B2784" s="80">
        <f t="shared" ca="1" si="222"/>
        <v>46000.164360185183</v>
      </c>
      <c r="C2784" s="76" t="s">
        <v>456</v>
      </c>
      <c r="D2784" s="76" t="s">
        <v>902</v>
      </c>
      <c r="E2784" s="90" t="s">
        <v>2201</v>
      </c>
      <c r="F2784" s="79"/>
    </row>
    <row r="2785" spans="1:7">
      <c r="A2785" s="77">
        <f t="shared" ca="1" si="221"/>
        <v>46000</v>
      </c>
      <c r="B2785" s="80">
        <f t="shared" ca="1" si="222"/>
        <v>46000.174278356484</v>
      </c>
      <c r="C2785" s="76" t="s">
        <v>456</v>
      </c>
      <c r="D2785" s="210" t="s">
        <v>922</v>
      </c>
      <c r="E2785" s="79"/>
      <c r="F2785" s="79"/>
      <c r="G2785" s="76" t="s">
        <v>2205</v>
      </c>
    </row>
    <row r="2786" spans="1:7">
      <c r="A2786" s="77">
        <f t="shared" ca="1" si="221"/>
        <v>46000</v>
      </c>
      <c r="B2786" s="80">
        <f t="shared" ca="1" si="222"/>
        <v>46000.20824039352</v>
      </c>
      <c r="C2786" s="76" t="s">
        <v>456</v>
      </c>
      <c r="D2786" s="210" t="s">
        <v>1098</v>
      </c>
      <c r="E2786" s="79"/>
      <c r="F2786" s="79"/>
    </row>
    <row r="2787" spans="1:7">
      <c r="A2787" s="77">
        <f t="shared" ca="1" si="221"/>
        <v>46000</v>
      </c>
      <c r="B2787" s="80">
        <f t="shared" ca="1" si="222"/>
        <v>46000.29538113426</v>
      </c>
      <c r="C2787" s="76" t="s">
        <v>461</v>
      </c>
      <c r="D2787" s="210" t="s">
        <v>906</v>
      </c>
      <c r="E2787" s="79"/>
      <c r="F2787" s="79"/>
    </row>
    <row r="2788" spans="1:7">
      <c r="A2788" s="77">
        <f t="shared" ca="1" si="221"/>
        <v>46000</v>
      </c>
      <c r="B2788" s="80">
        <f t="shared" ca="1" si="222"/>
        <v>46000.355492708331</v>
      </c>
      <c r="C2788" s="76" t="s">
        <v>461</v>
      </c>
      <c r="D2788" s="210" t="s">
        <v>909</v>
      </c>
      <c r="E2788" s="79"/>
      <c r="F2788" s="79"/>
    </row>
    <row r="2789" spans="1:7">
      <c r="A2789" s="77">
        <f t="shared" ca="1" si="221"/>
        <v>46000</v>
      </c>
      <c r="B2789" s="80">
        <f t="shared" ca="1" si="222"/>
        <v>46000.373055324075</v>
      </c>
      <c r="C2789" s="76" t="s">
        <v>461</v>
      </c>
      <c r="D2789" s="76" t="s">
        <v>902</v>
      </c>
      <c r="E2789" s="79" t="s">
        <v>2181</v>
      </c>
      <c r="F2789" s="79"/>
    </row>
    <row r="2790" spans="1:7">
      <c r="A2790" s="77">
        <f t="shared" ca="1" si="221"/>
        <v>46000</v>
      </c>
      <c r="B2790" s="80">
        <f t="shared" ca="1" si="222"/>
        <v>46000.403620254627</v>
      </c>
      <c r="C2790" s="76" t="s">
        <v>461</v>
      </c>
      <c r="D2790" s="76" t="s">
        <v>902</v>
      </c>
      <c r="E2790" s="79" t="s">
        <v>1375</v>
      </c>
      <c r="F2790" s="79"/>
    </row>
    <row r="2791" spans="1:7">
      <c r="A2791" s="77">
        <f t="shared" ca="1" si="221"/>
        <v>46000</v>
      </c>
      <c r="B2791" s="80">
        <f t="shared" ca="1" si="222"/>
        <v>46000.408451157411</v>
      </c>
      <c r="C2791" s="76" t="s">
        <v>461</v>
      </c>
      <c r="D2791" s="76" t="s">
        <v>902</v>
      </c>
      <c r="E2791" s="79" t="s">
        <v>1063</v>
      </c>
      <c r="F2791" s="79"/>
    </row>
    <row r="2792" spans="1:7">
      <c r="A2792" s="77">
        <f t="shared" ca="1" si="221"/>
        <v>46000</v>
      </c>
      <c r="B2792" s="80">
        <v>46000.424641203703</v>
      </c>
      <c r="C2792" s="76" t="s">
        <v>461</v>
      </c>
      <c r="D2792" s="210" t="s">
        <v>922</v>
      </c>
      <c r="E2792" s="79"/>
      <c r="F2792" s="79"/>
    </row>
    <row r="2793" spans="1:7">
      <c r="A2793" s="77">
        <f t="shared" ca="1" si="221"/>
        <v>46000</v>
      </c>
      <c r="B2793" s="80">
        <f t="shared" ca="1" si="222"/>
        <v>46000.462514930558</v>
      </c>
      <c r="C2793" s="76" t="s">
        <v>461</v>
      </c>
      <c r="D2793" s="210" t="s">
        <v>1098</v>
      </c>
      <c r="E2793" s="79"/>
      <c r="F2793" s="79"/>
    </row>
    <row r="2794" spans="1:7">
      <c r="A2794" s="77">
        <f t="shared" ca="1" si="221"/>
        <v>46000</v>
      </c>
      <c r="B2794" s="80">
        <f t="shared" ca="1" si="222"/>
        <v>46000.531406481481</v>
      </c>
      <c r="C2794" s="76" t="s">
        <v>456</v>
      </c>
      <c r="D2794" s="210" t="s">
        <v>906</v>
      </c>
      <c r="E2794" s="79"/>
      <c r="F2794" s="79"/>
    </row>
    <row r="2795" spans="1:7">
      <c r="A2795" s="77">
        <f t="shared" ca="1" si="221"/>
        <v>46000</v>
      </c>
      <c r="B2795" s="80">
        <v>46001.805775462963</v>
      </c>
      <c r="C2795" s="76" t="s">
        <v>456</v>
      </c>
      <c r="D2795" s="210" t="s">
        <v>1098</v>
      </c>
      <c r="E2795" s="79"/>
      <c r="F2795" s="79"/>
    </row>
    <row r="2796" spans="1:7">
      <c r="A2796" s="77">
        <f t="shared" ca="1" si="221"/>
        <v>46000</v>
      </c>
      <c r="B2796" s="80">
        <f t="shared" ca="1" si="222"/>
        <v>46000.835254166668</v>
      </c>
      <c r="C2796" s="90" t="s">
        <v>469</v>
      </c>
      <c r="D2796" s="210" t="s">
        <v>906</v>
      </c>
      <c r="E2796" s="79"/>
      <c r="F2796" s="79"/>
    </row>
    <row r="2797" spans="1:7">
      <c r="A2797" s="77">
        <f t="shared" ca="1" si="221"/>
        <v>46000</v>
      </c>
      <c r="B2797" s="80">
        <f t="shared" ca="1" si="222"/>
        <v>46000.918022685182</v>
      </c>
      <c r="C2797" s="90" t="s">
        <v>469</v>
      </c>
      <c r="D2797" s="210" t="s">
        <v>909</v>
      </c>
      <c r="E2797" s="79" t="s">
        <v>2206</v>
      </c>
      <c r="F2797" s="79"/>
    </row>
    <row r="2798" spans="1:7">
      <c r="A2798" s="77">
        <f t="shared" ca="1" si="221"/>
        <v>46000</v>
      </c>
      <c r="B2798" s="80">
        <f t="shared" ca="1" si="222"/>
        <v>46000.924829976851</v>
      </c>
      <c r="C2798" s="90" t="s">
        <v>469</v>
      </c>
      <c r="D2798" s="76" t="s">
        <v>902</v>
      </c>
      <c r="E2798" s="79" t="s">
        <v>2072</v>
      </c>
      <c r="F2798" s="79"/>
    </row>
    <row r="2799" spans="1:7">
      <c r="A2799" s="77">
        <f t="shared" ca="1" si="221"/>
        <v>46000</v>
      </c>
      <c r="B2799" s="80">
        <f t="shared" ca="1" si="222"/>
        <v>46000.92821111111</v>
      </c>
      <c r="C2799" s="90" t="s">
        <v>469</v>
      </c>
      <c r="D2799" s="76" t="s">
        <v>902</v>
      </c>
      <c r="E2799" s="79" t="s">
        <v>2207</v>
      </c>
      <c r="F2799" s="79"/>
    </row>
    <row r="2800" spans="1:7">
      <c r="A2800" s="77">
        <f t="shared" ca="1" si="221"/>
        <v>46000</v>
      </c>
      <c r="B2800" s="80">
        <f t="shared" ca="1" si="222"/>
        <v>46000.93249097222</v>
      </c>
      <c r="C2800" s="90" t="s">
        <v>469</v>
      </c>
      <c r="D2800" s="76" t="s">
        <v>902</v>
      </c>
      <c r="E2800" s="90" t="s">
        <v>2207</v>
      </c>
      <c r="F2800" s="79"/>
    </row>
    <row r="2801" spans="1:7">
      <c r="A2801" s="77">
        <f t="shared" ca="1" si="221"/>
        <v>46000</v>
      </c>
      <c r="B2801" s="80">
        <f t="shared" ca="1" si="222"/>
        <v>46000.936137615739</v>
      </c>
      <c r="C2801" s="90" t="s">
        <v>469</v>
      </c>
      <c r="D2801" s="150" t="s">
        <v>1070</v>
      </c>
      <c r="E2801" s="79" t="s">
        <v>2208</v>
      </c>
      <c r="F2801" s="79"/>
    </row>
    <row r="2802" spans="1:7">
      <c r="A2802" s="77">
        <f t="shared" ca="1" si="221"/>
        <v>46000</v>
      </c>
      <c r="B2802" s="80">
        <f t="shared" ca="1" si="222"/>
        <v>46000.94383611111</v>
      </c>
      <c r="C2802" s="90" t="s">
        <v>469</v>
      </c>
      <c r="D2802" s="150" t="s">
        <v>1070</v>
      </c>
      <c r="E2802" s="79" t="s">
        <v>2209</v>
      </c>
      <c r="F2802" s="79"/>
    </row>
    <row r="2803" spans="1:7" ht="30">
      <c r="A2803" s="77">
        <f t="shared" ca="1" si="221"/>
        <v>46000</v>
      </c>
      <c r="B2803" s="80">
        <f t="shared" ca="1" si="222"/>
        <v>46000.983211458333</v>
      </c>
      <c r="C2803" s="90" t="s">
        <v>469</v>
      </c>
      <c r="D2803" s="76" t="s">
        <v>902</v>
      </c>
      <c r="E2803" s="79"/>
      <c r="F2803" s="79"/>
      <c r="G2803" s="90" t="s">
        <v>2210</v>
      </c>
    </row>
    <row r="2804" spans="1:7">
      <c r="A2804" s="77">
        <f t="shared" ca="1" si="221"/>
        <v>46001</v>
      </c>
      <c r="B2804" s="80">
        <f t="shared" ca="1" si="222"/>
        <v>46001.031712847223</v>
      </c>
      <c r="C2804" s="90" t="s">
        <v>469</v>
      </c>
      <c r="D2804" s="210" t="s">
        <v>922</v>
      </c>
      <c r="E2804" s="79"/>
      <c r="F2804" s="79"/>
      <c r="G2804" s="76" t="s">
        <v>2211</v>
      </c>
    </row>
    <row r="2805" spans="1:7">
      <c r="A2805" s="77">
        <f t="shared" ca="1" si="221"/>
        <v>46001</v>
      </c>
      <c r="B2805" s="80">
        <f t="shared" ca="1" si="222"/>
        <v>46001.075409490739</v>
      </c>
      <c r="C2805" s="90" t="s">
        <v>469</v>
      </c>
      <c r="D2805" s="210" t="s">
        <v>1098</v>
      </c>
      <c r="E2805" s="79"/>
      <c r="F2805" s="79"/>
    </row>
    <row r="2806" spans="1:7">
      <c r="A2806" s="77">
        <f t="shared" ca="1" si="221"/>
        <v>46001</v>
      </c>
      <c r="B2806" s="80">
        <f t="shared" ca="1" si="222"/>
        <v>46001.11125671296</v>
      </c>
      <c r="C2806" s="90" t="s">
        <v>473</v>
      </c>
      <c r="D2806" s="210" t="s">
        <v>906</v>
      </c>
      <c r="E2806" s="79"/>
      <c r="F2806" s="79"/>
    </row>
    <row r="2807" spans="1:7">
      <c r="A2807" s="77">
        <f t="shared" ref="A2807:A2837" ca="1" si="223">IF(C2807&lt;&gt;0,IF(A2807=0,TODAY(),A2807),)</f>
        <v>46001</v>
      </c>
      <c r="B2807" s="80">
        <f t="shared" ref="B2807:B2837" ca="1" si="224">IF(C2807&lt;&gt;0,IF(B2807=0,NOW(),B2807),)</f>
        <v>46001.173206481479</v>
      </c>
      <c r="C2807" s="90" t="s">
        <v>473</v>
      </c>
      <c r="D2807" s="210" t="s">
        <v>909</v>
      </c>
      <c r="E2807" s="79"/>
      <c r="F2807" s="79"/>
    </row>
    <row r="2808" spans="1:7">
      <c r="A2808" s="77">
        <f t="shared" ca="1" si="223"/>
        <v>46001</v>
      </c>
      <c r="B2808" s="80">
        <f t="shared" ca="1" si="224"/>
        <v>46001.180062847219</v>
      </c>
      <c r="C2808" s="90" t="s">
        <v>473</v>
      </c>
      <c r="D2808" s="76" t="s">
        <v>902</v>
      </c>
      <c r="E2808" s="79" t="s">
        <v>2052</v>
      </c>
      <c r="F2808" s="79"/>
    </row>
    <row r="2809" spans="1:7">
      <c r="A2809" s="77">
        <f t="shared" ca="1" si="223"/>
        <v>46001</v>
      </c>
      <c r="B2809" s="80">
        <f t="shared" ca="1" si="224"/>
        <v>46001.191554861114</v>
      </c>
      <c r="C2809" s="76" t="s">
        <v>473</v>
      </c>
      <c r="D2809" s="76" t="s">
        <v>902</v>
      </c>
      <c r="E2809" s="79" t="s">
        <v>2212</v>
      </c>
      <c r="F2809" s="79"/>
      <c r="G2809" s="90" t="s">
        <v>2213</v>
      </c>
    </row>
    <row r="2810" spans="1:7">
      <c r="A2810" s="77">
        <f t="shared" ca="1" si="223"/>
        <v>46001</v>
      </c>
      <c r="B2810" s="80">
        <f t="shared" ca="1" si="224"/>
        <v>46001.262079745371</v>
      </c>
      <c r="C2810" s="76" t="s">
        <v>473</v>
      </c>
      <c r="D2810" s="210" t="s">
        <v>922</v>
      </c>
      <c r="E2810" s="79"/>
      <c r="F2810" s="79"/>
    </row>
    <row r="2811" spans="1:7">
      <c r="A2811" s="77">
        <f t="shared" ca="1" si="223"/>
        <v>46001</v>
      </c>
      <c r="B2811" s="80">
        <v>46001.300578703704</v>
      </c>
      <c r="C2811" s="76" t="s">
        <v>473</v>
      </c>
      <c r="D2811" s="210" t="s">
        <v>1098</v>
      </c>
      <c r="E2811" s="79"/>
      <c r="F2811" s="79"/>
    </row>
    <row r="2812" spans="1:7">
      <c r="A2812" s="77">
        <f t="shared" ca="1" si="223"/>
        <v>46001</v>
      </c>
      <c r="B2812" s="80">
        <f t="shared" ca="1" si="224"/>
        <v>46001.351277893518</v>
      </c>
      <c r="C2812" s="76" t="s">
        <v>475</v>
      </c>
      <c r="D2812" s="210" t="s">
        <v>906</v>
      </c>
      <c r="E2812" s="79"/>
      <c r="F2812" s="79"/>
    </row>
    <row r="2813" spans="1:7">
      <c r="A2813" s="77">
        <f t="shared" ca="1" si="223"/>
        <v>46001</v>
      </c>
      <c r="B2813" s="80">
        <f t="shared" ca="1" si="224"/>
        <v>46001.403145370372</v>
      </c>
      <c r="C2813" s="76" t="s">
        <v>475</v>
      </c>
      <c r="D2813" s="210" t="s">
        <v>909</v>
      </c>
      <c r="E2813" s="79"/>
      <c r="F2813" s="79"/>
    </row>
    <row r="2814" spans="1:7">
      <c r="A2814" s="77">
        <f t="shared" ca="1" si="223"/>
        <v>46001</v>
      </c>
      <c r="B2814" s="80">
        <f t="shared" ca="1" si="224"/>
        <v>46001.468048842595</v>
      </c>
      <c r="C2814" s="76" t="s">
        <v>475</v>
      </c>
      <c r="D2814" s="76" t="s">
        <v>902</v>
      </c>
      <c r="E2814" s="79" t="s">
        <v>2214</v>
      </c>
      <c r="F2814" s="79"/>
    </row>
    <row r="2815" spans="1:7">
      <c r="A2815" s="77">
        <f t="shared" ca="1" si="223"/>
        <v>46001</v>
      </c>
      <c r="B2815" s="80">
        <f t="shared" ca="1" si="224"/>
        <v>46001.544869560188</v>
      </c>
      <c r="C2815" s="76" t="s">
        <v>475</v>
      </c>
      <c r="D2815" s="210" t="s">
        <v>922</v>
      </c>
      <c r="E2815" s="79"/>
      <c r="F2815" s="79"/>
    </row>
    <row r="2816" spans="1:7">
      <c r="A2816" s="77">
        <f t="shared" ca="1" si="223"/>
        <v>46001</v>
      </c>
      <c r="B2816" s="80">
        <f t="shared" ca="1" si="224"/>
        <v>46001.590432523146</v>
      </c>
      <c r="C2816" s="76" t="s">
        <v>475</v>
      </c>
      <c r="D2816" s="210" t="s">
        <v>1098</v>
      </c>
      <c r="E2816" s="79"/>
      <c r="F2816" s="79"/>
    </row>
    <row r="2817" spans="1:7">
      <c r="A2817" s="77">
        <f t="shared" ca="1" si="223"/>
        <v>46001</v>
      </c>
      <c r="B2817" s="80">
        <v>46001.605740740742</v>
      </c>
      <c r="C2817" s="76" t="s">
        <v>479</v>
      </c>
      <c r="D2817" s="210" t="s">
        <v>906</v>
      </c>
      <c r="E2817" s="79"/>
      <c r="F2817" s="79"/>
    </row>
    <row r="2818" spans="1:7">
      <c r="A2818" s="77">
        <f t="shared" ca="1" si="223"/>
        <v>46001</v>
      </c>
      <c r="B2818" s="80">
        <f t="shared" ca="1" si="224"/>
        <v>46001.674347569446</v>
      </c>
      <c r="C2818" s="76" t="s">
        <v>479</v>
      </c>
      <c r="D2818" s="210" t="s">
        <v>909</v>
      </c>
      <c r="E2818" s="79"/>
      <c r="F2818" s="79"/>
      <c r="G2818" s="90" t="s">
        <v>2215</v>
      </c>
    </row>
    <row r="2819" spans="1:7">
      <c r="A2819" s="77">
        <f t="shared" ca="1" si="223"/>
        <v>46001</v>
      </c>
      <c r="B2819" s="80">
        <f t="shared" ca="1" si="224"/>
        <v>46001.702788541668</v>
      </c>
      <c r="C2819" s="76" t="s">
        <v>479</v>
      </c>
      <c r="D2819" s="76" t="s">
        <v>902</v>
      </c>
      <c r="E2819" s="79" t="s">
        <v>1555</v>
      </c>
      <c r="F2819" s="79"/>
    </row>
    <row r="2820" spans="1:7">
      <c r="A2820" s="77">
        <f t="shared" ca="1" si="223"/>
        <v>46001</v>
      </c>
      <c r="B2820" s="80">
        <v>46001.709953703707</v>
      </c>
      <c r="C2820" s="29" t="s">
        <v>479</v>
      </c>
      <c r="D2820" s="150" t="s">
        <v>1007</v>
      </c>
      <c r="E2820" s="79" t="s">
        <v>2216</v>
      </c>
      <c r="F2820" s="79"/>
    </row>
    <row r="2821" spans="1:7">
      <c r="A2821" s="77">
        <f t="shared" ca="1" si="223"/>
        <v>46001</v>
      </c>
      <c r="B2821" s="80">
        <f t="shared" ca="1" si="224"/>
        <v>46001.795791087963</v>
      </c>
      <c r="C2821" s="29" t="s">
        <v>479</v>
      </c>
      <c r="D2821" s="76" t="s">
        <v>902</v>
      </c>
      <c r="E2821" s="51" t="s">
        <v>2052</v>
      </c>
      <c r="F2821" s="79"/>
    </row>
    <row r="2822" spans="1:7">
      <c r="A2822" s="77">
        <f t="shared" ca="1" si="223"/>
        <v>46001</v>
      </c>
      <c r="B2822" s="80">
        <f t="shared" ca="1" si="224"/>
        <v>46001.810217361111</v>
      </c>
      <c r="C2822" s="29" t="s">
        <v>479</v>
      </c>
      <c r="D2822" s="76" t="s">
        <v>902</v>
      </c>
      <c r="E2822" s="79" t="s">
        <v>1229</v>
      </c>
      <c r="F2822" s="79"/>
    </row>
    <row r="2823" spans="1:7">
      <c r="A2823" s="77">
        <f t="shared" ca="1" si="223"/>
        <v>46001</v>
      </c>
      <c r="B2823" s="80">
        <f t="shared" ca="1" si="224"/>
        <v>46001.827410879632</v>
      </c>
      <c r="C2823" s="29" t="s">
        <v>479</v>
      </c>
      <c r="D2823" s="76" t="s">
        <v>902</v>
      </c>
      <c r="E2823" s="79" t="s">
        <v>1555</v>
      </c>
      <c r="F2823" s="79"/>
    </row>
    <row r="2824" spans="1:7">
      <c r="A2824" s="77">
        <f t="shared" ca="1" si="223"/>
        <v>46001</v>
      </c>
      <c r="B2824" s="80">
        <f t="shared" ca="1" si="224"/>
        <v>46001.83670266204</v>
      </c>
      <c r="C2824" s="29" t="s">
        <v>479</v>
      </c>
      <c r="D2824" s="150" t="s">
        <v>1007</v>
      </c>
      <c r="E2824" s="79" t="s">
        <v>2217</v>
      </c>
      <c r="F2824" s="79"/>
    </row>
    <row r="2825" spans="1:7">
      <c r="A2825" s="77">
        <f t="shared" ca="1" si="223"/>
        <v>46001</v>
      </c>
      <c r="B2825" s="80">
        <f t="shared" ca="1" si="224"/>
        <v>46001.856056249999</v>
      </c>
      <c r="C2825" s="29" t="s">
        <v>479</v>
      </c>
      <c r="D2825" s="76" t="s">
        <v>902</v>
      </c>
      <c r="E2825" s="79" t="s">
        <v>2218</v>
      </c>
      <c r="F2825" s="79"/>
    </row>
    <row r="2826" spans="1:7">
      <c r="A2826" s="77">
        <f t="shared" ca="1" si="223"/>
        <v>46001</v>
      </c>
      <c r="B2826" s="80">
        <f t="shared" ca="1" si="224"/>
        <v>46001.880829513888</v>
      </c>
      <c r="C2826" s="29" t="s">
        <v>479</v>
      </c>
      <c r="D2826" s="76" t="s">
        <v>902</v>
      </c>
      <c r="E2826" s="79" t="s">
        <v>2219</v>
      </c>
      <c r="F2826" s="79"/>
    </row>
    <row r="2827" spans="1:7">
      <c r="A2827" s="77">
        <f t="shared" ca="1" si="223"/>
        <v>46002</v>
      </c>
      <c r="B2827" s="80">
        <f t="shared" ca="1" si="224"/>
        <v>46002.03416145833</v>
      </c>
      <c r="C2827" s="29" t="s">
        <v>479</v>
      </c>
      <c r="D2827" s="76" t="s">
        <v>902</v>
      </c>
      <c r="E2827" s="79" t="s">
        <v>2220</v>
      </c>
      <c r="F2827" s="79"/>
    </row>
    <row r="2828" spans="1:7">
      <c r="A2828" s="77">
        <f t="shared" ca="1" si="223"/>
        <v>46002</v>
      </c>
      <c r="B2828" s="80">
        <f t="shared" ca="1" si="224"/>
        <v>46002.040735763891</v>
      </c>
      <c r="C2828" s="29" t="s">
        <v>479</v>
      </c>
      <c r="D2828" s="76" t="s">
        <v>902</v>
      </c>
      <c r="E2828" s="79" t="s">
        <v>2221</v>
      </c>
      <c r="F2828" s="79"/>
    </row>
    <row r="2829" spans="1:7">
      <c r="A2829" s="77">
        <f t="shared" ca="1" si="223"/>
        <v>46002</v>
      </c>
      <c r="B2829" s="80">
        <f t="shared" ca="1" si="224"/>
        <v>46002.072402893522</v>
      </c>
      <c r="C2829" s="29" t="s">
        <v>479</v>
      </c>
      <c r="D2829" s="76" t="s">
        <v>902</v>
      </c>
      <c r="E2829" s="79" t="s">
        <v>2217</v>
      </c>
      <c r="F2829" s="79"/>
    </row>
    <row r="2830" spans="1:7">
      <c r="A2830" s="77">
        <f t="shared" ca="1" si="223"/>
        <v>46002</v>
      </c>
      <c r="B2830" s="80">
        <f t="shared" ca="1" si="224"/>
        <v>46002.105264930557</v>
      </c>
      <c r="C2830" s="29" t="s">
        <v>479</v>
      </c>
      <c r="D2830" s="76" t="s">
        <v>902</v>
      </c>
      <c r="E2830" s="29" t="s">
        <v>2219</v>
      </c>
      <c r="F2830" s="79"/>
    </row>
    <row r="2831" spans="1:7">
      <c r="A2831" s="77">
        <f t="shared" ca="1" si="223"/>
        <v>46002</v>
      </c>
      <c r="B2831" s="80">
        <f t="shared" ca="1" si="224"/>
        <v>46002.115737962966</v>
      </c>
      <c r="C2831" s="29" t="s">
        <v>479</v>
      </c>
      <c r="D2831" s="150" t="s">
        <v>1007</v>
      </c>
      <c r="E2831" s="29" t="s">
        <v>2219</v>
      </c>
      <c r="F2831" s="79"/>
    </row>
    <row r="2832" spans="1:7">
      <c r="A2832" s="77">
        <f ca="1">IF(C2832&lt;&gt;0,IF(A2832=0,TODAY(),A2832),)</f>
        <v>46002</v>
      </c>
      <c r="B2832" s="80">
        <f ca="1">IF(C2832&lt;&gt;0,IF(B2832=0,NOW(),B2832),)</f>
        <v>46002.116271874998</v>
      </c>
      <c r="C2832" s="29" t="s">
        <v>479</v>
      </c>
      <c r="D2832" s="76" t="s">
        <v>902</v>
      </c>
      <c r="E2832" s="29" t="s">
        <v>2219</v>
      </c>
      <c r="F2832" s="79"/>
    </row>
    <row r="2833" spans="1:6">
      <c r="A2833" s="77">
        <f ca="1">IF(C2833&lt;&gt;0,IF(A2833=0,TODAY(),A2833),)</f>
        <v>46002</v>
      </c>
      <c r="B2833" s="80">
        <f ca="1">IF(C2833&lt;&gt;0,IF(B2833=0,NOW(),B2833),)</f>
        <v>46002.15839675926</v>
      </c>
      <c r="C2833" s="29" t="s">
        <v>479</v>
      </c>
      <c r="D2833" s="210" t="s">
        <v>922</v>
      </c>
      <c r="E2833" s="79"/>
      <c r="F2833" s="79"/>
    </row>
    <row r="2834" spans="1:6">
      <c r="A2834" s="77">
        <f t="shared" ca="1" si="223"/>
        <v>46002</v>
      </c>
      <c r="B2834" s="80">
        <f t="shared" ca="1" si="224"/>
        <v>46002.202890972221</v>
      </c>
      <c r="C2834" s="29" t="s">
        <v>479</v>
      </c>
      <c r="D2834" s="210" t="s">
        <v>1098</v>
      </c>
      <c r="E2834" s="79"/>
      <c r="F2834" s="79"/>
    </row>
    <row r="2835" spans="1:6">
      <c r="A2835" s="77">
        <f t="shared" ca="1" si="223"/>
        <v>46002</v>
      </c>
      <c r="B2835" s="80">
        <f t="shared" ca="1" si="224"/>
        <v>46002.249310416664</v>
      </c>
      <c r="C2835" s="76" t="s">
        <v>484</v>
      </c>
      <c r="D2835" s="210" t="s">
        <v>906</v>
      </c>
      <c r="E2835" s="79"/>
      <c r="F2835" s="79"/>
    </row>
    <row r="2836" spans="1:6">
      <c r="A2836" s="77">
        <f t="shared" ca="1" si="223"/>
        <v>46002</v>
      </c>
      <c r="B2836" s="80">
        <f t="shared" ca="1" si="224"/>
        <v>46002.314092708337</v>
      </c>
      <c r="C2836" s="76" t="s">
        <v>484</v>
      </c>
      <c r="D2836" s="210" t="s">
        <v>909</v>
      </c>
      <c r="E2836" s="79"/>
      <c r="F2836" s="79"/>
    </row>
    <row r="2837" spans="1:6">
      <c r="A2837" s="77">
        <f t="shared" ca="1" si="223"/>
        <v>46002</v>
      </c>
      <c r="B2837" s="80">
        <f t="shared" ca="1" si="224"/>
        <v>46002.356992013891</v>
      </c>
      <c r="C2837" s="76" t="s">
        <v>484</v>
      </c>
      <c r="D2837" s="210" t="s">
        <v>922</v>
      </c>
      <c r="E2837" s="79"/>
      <c r="F2837" s="79"/>
    </row>
    <row r="2838" spans="1:6">
      <c r="A2838" s="77">
        <f t="shared" ref="A2838:A2869" ca="1" si="225">IF(C2838&lt;&gt;0,IF(A2838=0,TODAY(),A2838),)</f>
        <v>46002</v>
      </c>
      <c r="B2838" s="80">
        <f t="shared" ref="B2838:B2869" ca="1" si="226">IF(C2838&lt;&gt;0,IF(B2838=0,NOW(),B2838),)</f>
        <v>46002.402176157404</v>
      </c>
      <c r="C2838" s="76" t="s">
        <v>484</v>
      </c>
      <c r="D2838" s="210" t="s">
        <v>1098</v>
      </c>
      <c r="E2838" s="79"/>
      <c r="F2838" s="79"/>
    </row>
    <row r="2839" spans="1:6">
      <c r="A2839" s="77">
        <f t="shared" ca="1" si="225"/>
        <v>46002</v>
      </c>
      <c r="B2839" s="80">
        <f t="shared" ca="1" si="226"/>
        <v>46002.46120474537</v>
      </c>
      <c r="C2839" s="76" t="s">
        <v>489</v>
      </c>
      <c r="D2839" s="210" t="s">
        <v>906</v>
      </c>
      <c r="E2839" s="79"/>
      <c r="F2839" s="79"/>
    </row>
    <row r="2840" spans="1:6">
      <c r="A2840" s="77">
        <f t="shared" ca="1" si="225"/>
        <v>46002</v>
      </c>
      <c r="B2840" s="80">
        <f t="shared" ca="1" si="226"/>
        <v>46002.536024652778</v>
      </c>
      <c r="C2840" s="76" t="s">
        <v>489</v>
      </c>
      <c r="D2840" s="210" t="s">
        <v>909</v>
      </c>
      <c r="E2840" s="79"/>
      <c r="F2840" s="79"/>
    </row>
    <row r="2841" spans="1:6">
      <c r="A2841" s="77">
        <f t="shared" ca="1" si="225"/>
        <v>46002</v>
      </c>
      <c r="B2841" s="80">
        <f t="shared" ca="1" si="226"/>
        <v>46002.558883564816</v>
      </c>
      <c r="C2841" s="76" t="s">
        <v>489</v>
      </c>
      <c r="D2841" s="76" t="s">
        <v>902</v>
      </c>
      <c r="E2841" s="79" t="s">
        <v>2222</v>
      </c>
      <c r="F2841" s="79"/>
    </row>
    <row r="2842" spans="1:6">
      <c r="A2842" s="77">
        <f t="shared" ca="1" si="225"/>
        <v>46002</v>
      </c>
      <c r="B2842" s="80">
        <f t="shared" ca="1" si="226"/>
        <v>46002.571081944443</v>
      </c>
      <c r="C2842" s="76" t="s">
        <v>489</v>
      </c>
      <c r="D2842" s="76" t="s">
        <v>902</v>
      </c>
      <c r="E2842" s="79" t="s">
        <v>2052</v>
      </c>
      <c r="F2842" s="79"/>
    </row>
    <row r="2843" spans="1:6">
      <c r="A2843" s="77">
        <f t="shared" ca="1" si="225"/>
        <v>46002</v>
      </c>
      <c r="B2843" s="80">
        <f t="shared" ca="1" si="226"/>
        <v>46002.572269212964</v>
      </c>
      <c r="C2843" s="76" t="s">
        <v>489</v>
      </c>
      <c r="D2843" s="76" t="s">
        <v>902</v>
      </c>
      <c r="E2843" s="79" t="s">
        <v>2000</v>
      </c>
      <c r="F2843" s="79"/>
    </row>
    <row r="2844" spans="1:6">
      <c r="A2844" s="77">
        <f t="shared" ca="1" si="225"/>
        <v>46002</v>
      </c>
      <c r="B2844" s="80">
        <f t="shared" ca="1" si="226"/>
        <v>46002.584000925926</v>
      </c>
      <c r="C2844" s="76" t="s">
        <v>489</v>
      </c>
      <c r="D2844" s="76" t="s">
        <v>902</v>
      </c>
      <c r="E2844" s="79" t="s">
        <v>2181</v>
      </c>
      <c r="F2844" s="79"/>
    </row>
    <row r="2845" spans="1:6">
      <c r="A2845" s="77">
        <f t="shared" ca="1" si="225"/>
        <v>46002</v>
      </c>
      <c r="B2845" s="80">
        <f t="shared" ca="1" si="226"/>
        <v>46002.594873263886</v>
      </c>
      <c r="C2845" s="76" t="s">
        <v>489</v>
      </c>
      <c r="D2845" s="76" t="s">
        <v>902</v>
      </c>
      <c r="E2845" s="79" t="s">
        <v>2223</v>
      </c>
      <c r="F2845" s="79"/>
    </row>
    <row r="2846" spans="1:6">
      <c r="A2846" s="77">
        <f t="shared" ca="1" si="225"/>
        <v>46002</v>
      </c>
      <c r="B2846" s="80">
        <f t="shared" ca="1" si="226"/>
        <v>46002.59623761574</v>
      </c>
      <c r="C2846" s="76" t="s">
        <v>489</v>
      </c>
      <c r="D2846" s="210" t="s">
        <v>922</v>
      </c>
      <c r="E2846" s="79"/>
      <c r="F2846" s="79"/>
    </row>
    <row r="2847" spans="1:6">
      <c r="A2847" s="77">
        <f t="shared" ca="1" si="225"/>
        <v>46002</v>
      </c>
      <c r="B2847" s="80">
        <f t="shared" ca="1" si="226"/>
        <v>46002.647319097225</v>
      </c>
      <c r="C2847" s="76" t="s">
        <v>489</v>
      </c>
      <c r="D2847" s="210" t="s">
        <v>1098</v>
      </c>
      <c r="E2847" s="79" t="s">
        <v>2224</v>
      </c>
      <c r="F2847" s="79"/>
    </row>
    <row r="2848" spans="1:6">
      <c r="A2848" s="77">
        <f t="shared" ca="1" si="225"/>
        <v>46002</v>
      </c>
      <c r="B2848" s="80">
        <f t="shared" ca="1" si="226"/>
        <v>46002.679908796294</v>
      </c>
      <c r="C2848" s="76" t="s">
        <v>489</v>
      </c>
      <c r="D2848" s="210" t="s">
        <v>906</v>
      </c>
      <c r="E2848" s="79"/>
      <c r="F2848" s="79"/>
    </row>
    <row r="2849" spans="1:7">
      <c r="A2849" s="77">
        <f t="shared" ca="1" si="225"/>
        <v>46002</v>
      </c>
      <c r="B2849" s="80">
        <f t="shared" ca="1" si="226"/>
        <v>46002.747041782408</v>
      </c>
      <c r="C2849" s="76" t="s">
        <v>489</v>
      </c>
      <c r="D2849" s="210" t="s">
        <v>909</v>
      </c>
      <c r="E2849" s="79"/>
      <c r="F2849" s="79"/>
    </row>
    <row r="2850" spans="1:7">
      <c r="A2850" s="77">
        <f t="shared" ca="1" si="225"/>
        <v>46002</v>
      </c>
      <c r="B2850" s="80">
        <f t="shared" ca="1" si="226"/>
        <v>46002.767623842592</v>
      </c>
      <c r="C2850" s="29" t="s">
        <v>489</v>
      </c>
      <c r="D2850" s="76" t="s">
        <v>902</v>
      </c>
      <c r="E2850" s="79" t="s">
        <v>2052</v>
      </c>
      <c r="F2850" s="79"/>
    </row>
    <row r="2851" spans="1:7">
      <c r="A2851" s="77">
        <f t="shared" ca="1" si="225"/>
        <v>46002</v>
      </c>
      <c r="B2851" s="80">
        <f t="shared" ca="1" si="226"/>
        <v>46002.801245023147</v>
      </c>
      <c r="C2851" s="29" t="s">
        <v>489</v>
      </c>
      <c r="D2851" s="76" t="s">
        <v>902</v>
      </c>
      <c r="E2851" s="79" t="s">
        <v>2225</v>
      </c>
      <c r="F2851" s="79"/>
    </row>
    <row r="2852" spans="1:7">
      <c r="A2852" s="77">
        <f t="shared" ca="1" si="225"/>
        <v>46002</v>
      </c>
      <c r="B2852" s="80">
        <f t="shared" ca="1" si="226"/>
        <v>46002.806105671298</v>
      </c>
      <c r="C2852" s="29" t="s">
        <v>489</v>
      </c>
      <c r="D2852" s="76" t="s">
        <v>902</v>
      </c>
      <c r="E2852" s="79" t="s">
        <v>2226</v>
      </c>
      <c r="F2852" s="79"/>
    </row>
    <row r="2853" spans="1:7">
      <c r="A2853" s="77">
        <f t="shared" ca="1" si="225"/>
        <v>46002</v>
      </c>
      <c r="B2853" s="80">
        <f t="shared" ca="1" si="226"/>
        <v>46002.809162268517</v>
      </c>
      <c r="C2853" s="76" t="s">
        <v>489</v>
      </c>
      <c r="D2853" s="76" t="s">
        <v>902</v>
      </c>
      <c r="E2853" s="29" t="s">
        <v>2226</v>
      </c>
      <c r="F2853" s="79"/>
    </row>
    <row r="2854" spans="1:7">
      <c r="A2854" s="77">
        <f t="shared" ca="1" si="225"/>
        <v>46002</v>
      </c>
      <c r="B2854" s="80">
        <f t="shared" ca="1" si="226"/>
        <v>46002.813211111112</v>
      </c>
      <c r="C2854" s="29" t="s">
        <v>489</v>
      </c>
      <c r="D2854" s="210" t="s">
        <v>922</v>
      </c>
      <c r="E2854" s="79"/>
      <c r="F2854" s="79"/>
      <c r="G2854" s="76" t="s">
        <v>2227</v>
      </c>
    </row>
    <row r="2855" spans="1:7">
      <c r="A2855" s="77">
        <f t="shared" ca="1" si="225"/>
        <v>46002</v>
      </c>
      <c r="B2855" s="80">
        <f t="shared" ca="1" si="226"/>
        <v>46002.875532407408</v>
      </c>
      <c r="C2855" s="29" t="s">
        <v>489</v>
      </c>
      <c r="D2855" s="210" t="s">
        <v>1098</v>
      </c>
      <c r="E2855" s="79"/>
      <c r="F2855" s="79"/>
    </row>
    <row r="2856" spans="1:7">
      <c r="A2856" s="77">
        <f t="shared" ca="1" si="225"/>
        <v>46002</v>
      </c>
      <c r="B2856" s="80">
        <f t="shared" ca="1" si="226"/>
        <v>46002.961292129628</v>
      </c>
      <c r="C2856" s="29" t="s">
        <v>495</v>
      </c>
      <c r="D2856" s="210" t="s">
        <v>906</v>
      </c>
      <c r="E2856" s="79"/>
      <c r="F2856" s="79"/>
    </row>
    <row r="2857" spans="1:7">
      <c r="A2857" s="77">
        <f t="shared" ca="1" si="225"/>
        <v>46003</v>
      </c>
      <c r="B2857" s="80">
        <f t="shared" ca="1" si="226"/>
        <v>46003.026351273147</v>
      </c>
      <c r="C2857" s="29" t="s">
        <v>495</v>
      </c>
      <c r="D2857" s="210" t="s">
        <v>909</v>
      </c>
      <c r="E2857" s="79"/>
      <c r="F2857" s="79"/>
    </row>
    <row r="2858" spans="1:7">
      <c r="A2858" s="77">
        <f t="shared" ca="1" si="225"/>
        <v>46003</v>
      </c>
      <c r="B2858" s="80">
        <f t="shared" ca="1" si="226"/>
        <v>46003.032730208331</v>
      </c>
      <c r="C2858" s="29" t="s">
        <v>495</v>
      </c>
      <c r="D2858" s="150" t="s">
        <v>1070</v>
      </c>
      <c r="E2858" s="79"/>
      <c r="F2858" s="79"/>
      <c r="G2858" s="76" t="s">
        <v>2228</v>
      </c>
    </row>
    <row r="2859" spans="1:7">
      <c r="A2859" s="77">
        <f t="shared" ca="1" si="225"/>
        <v>46003</v>
      </c>
      <c r="B2859" s="80">
        <f t="shared" ca="1" si="226"/>
        <v>46003.040208101855</v>
      </c>
      <c r="C2859" s="29" t="s">
        <v>495</v>
      </c>
      <c r="D2859" s="76" t="s">
        <v>902</v>
      </c>
      <c r="E2859" s="79" t="s">
        <v>1424</v>
      </c>
      <c r="F2859" s="79"/>
    </row>
    <row r="2860" spans="1:7">
      <c r="A2860" s="77">
        <f t="shared" ca="1" si="225"/>
        <v>46003</v>
      </c>
      <c r="B2860" s="80">
        <f t="shared" ca="1" si="226"/>
        <v>46003.045175115738</v>
      </c>
      <c r="C2860" s="29" t="s">
        <v>495</v>
      </c>
      <c r="D2860" s="76" t="s">
        <v>902</v>
      </c>
      <c r="E2860" s="79" t="s">
        <v>2000</v>
      </c>
      <c r="F2860" s="79"/>
    </row>
    <row r="2861" spans="1:7">
      <c r="A2861" s="77">
        <f t="shared" ca="1" si="225"/>
        <v>46003</v>
      </c>
      <c r="B2861" s="80">
        <f t="shared" ca="1" si="226"/>
        <v>46003.047916435185</v>
      </c>
      <c r="C2861" s="29" t="s">
        <v>495</v>
      </c>
      <c r="D2861" s="76" t="s">
        <v>902</v>
      </c>
      <c r="E2861" s="29" t="s">
        <v>2226</v>
      </c>
      <c r="F2861" s="79"/>
    </row>
    <row r="2862" spans="1:7">
      <c r="A2862" s="77">
        <f t="shared" ca="1" si="225"/>
        <v>46003</v>
      </c>
      <c r="B2862" s="80">
        <f t="shared" ca="1" si="226"/>
        <v>46003.054648611112</v>
      </c>
      <c r="C2862" s="29" t="s">
        <v>495</v>
      </c>
      <c r="D2862" s="76" t="s">
        <v>902</v>
      </c>
      <c r="E2862" s="29" t="s">
        <v>2052</v>
      </c>
      <c r="F2862" s="79"/>
    </row>
    <row r="2863" spans="1:7">
      <c r="A2863" s="77">
        <f t="shared" ca="1" si="225"/>
        <v>46003</v>
      </c>
      <c r="B2863" s="80">
        <f t="shared" ca="1" si="226"/>
        <v>46003.060774421298</v>
      </c>
      <c r="C2863" s="29" t="s">
        <v>495</v>
      </c>
      <c r="D2863" s="76" t="s">
        <v>902</v>
      </c>
      <c r="E2863" s="29" t="s">
        <v>2229</v>
      </c>
      <c r="F2863" s="79"/>
    </row>
    <row r="2864" spans="1:7">
      <c r="A2864" s="77">
        <f t="shared" ca="1" si="225"/>
        <v>46003</v>
      </c>
      <c r="B2864" s="80">
        <f t="shared" ca="1" si="226"/>
        <v>46003.062818749997</v>
      </c>
      <c r="C2864" s="29" t="s">
        <v>495</v>
      </c>
      <c r="D2864" s="76" t="s">
        <v>902</v>
      </c>
      <c r="E2864" s="79" t="s">
        <v>2230</v>
      </c>
      <c r="F2864" s="79"/>
    </row>
    <row r="2865" spans="1:7">
      <c r="A2865" s="77">
        <f t="shared" ca="1" si="225"/>
        <v>46003</v>
      </c>
      <c r="B2865" s="80">
        <f t="shared" ca="1" si="226"/>
        <v>46003.064634374998</v>
      </c>
      <c r="C2865" s="29" t="s">
        <v>495</v>
      </c>
      <c r="D2865" s="76" t="s">
        <v>902</v>
      </c>
      <c r="E2865" s="29" t="s">
        <v>2229</v>
      </c>
      <c r="F2865" s="79"/>
    </row>
    <row r="2866" spans="1:7">
      <c r="A2866" s="77">
        <f t="shared" ca="1" si="225"/>
        <v>46003</v>
      </c>
      <c r="B2866" s="80">
        <f t="shared" ca="1" si="226"/>
        <v>46003.065156365737</v>
      </c>
      <c r="C2866" s="29" t="s">
        <v>495</v>
      </c>
      <c r="D2866" s="76" t="s">
        <v>902</v>
      </c>
      <c r="E2866" s="79" t="s">
        <v>2231</v>
      </c>
      <c r="F2866" s="79"/>
    </row>
    <row r="2867" spans="1:7">
      <c r="A2867" s="77">
        <f t="shared" ca="1" si="225"/>
        <v>46003</v>
      </c>
      <c r="B2867" s="80">
        <f t="shared" ca="1" si="226"/>
        <v>46003.065385532405</v>
      </c>
      <c r="C2867" s="29" t="s">
        <v>495</v>
      </c>
      <c r="D2867" s="76" t="s">
        <v>902</v>
      </c>
      <c r="E2867" s="79" t="s">
        <v>2231</v>
      </c>
      <c r="F2867" s="79"/>
    </row>
    <row r="2868" spans="1:7">
      <c r="A2868" s="77">
        <f t="shared" ca="1" si="225"/>
        <v>46003</v>
      </c>
      <c r="B2868" s="80">
        <f t="shared" ca="1" si="226"/>
        <v>46003.085434837965</v>
      </c>
      <c r="C2868" s="29" t="s">
        <v>495</v>
      </c>
      <c r="D2868" s="76" t="s">
        <v>902</v>
      </c>
      <c r="E2868" s="29"/>
      <c r="F2868" s="79"/>
      <c r="G2868" s="76" t="s">
        <v>2232</v>
      </c>
    </row>
    <row r="2869" spans="1:7">
      <c r="A2869" s="77">
        <f t="shared" ca="1" si="225"/>
        <v>46003</v>
      </c>
      <c r="B2869" s="80">
        <f t="shared" ca="1" si="226"/>
        <v>46003.087648842593</v>
      </c>
      <c r="C2869" s="29" t="s">
        <v>495</v>
      </c>
      <c r="D2869" s="76" t="s">
        <v>902</v>
      </c>
      <c r="E2869" s="29" t="s">
        <v>2052</v>
      </c>
      <c r="F2869" s="79"/>
    </row>
    <row r="2870" spans="1:7">
      <c r="A2870" s="77">
        <f t="shared" ref="A2870:A2900" ca="1" si="227">IF(C2870&lt;&gt;0,IF(A2870=0,TODAY(),A2870),)</f>
        <v>46003</v>
      </c>
      <c r="B2870" s="80">
        <f t="shared" ref="B2870:B2900" ca="1" si="228">IF(C2870&lt;&gt;0,IF(B2870=0,NOW(),B2870),)</f>
        <v>46003.0890462963</v>
      </c>
      <c r="C2870" s="29" t="s">
        <v>495</v>
      </c>
      <c r="D2870" s="76" t="s">
        <v>902</v>
      </c>
      <c r="E2870" s="29" t="s">
        <v>2052</v>
      </c>
      <c r="F2870" s="79"/>
    </row>
    <row r="2871" spans="1:7">
      <c r="A2871" s="77">
        <f t="shared" ca="1" si="227"/>
        <v>46003</v>
      </c>
      <c r="B2871" s="80">
        <f t="shared" ca="1" si="228"/>
        <v>46003.094378009257</v>
      </c>
      <c r="C2871" s="29" t="s">
        <v>495</v>
      </c>
      <c r="D2871" s="76" t="s">
        <v>902</v>
      </c>
      <c r="E2871" s="79" t="s">
        <v>2233</v>
      </c>
      <c r="F2871" s="79"/>
    </row>
    <row r="2872" spans="1:7">
      <c r="A2872" s="77">
        <f t="shared" ca="1" si="227"/>
        <v>46003</v>
      </c>
      <c r="B2872" s="80">
        <f t="shared" ca="1" si="228"/>
        <v>46003.124040625</v>
      </c>
      <c r="C2872" s="29" t="s">
        <v>495</v>
      </c>
      <c r="D2872" s="76" t="s">
        <v>902</v>
      </c>
      <c r="E2872" s="29" t="s">
        <v>2052</v>
      </c>
      <c r="F2872" s="79"/>
    </row>
    <row r="2873" spans="1:7">
      <c r="A2873" s="77">
        <f t="shared" ca="1" si="227"/>
        <v>46003</v>
      </c>
      <c r="B2873" s="80">
        <f t="shared" ca="1" si="228"/>
        <v>46003.130570601854</v>
      </c>
      <c r="C2873" s="29" t="s">
        <v>495</v>
      </c>
      <c r="D2873" s="76" t="s">
        <v>902</v>
      </c>
      <c r="E2873" s="29" t="s">
        <v>2052</v>
      </c>
      <c r="F2873" s="79"/>
    </row>
    <row r="2874" spans="1:7">
      <c r="A2874" s="77">
        <f t="shared" ca="1" si="227"/>
        <v>46003</v>
      </c>
      <c r="B2874" s="80">
        <f t="shared" ca="1" si="228"/>
        <v>46003.13500451389</v>
      </c>
      <c r="C2874" s="29" t="s">
        <v>495</v>
      </c>
      <c r="D2874" s="76" t="s">
        <v>902</v>
      </c>
      <c r="E2874" s="29" t="s">
        <v>2052</v>
      </c>
      <c r="F2874" s="79"/>
    </row>
    <row r="2875" spans="1:7">
      <c r="A2875" s="77">
        <f t="shared" ca="1" si="227"/>
        <v>46003</v>
      </c>
      <c r="B2875" s="80">
        <f t="shared" ca="1" si="228"/>
        <v>46003.135382870372</v>
      </c>
      <c r="C2875" s="29" t="s">
        <v>495</v>
      </c>
      <c r="D2875" s="76" t="s">
        <v>902</v>
      </c>
      <c r="E2875" s="29" t="s">
        <v>2052</v>
      </c>
      <c r="F2875" s="79"/>
    </row>
    <row r="2876" spans="1:7">
      <c r="A2876" s="77">
        <f t="shared" ca="1" si="227"/>
        <v>46003</v>
      </c>
      <c r="B2876" s="80">
        <f t="shared" ca="1" si="228"/>
        <v>46003.13739236111</v>
      </c>
      <c r="C2876" s="29" t="s">
        <v>495</v>
      </c>
      <c r="D2876" s="210" t="s">
        <v>922</v>
      </c>
      <c r="E2876" s="79"/>
      <c r="F2876" s="79"/>
      <c r="G2876" s="76" t="s">
        <v>2234</v>
      </c>
    </row>
    <row r="2877" spans="1:7">
      <c r="A2877" s="77">
        <f t="shared" ca="1" si="227"/>
        <v>46003</v>
      </c>
      <c r="B2877" s="80">
        <f t="shared" ca="1" si="228"/>
        <v>46003.193546527778</v>
      </c>
      <c r="C2877" s="29" t="s">
        <v>495</v>
      </c>
      <c r="D2877" s="210" t="s">
        <v>1098</v>
      </c>
      <c r="E2877" s="79"/>
      <c r="F2877" s="79"/>
    </row>
    <row r="2878" spans="1:7">
      <c r="A2878" s="77">
        <f t="shared" ca="1" si="227"/>
        <v>46003</v>
      </c>
      <c r="B2878" s="80">
        <f t="shared" ca="1" si="228"/>
        <v>46003.254476736111</v>
      </c>
      <c r="C2878" s="76" t="s">
        <v>499</v>
      </c>
      <c r="D2878" s="210" t="s">
        <v>906</v>
      </c>
      <c r="E2878" s="79"/>
      <c r="F2878" s="79"/>
    </row>
    <row r="2879" spans="1:7">
      <c r="A2879" s="77">
        <f t="shared" ca="1" si="227"/>
        <v>46003</v>
      </c>
      <c r="B2879" s="80">
        <f t="shared" ca="1" si="228"/>
        <v>46003.315756828706</v>
      </c>
      <c r="C2879" s="76" t="s">
        <v>499</v>
      </c>
      <c r="D2879" s="210" t="s">
        <v>909</v>
      </c>
      <c r="E2879" s="79"/>
      <c r="F2879" s="79"/>
    </row>
    <row r="2880" spans="1:7">
      <c r="A2880" s="77">
        <f t="shared" ca="1" si="227"/>
        <v>46003</v>
      </c>
      <c r="B2880" s="80">
        <f t="shared" ca="1" si="228"/>
        <v>46003.36115636574</v>
      </c>
      <c r="C2880" s="76" t="s">
        <v>499</v>
      </c>
      <c r="D2880" s="76" t="s">
        <v>902</v>
      </c>
      <c r="E2880" s="79" t="s">
        <v>2052</v>
      </c>
      <c r="F2880" s="79"/>
    </row>
    <row r="2881" spans="1:6">
      <c r="A2881" s="77">
        <f t="shared" ca="1" si="227"/>
        <v>46003</v>
      </c>
      <c r="B2881" s="80">
        <f t="shared" ca="1" si="228"/>
        <v>46003.366618749998</v>
      </c>
      <c r="C2881" s="76" t="s">
        <v>499</v>
      </c>
      <c r="D2881" s="76" t="s">
        <v>902</v>
      </c>
      <c r="E2881" s="79" t="s">
        <v>2235</v>
      </c>
      <c r="F2881" s="79"/>
    </row>
    <row r="2882" spans="1:6">
      <c r="A2882" s="77">
        <f t="shared" ca="1" si="227"/>
        <v>46003</v>
      </c>
      <c r="B2882" s="80">
        <f t="shared" ca="1" si="228"/>
        <v>46003.393281944445</v>
      </c>
      <c r="C2882" s="76" t="s">
        <v>499</v>
      </c>
      <c r="D2882" s="150" t="s">
        <v>1007</v>
      </c>
      <c r="E2882" s="79" t="s">
        <v>2236</v>
      </c>
      <c r="F2882" s="79"/>
    </row>
    <row r="2883" spans="1:6">
      <c r="A2883" s="77">
        <f t="shared" ca="1" si="227"/>
        <v>46003</v>
      </c>
      <c r="B2883" s="80">
        <f t="shared" ca="1" si="228"/>
        <v>46003.397654166663</v>
      </c>
      <c r="C2883" s="76" t="s">
        <v>499</v>
      </c>
      <c r="D2883" s="76" t="s">
        <v>902</v>
      </c>
      <c r="E2883" s="79" t="s">
        <v>2235</v>
      </c>
      <c r="F2883" s="79"/>
    </row>
    <row r="2884" spans="1:6">
      <c r="A2884" s="77">
        <f t="shared" ca="1" si="227"/>
        <v>46003</v>
      </c>
      <c r="B2884" s="80">
        <f t="shared" ca="1" si="228"/>
        <v>46003.399096759262</v>
      </c>
      <c r="C2884" s="76" t="s">
        <v>499</v>
      </c>
      <c r="D2884" s="76" t="s">
        <v>902</v>
      </c>
      <c r="E2884" s="79" t="s">
        <v>2237</v>
      </c>
      <c r="F2884" s="79"/>
    </row>
    <row r="2885" spans="1:6">
      <c r="A2885" s="77">
        <f t="shared" ca="1" si="227"/>
        <v>46003</v>
      </c>
      <c r="B2885" s="80">
        <f t="shared" ca="1" si="228"/>
        <v>46003.404354861108</v>
      </c>
      <c r="C2885" s="76" t="s">
        <v>499</v>
      </c>
      <c r="D2885" s="76" t="s">
        <v>902</v>
      </c>
      <c r="E2885" s="79" t="s">
        <v>1555</v>
      </c>
      <c r="F2885" s="79"/>
    </row>
    <row r="2886" spans="1:6">
      <c r="A2886" s="77">
        <f t="shared" ca="1" si="227"/>
        <v>46003</v>
      </c>
      <c r="B2886" s="80">
        <v>46003.40996527778</v>
      </c>
      <c r="C2886" s="76" t="s">
        <v>499</v>
      </c>
      <c r="D2886" s="76" t="s">
        <v>902</v>
      </c>
      <c r="E2886" s="79" t="s">
        <v>2238</v>
      </c>
      <c r="F2886" s="79"/>
    </row>
    <row r="2887" spans="1:6">
      <c r="A2887" s="77">
        <f t="shared" ca="1" si="227"/>
        <v>46003</v>
      </c>
      <c r="B2887" s="80">
        <f t="shared" ca="1" si="228"/>
        <v>46003.446145254631</v>
      </c>
      <c r="C2887" s="76" t="s">
        <v>499</v>
      </c>
      <c r="D2887" s="76" t="s">
        <v>902</v>
      </c>
      <c r="E2887" s="79" t="s">
        <v>2239</v>
      </c>
      <c r="F2887" s="79"/>
    </row>
    <row r="2888" spans="1:6">
      <c r="A2888" s="77">
        <f t="shared" ca="1" si="227"/>
        <v>46003</v>
      </c>
      <c r="B2888" s="80">
        <f t="shared" ca="1" si="228"/>
        <v>46003.464678587959</v>
      </c>
      <c r="C2888" s="76" t="s">
        <v>499</v>
      </c>
      <c r="D2888" s="76" t="s">
        <v>902</v>
      </c>
      <c r="E2888" s="79" t="s">
        <v>2240</v>
      </c>
      <c r="F2888" s="79"/>
    </row>
    <row r="2889" spans="1:6">
      <c r="A2889" s="77">
        <f t="shared" ca="1" si="227"/>
        <v>46003</v>
      </c>
      <c r="B2889" s="80">
        <f t="shared" ca="1" si="228"/>
        <v>46003.487978935183</v>
      </c>
      <c r="C2889" s="76" t="s">
        <v>499</v>
      </c>
      <c r="D2889" s="76" t="s">
        <v>902</v>
      </c>
      <c r="E2889" s="79" t="s">
        <v>2241</v>
      </c>
      <c r="F2889" s="79"/>
    </row>
    <row r="2890" spans="1:6">
      <c r="A2890" s="77">
        <f t="shared" ca="1" si="227"/>
        <v>46003</v>
      </c>
      <c r="B2890" s="80">
        <f t="shared" ca="1" si="228"/>
        <v>46003.51972222222</v>
      </c>
      <c r="C2890" s="76" t="s">
        <v>499</v>
      </c>
      <c r="D2890" s="76" t="s">
        <v>902</v>
      </c>
      <c r="E2890" s="79" t="s">
        <v>2239</v>
      </c>
      <c r="F2890" s="79"/>
    </row>
    <row r="2891" spans="1:6">
      <c r="A2891" s="77">
        <f t="shared" ca="1" si="227"/>
        <v>46003</v>
      </c>
      <c r="B2891" s="80">
        <f t="shared" ca="1" si="228"/>
        <v>46003.522566550928</v>
      </c>
      <c r="C2891" s="76" t="s">
        <v>499</v>
      </c>
      <c r="D2891" s="210" t="s">
        <v>922</v>
      </c>
      <c r="E2891" s="79"/>
      <c r="F2891" s="79"/>
    </row>
    <row r="2892" spans="1:6">
      <c r="A2892" s="77">
        <f t="shared" ca="1" si="227"/>
        <v>46003</v>
      </c>
      <c r="B2892" s="80">
        <f t="shared" ca="1" si="228"/>
        <v>46003.563319444445</v>
      </c>
      <c r="C2892" s="76" t="s">
        <v>499</v>
      </c>
      <c r="D2892" s="210" t="s">
        <v>1098</v>
      </c>
      <c r="E2892" s="79"/>
      <c r="F2892" s="79"/>
    </row>
    <row r="2893" spans="1:6">
      <c r="A2893" s="77">
        <f t="shared" ca="1" si="227"/>
        <v>46003</v>
      </c>
      <c r="B2893" s="80">
        <f t="shared" ca="1" si="228"/>
        <v>46003.612093981479</v>
      </c>
      <c r="C2893" s="76" t="s">
        <v>503</v>
      </c>
      <c r="D2893" s="210" t="s">
        <v>906</v>
      </c>
      <c r="E2893" s="79" t="s">
        <v>2242</v>
      </c>
      <c r="F2893" s="79"/>
    </row>
    <row r="2894" spans="1:6">
      <c r="A2894" s="77">
        <f t="shared" ca="1" si="227"/>
        <v>46003</v>
      </c>
      <c r="B2894" s="80">
        <f t="shared" ca="1" si="228"/>
        <v>46003.617845717592</v>
      </c>
      <c r="C2894" s="76" t="s">
        <v>503</v>
      </c>
      <c r="D2894" s="210" t="s">
        <v>1098</v>
      </c>
      <c r="E2894" s="79"/>
      <c r="F2894" s="79"/>
    </row>
    <row r="2895" spans="1:6">
      <c r="A2895" s="77">
        <f t="shared" ca="1" si="227"/>
        <v>46003</v>
      </c>
      <c r="B2895" s="80">
        <f t="shared" ca="1" si="228"/>
        <v>46003.646872569443</v>
      </c>
      <c r="C2895" s="76" t="s">
        <v>503</v>
      </c>
      <c r="D2895" s="210" t="s">
        <v>906</v>
      </c>
      <c r="E2895" s="79" t="s">
        <v>2242</v>
      </c>
      <c r="F2895" s="79"/>
    </row>
    <row r="2896" spans="1:6">
      <c r="A2896" s="77">
        <f t="shared" ca="1" si="227"/>
        <v>46003</v>
      </c>
      <c r="B2896" s="80">
        <v>46003.663113425922</v>
      </c>
      <c r="C2896" s="76" t="s">
        <v>503</v>
      </c>
      <c r="D2896" s="210" t="s">
        <v>1098</v>
      </c>
      <c r="E2896" s="79"/>
      <c r="F2896" s="79"/>
    </row>
    <row r="2897" spans="1:7">
      <c r="A2897" s="77">
        <f t="shared" ca="1" si="227"/>
        <v>46003</v>
      </c>
      <c r="B2897" s="80">
        <f t="shared" ca="1" si="228"/>
        <v>46003.754982523147</v>
      </c>
      <c r="C2897" s="76" t="s">
        <v>503</v>
      </c>
      <c r="D2897" s="210" t="s">
        <v>906</v>
      </c>
      <c r="E2897" s="79"/>
      <c r="F2897" s="79"/>
    </row>
    <row r="2898" spans="1:7">
      <c r="A2898" s="77">
        <f t="shared" ca="1" si="227"/>
        <v>46003</v>
      </c>
      <c r="B2898" s="80">
        <f t="shared" ca="1" si="228"/>
        <v>46003.825395138891</v>
      </c>
      <c r="C2898" s="29" t="s">
        <v>503</v>
      </c>
      <c r="D2898" s="210" t="s">
        <v>909</v>
      </c>
      <c r="E2898" s="79"/>
      <c r="F2898" s="79"/>
    </row>
    <row r="2899" spans="1:7">
      <c r="A2899" s="77">
        <f t="shared" ca="1" si="227"/>
        <v>46003</v>
      </c>
      <c r="B2899" s="80">
        <f t="shared" ca="1" si="228"/>
        <v>46003.847353124998</v>
      </c>
      <c r="C2899" s="29" t="s">
        <v>503</v>
      </c>
      <c r="D2899" s="76" t="s">
        <v>902</v>
      </c>
      <c r="E2899" s="79" t="s">
        <v>1424</v>
      </c>
      <c r="F2899" s="79"/>
    </row>
    <row r="2900" spans="1:7">
      <c r="A2900" s="77">
        <f t="shared" ca="1" si="227"/>
        <v>46003</v>
      </c>
      <c r="B2900" s="80">
        <f t="shared" ca="1" si="228"/>
        <v>46003.855174305558</v>
      </c>
      <c r="C2900" s="29" t="s">
        <v>503</v>
      </c>
      <c r="D2900" s="76" t="s">
        <v>902</v>
      </c>
      <c r="E2900" s="79" t="s">
        <v>1229</v>
      </c>
      <c r="F2900" s="79"/>
    </row>
    <row r="2901" spans="1:7">
      <c r="A2901" s="77">
        <f t="shared" ref="A2901:A2932" ca="1" si="229">IF(C2901&lt;&gt;0,IF(A2901=0,TODAY(),A2901),)</f>
        <v>46003</v>
      </c>
      <c r="B2901" s="80">
        <f t="shared" ref="B2901:B2932" ca="1" si="230">IF(C2901&lt;&gt;0,IF(B2901=0,NOW(),B2901),)</f>
        <v>46003.858623958331</v>
      </c>
      <c r="C2901" s="29" t="s">
        <v>503</v>
      </c>
      <c r="D2901" s="76" t="s">
        <v>902</v>
      </c>
      <c r="E2901" s="79" t="s">
        <v>2243</v>
      </c>
      <c r="F2901" s="79"/>
    </row>
    <row r="2902" spans="1:7">
      <c r="A2902" s="77">
        <f t="shared" ca="1" si="229"/>
        <v>46003</v>
      </c>
      <c r="B2902" s="80">
        <f t="shared" ca="1" si="230"/>
        <v>46003.871574074074</v>
      </c>
      <c r="C2902" s="29" t="s">
        <v>503</v>
      </c>
      <c r="D2902" s="76" t="s">
        <v>902</v>
      </c>
      <c r="E2902" s="79"/>
      <c r="F2902" s="79"/>
      <c r="G2902" s="76" t="s">
        <v>2244</v>
      </c>
    </row>
    <row r="2903" spans="1:7">
      <c r="A2903" s="77">
        <f t="shared" ca="1" si="229"/>
        <v>46003</v>
      </c>
      <c r="B2903" s="80">
        <f t="shared" ca="1" si="230"/>
        <v>46003.878558796299</v>
      </c>
      <c r="C2903" s="29" t="s">
        <v>503</v>
      </c>
      <c r="D2903" s="76" t="s">
        <v>902</v>
      </c>
      <c r="E2903" s="79" t="s">
        <v>2245</v>
      </c>
      <c r="F2903" s="79"/>
    </row>
    <row r="2904" spans="1:7">
      <c r="A2904" s="77">
        <f t="shared" ca="1" si="229"/>
        <v>46003</v>
      </c>
      <c r="B2904" s="80">
        <f t="shared" ca="1" si="230"/>
        <v>46003.882269444446</v>
      </c>
      <c r="C2904" s="29" t="s">
        <v>503</v>
      </c>
      <c r="D2904" s="76" t="s">
        <v>902</v>
      </c>
      <c r="E2904" s="29" t="s">
        <v>1229</v>
      </c>
      <c r="F2904" s="79"/>
    </row>
    <row r="2905" spans="1:7">
      <c r="A2905" s="77">
        <f t="shared" ca="1" si="229"/>
        <v>46003</v>
      </c>
      <c r="B2905" s="80">
        <f t="shared" ca="1" si="230"/>
        <v>46003.915116782409</v>
      </c>
      <c r="C2905" s="29" t="s">
        <v>503</v>
      </c>
      <c r="D2905" s="76" t="s">
        <v>902</v>
      </c>
      <c r="E2905" s="79" t="s">
        <v>2246</v>
      </c>
      <c r="F2905" s="79"/>
    </row>
    <row r="2906" spans="1:7">
      <c r="A2906" s="77">
        <f t="shared" ca="1" si="229"/>
        <v>46003</v>
      </c>
      <c r="B2906" s="80">
        <f t="shared" ca="1" si="230"/>
        <v>46003.92212314815</v>
      </c>
      <c r="C2906" s="29" t="s">
        <v>503</v>
      </c>
      <c r="D2906" s="76" t="s">
        <v>902</v>
      </c>
      <c r="E2906" s="79"/>
      <c r="F2906" s="79"/>
    </row>
    <row r="2907" spans="1:7">
      <c r="A2907" s="77">
        <f t="shared" ca="1" si="229"/>
        <v>46003</v>
      </c>
      <c r="B2907" s="80">
        <f t="shared" ca="1" si="230"/>
        <v>46003.934370023147</v>
      </c>
      <c r="C2907" s="29" t="s">
        <v>503</v>
      </c>
      <c r="D2907" s="76" t="s">
        <v>902</v>
      </c>
      <c r="E2907" s="79" t="s">
        <v>2247</v>
      </c>
      <c r="F2907" s="79"/>
    </row>
    <row r="2908" spans="1:7">
      <c r="A2908" s="77">
        <f t="shared" ca="1" si="229"/>
        <v>46003</v>
      </c>
      <c r="B2908" s="80">
        <f t="shared" ca="1" si="230"/>
        <v>46003.93594722222</v>
      </c>
      <c r="C2908" s="29" t="s">
        <v>503</v>
      </c>
      <c r="D2908" s="210" t="s">
        <v>922</v>
      </c>
      <c r="E2908" s="79"/>
      <c r="F2908" s="79"/>
      <c r="G2908" s="76" t="s">
        <v>2248</v>
      </c>
    </row>
    <row r="2909" spans="1:7">
      <c r="A2909" s="77">
        <f t="shared" ca="1" si="229"/>
        <v>46004</v>
      </c>
      <c r="B2909" s="80">
        <f t="shared" ca="1" si="230"/>
        <v>46004.000946064814</v>
      </c>
      <c r="C2909" s="29" t="s">
        <v>503</v>
      </c>
      <c r="D2909" s="210" t="s">
        <v>1098</v>
      </c>
      <c r="E2909" s="79"/>
      <c r="F2909" s="79"/>
    </row>
    <row r="2910" spans="1:7">
      <c r="A2910" s="77">
        <f t="shared" ca="1" si="229"/>
        <v>46004</v>
      </c>
      <c r="B2910" s="80">
        <f t="shared" ca="1" si="230"/>
        <v>46004.167055555554</v>
      </c>
      <c r="C2910" s="29" t="s">
        <v>507</v>
      </c>
      <c r="D2910" s="210" t="s">
        <v>906</v>
      </c>
      <c r="E2910" s="79"/>
      <c r="F2910" s="79"/>
      <c r="G2910" s="76" t="s">
        <v>2249</v>
      </c>
    </row>
    <row r="2911" spans="1:7">
      <c r="A2911" s="77">
        <f t="shared" ca="1" si="229"/>
        <v>46004</v>
      </c>
      <c r="B2911" s="80">
        <f t="shared" ca="1" si="230"/>
        <v>46004.224183333332</v>
      </c>
      <c r="C2911" s="29" t="s">
        <v>507</v>
      </c>
      <c r="D2911" s="210" t="s">
        <v>909</v>
      </c>
      <c r="E2911" s="79"/>
      <c r="F2911" s="79"/>
    </row>
    <row r="2912" spans="1:7">
      <c r="A2912" s="77">
        <f t="shared" ca="1" si="229"/>
        <v>46004</v>
      </c>
      <c r="B2912" s="80">
        <f t="shared" ca="1" si="230"/>
        <v>46004.225919675926</v>
      </c>
      <c r="C2912" s="29" t="s">
        <v>507</v>
      </c>
      <c r="D2912" s="76" t="s">
        <v>902</v>
      </c>
      <c r="E2912" s="79" t="s">
        <v>2250</v>
      </c>
      <c r="F2912" s="79"/>
    </row>
    <row r="2913" spans="1:7">
      <c r="A2913" s="77">
        <f t="shared" ca="1" si="229"/>
        <v>46004</v>
      </c>
      <c r="B2913" s="80">
        <f t="shared" ca="1" si="230"/>
        <v>46004.291145138886</v>
      </c>
      <c r="C2913" s="29" t="s">
        <v>507</v>
      </c>
      <c r="D2913" s="76" t="s">
        <v>902</v>
      </c>
      <c r="E2913" s="79" t="s">
        <v>980</v>
      </c>
      <c r="F2913" s="79"/>
    </row>
    <row r="2914" spans="1:7">
      <c r="A2914" s="77">
        <f t="shared" ca="1" si="229"/>
        <v>46004</v>
      </c>
      <c r="B2914" s="80">
        <f t="shared" ca="1" si="230"/>
        <v>46004.296238888892</v>
      </c>
      <c r="C2914" s="29" t="s">
        <v>507</v>
      </c>
      <c r="D2914" s="76" t="s">
        <v>902</v>
      </c>
      <c r="E2914" s="79" t="s">
        <v>2251</v>
      </c>
      <c r="F2914" s="79"/>
    </row>
    <row r="2915" spans="1:7">
      <c r="A2915" s="77">
        <f t="shared" ca="1" si="229"/>
        <v>46004</v>
      </c>
      <c r="B2915" s="80">
        <f t="shared" ca="1" si="230"/>
        <v>46004.333743750001</v>
      </c>
      <c r="C2915" s="29" t="s">
        <v>507</v>
      </c>
      <c r="D2915" s="76" t="s">
        <v>902</v>
      </c>
      <c r="E2915" s="79" t="s">
        <v>2252</v>
      </c>
      <c r="F2915" s="79"/>
    </row>
    <row r="2916" spans="1:7">
      <c r="A2916" s="77">
        <f t="shared" ca="1" si="229"/>
        <v>46004</v>
      </c>
      <c r="B2916" s="80">
        <f t="shared" ca="1" si="230"/>
        <v>46004.337112152774</v>
      </c>
      <c r="C2916" s="29" t="s">
        <v>507</v>
      </c>
      <c r="D2916" s="76" t="s">
        <v>902</v>
      </c>
      <c r="E2916" s="79" t="s">
        <v>2000</v>
      </c>
      <c r="F2916" s="79"/>
    </row>
    <row r="2917" spans="1:7">
      <c r="A2917" s="77">
        <f t="shared" ca="1" si="229"/>
        <v>46004</v>
      </c>
      <c r="B2917" s="80">
        <f t="shared" ca="1" si="230"/>
        <v>46004.351484259256</v>
      </c>
      <c r="C2917" s="29" t="s">
        <v>507</v>
      </c>
      <c r="D2917" s="210" t="s">
        <v>922</v>
      </c>
      <c r="E2917" s="79"/>
      <c r="F2917" s="79"/>
    </row>
    <row r="2918" spans="1:7">
      <c r="A2918" s="77">
        <f t="shared" ca="1" si="229"/>
        <v>46004</v>
      </c>
      <c r="B2918" s="80">
        <f t="shared" ca="1" si="230"/>
        <v>46004.392915046294</v>
      </c>
      <c r="C2918" s="29" t="s">
        <v>507</v>
      </c>
      <c r="D2918" s="210" t="s">
        <v>1098</v>
      </c>
      <c r="E2918" s="79"/>
      <c r="F2918" s="79"/>
    </row>
    <row r="2919" spans="1:7">
      <c r="A2919" s="77">
        <f t="shared" ca="1" si="229"/>
        <v>46004</v>
      </c>
      <c r="B2919" s="80">
        <f t="shared" ca="1" si="230"/>
        <v>46004.439329629633</v>
      </c>
      <c r="C2919" s="29" t="s">
        <v>510</v>
      </c>
      <c r="D2919" s="210" t="s">
        <v>906</v>
      </c>
      <c r="E2919" s="79"/>
      <c r="F2919" s="79"/>
    </row>
    <row r="2920" spans="1:7">
      <c r="A2920" s="77">
        <f t="shared" ca="1" si="229"/>
        <v>46004</v>
      </c>
      <c r="B2920" s="80">
        <f t="shared" ca="1" si="230"/>
        <v>46004.451367361115</v>
      </c>
      <c r="C2920" s="29" t="s">
        <v>510</v>
      </c>
      <c r="D2920" s="210" t="s">
        <v>1098</v>
      </c>
      <c r="E2920" s="79"/>
      <c r="F2920" s="79"/>
      <c r="G2920" s="76" t="s">
        <v>2253</v>
      </c>
    </row>
    <row r="2921" spans="1:7">
      <c r="A2921" s="77">
        <f t="shared" ca="1" si="229"/>
        <v>46004</v>
      </c>
      <c r="B2921" s="80">
        <f t="shared" ca="1" si="230"/>
        <v>46004.511215046296</v>
      </c>
      <c r="C2921" s="29" t="s">
        <v>510</v>
      </c>
      <c r="D2921" s="210" t="s">
        <v>906</v>
      </c>
      <c r="E2921" s="79"/>
      <c r="F2921" s="79"/>
    </row>
    <row r="2922" spans="1:7">
      <c r="A2922" s="77">
        <f t="shared" ca="1" si="229"/>
        <v>46004</v>
      </c>
      <c r="B2922" s="80">
        <f t="shared" ca="1" si="230"/>
        <v>46004.523941550928</v>
      </c>
      <c r="C2922" s="29" t="s">
        <v>510</v>
      </c>
      <c r="D2922" s="210" t="s">
        <v>1098</v>
      </c>
      <c r="E2922" s="79"/>
      <c r="F2922" s="79"/>
      <c r="G2922" s="76" t="s">
        <v>2253</v>
      </c>
    </row>
    <row r="2923" spans="1:7">
      <c r="A2923" s="77">
        <f t="shared" ca="1" si="229"/>
        <v>46004</v>
      </c>
      <c r="B2923" s="80">
        <f t="shared" ca="1" si="230"/>
        <v>46004.588961111112</v>
      </c>
      <c r="C2923" s="29" t="s">
        <v>510</v>
      </c>
      <c r="D2923" s="210" t="s">
        <v>906</v>
      </c>
      <c r="E2923" s="79"/>
      <c r="F2923" s="79"/>
    </row>
    <row r="2924" spans="1:7">
      <c r="A2924" s="77">
        <f t="shared" ca="1" si="229"/>
        <v>46004</v>
      </c>
      <c r="B2924" s="80">
        <f t="shared" ca="1" si="230"/>
        <v>46004.656440162034</v>
      </c>
      <c r="C2924" s="29" t="s">
        <v>510</v>
      </c>
      <c r="D2924" s="210" t="s">
        <v>909</v>
      </c>
      <c r="E2924" s="79"/>
      <c r="F2924" s="79"/>
    </row>
    <row r="2925" spans="1:7">
      <c r="A2925" s="77">
        <f t="shared" ca="1" si="229"/>
        <v>46004</v>
      </c>
      <c r="B2925" s="80">
        <f t="shared" ca="1" si="230"/>
        <v>46004.668371064814</v>
      </c>
      <c r="C2925" s="29" t="s">
        <v>510</v>
      </c>
      <c r="D2925" s="76" t="s">
        <v>902</v>
      </c>
      <c r="E2925" s="79" t="s">
        <v>1555</v>
      </c>
      <c r="F2925" s="79"/>
    </row>
    <row r="2926" spans="1:7">
      <c r="A2926" s="77">
        <f t="shared" ca="1" si="229"/>
        <v>46004</v>
      </c>
      <c r="B2926" s="80">
        <f t="shared" ca="1" si="230"/>
        <v>46004.67259490741</v>
      </c>
      <c r="C2926" s="29" t="s">
        <v>510</v>
      </c>
      <c r="D2926" s="150" t="s">
        <v>1007</v>
      </c>
      <c r="E2926" s="79" t="s">
        <v>2254</v>
      </c>
      <c r="F2926" s="79"/>
    </row>
    <row r="2927" spans="1:7">
      <c r="A2927" s="77">
        <f t="shared" ca="1" si="229"/>
        <v>46004</v>
      </c>
      <c r="B2927" s="80">
        <f t="shared" ca="1" si="230"/>
        <v>46004.722431712966</v>
      </c>
      <c r="C2927" s="29" t="s">
        <v>510</v>
      </c>
      <c r="D2927" s="76" t="s">
        <v>902</v>
      </c>
      <c r="E2927" s="79" t="s">
        <v>2239</v>
      </c>
      <c r="F2927" s="79"/>
    </row>
    <row r="2928" spans="1:7">
      <c r="A2928" s="77">
        <f t="shared" ca="1" si="229"/>
        <v>46004</v>
      </c>
      <c r="B2928" s="80">
        <f t="shared" ca="1" si="230"/>
        <v>46004.723597453703</v>
      </c>
      <c r="C2928" s="29" t="s">
        <v>510</v>
      </c>
      <c r="D2928" s="76" t="s">
        <v>902</v>
      </c>
      <c r="E2928" s="79" t="s">
        <v>1555</v>
      </c>
      <c r="F2928" s="79"/>
    </row>
    <row r="2929" spans="1:7">
      <c r="A2929" s="77">
        <f t="shared" ca="1" si="229"/>
        <v>46004</v>
      </c>
      <c r="B2929" s="80">
        <f t="shared" ca="1" si="230"/>
        <v>46004.729666087966</v>
      </c>
      <c r="C2929" s="29" t="s">
        <v>510</v>
      </c>
      <c r="D2929" s="150" t="s">
        <v>1007</v>
      </c>
      <c r="E2929" s="79" t="s">
        <v>1229</v>
      </c>
      <c r="F2929" s="79"/>
    </row>
    <row r="2930" spans="1:7">
      <c r="A2930" s="77">
        <f t="shared" ca="1" si="229"/>
        <v>46004</v>
      </c>
      <c r="B2930" s="80">
        <f t="shared" ca="1" si="230"/>
        <v>46004.790889351854</v>
      </c>
      <c r="C2930" s="29" t="s">
        <v>510</v>
      </c>
      <c r="D2930" s="76" t="s">
        <v>902</v>
      </c>
      <c r="E2930" s="79" t="s">
        <v>2255</v>
      </c>
      <c r="F2930" s="79"/>
    </row>
    <row r="2931" spans="1:7">
      <c r="A2931" s="77">
        <f t="shared" ca="1" si="229"/>
        <v>46004</v>
      </c>
      <c r="B2931" s="80">
        <f t="shared" ca="1" si="230"/>
        <v>46004.808336921298</v>
      </c>
      <c r="C2931" s="29" t="s">
        <v>510</v>
      </c>
      <c r="D2931" s="76" t="s">
        <v>902</v>
      </c>
      <c r="E2931" s="79" t="s">
        <v>2256</v>
      </c>
      <c r="F2931" s="79"/>
    </row>
    <row r="2932" spans="1:7">
      <c r="A2932" s="77">
        <f t="shared" ca="1" si="229"/>
        <v>46004</v>
      </c>
      <c r="B2932" s="80">
        <f t="shared" ca="1" si="230"/>
        <v>46004.816710995372</v>
      </c>
      <c r="C2932" s="29" t="s">
        <v>510</v>
      </c>
      <c r="D2932" s="210" t="s">
        <v>922</v>
      </c>
      <c r="E2932" s="79"/>
      <c r="F2932" s="79"/>
      <c r="G2932" s="76" t="s">
        <v>512</v>
      </c>
    </row>
    <row r="2933" spans="1:7">
      <c r="A2933" s="77">
        <f t="shared" ref="A2933:A2941" ca="1" si="231">IF(C2933&lt;&gt;0,IF(A2933=0,TODAY(),A2933),)</f>
        <v>46004</v>
      </c>
      <c r="B2933" s="80">
        <f t="shared" ref="B2933:B2941" ca="1" si="232">IF(C2933&lt;&gt;0,IF(B2933=0,NOW(),B2933),)</f>
        <v>46004.863188541669</v>
      </c>
      <c r="C2933" s="29" t="s">
        <v>510</v>
      </c>
      <c r="D2933" s="210" t="s">
        <v>1098</v>
      </c>
      <c r="E2933" s="79"/>
      <c r="F2933" s="79"/>
    </row>
    <row r="2934" spans="1:7">
      <c r="A2934" s="77">
        <f t="shared" ca="1" si="231"/>
        <v>46004</v>
      </c>
      <c r="B2934" s="80">
        <f t="shared" ca="1" si="232"/>
        <v>46004.962568287039</v>
      </c>
      <c r="C2934" s="29" t="s">
        <v>499</v>
      </c>
      <c r="D2934" s="210" t="s">
        <v>906</v>
      </c>
      <c r="E2934" s="79"/>
      <c r="F2934" s="79"/>
      <c r="G2934" s="76" t="s">
        <v>2257</v>
      </c>
    </row>
    <row r="2935" spans="1:7">
      <c r="A2935" s="77">
        <f t="shared" ca="1" si="231"/>
        <v>46004</v>
      </c>
      <c r="B2935" s="80">
        <f t="shared" ca="1" si="232"/>
        <v>46004.988331944442</v>
      </c>
      <c r="C2935" s="29" t="s">
        <v>499</v>
      </c>
      <c r="D2935" s="210" t="s">
        <v>1098</v>
      </c>
      <c r="E2935" s="79"/>
      <c r="F2935" s="79"/>
      <c r="G2935" s="76" t="s">
        <v>2258</v>
      </c>
    </row>
    <row r="2936" spans="1:7">
      <c r="A2936" s="77">
        <f t="shared" ca="1" si="231"/>
        <v>46005</v>
      </c>
      <c r="B2936" s="80">
        <f t="shared" ca="1" si="232"/>
        <v>46005.008633449077</v>
      </c>
      <c r="C2936" s="29" t="s">
        <v>499</v>
      </c>
      <c r="D2936" s="210" t="s">
        <v>906</v>
      </c>
      <c r="E2936" s="79"/>
      <c r="F2936" s="79"/>
    </row>
    <row r="2937" spans="1:7">
      <c r="A2937" s="77">
        <f t="shared" ca="1" si="231"/>
        <v>46005</v>
      </c>
      <c r="B2937" s="80">
        <f t="shared" ca="1" si="232"/>
        <v>46005.015072222224</v>
      </c>
      <c r="C2937" s="29" t="s">
        <v>499</v>
      </c>
      <c r="D2937" s="210" t="s">
        <v>1098</v>
      </c>
      <c r="E2937" s="79"/>
      <c r="F2937" s="79"/>
    </row>
    <row r="2938" spans="1:7">
      <c r="A2938" s="77">
        <f t="shared" ca="1" si="231"/>
        <v>46005</v>
      </c>
      <c r="B2938" s="80">
        <f t="shared" ca="1" si="232"/>
        <v>46005.024952199077</v>
      </c>
      <c r="C2938" s="29" t="s">
        <v>499</v>
      </c>
      <c r="D2938" s="210" t="s">
        <v>906</v>
      </c>
      <c r="E2938" s="79"/>
      <c r="F2938" s="79"/>
    </row>
    <row r="2939" spans="1:7">
      <c r="A2939" s="77">
        <f t="shared" ca="1" si="231"/>
        <v>46005</v>
      </c>
      <c r="B2939" s="80">
        <f t="shared" ca="1" si="232"/>
        <v>46005.030064004626</v>
      </c>
      <c r="C2939" s="29" t="s">
        <v>499</v>
      </c>
      <c r="D2939" s="210" t="s">
        <v>1098</v>
      </c>
      <c r="E2939" s="79"/>
      <c r="F2939" s="79"/>
    </row>
    <row r="2940" spans="1:7">
      <c r="A2940" s="77">
        <f t="shared" ca="1" si="231"/>
        <v>46005</v>
      </c>
      <c r="B2940" s="80">
        <f t="shared" ca="1" si="232"/>
        <v>46005.034451041669</v>
      </c>
      <c r="C2940" s="29" t="s">
        <v>499</v>
      </c>
      <c r="D2940" s="210" t="s">
        <v>906</v>
      </c>
      <c r="E2940" s="79"/>
      <c r="F2940" s="79"/>
      <c r="G2940" s="76" t="s">
        <v>2259</v>
      </c>
    </row>
    <row r="2941" spans="1:7">
      <c r="A2941" s="77">
        <f t="shared" ca="1" si="231"/>
        <v>46005</v>
      </c>
      <c r="B2941" s="80">
        <f t="shared" ca="1" si="232"/>
        <v>46005.049773148145</v>
      </c>
      <c r="C2941" s="29" t="s">
        <v>499</v>
      </c>
      <c r="D2941" s="210" t="s">
        <v>1098</v>
      </c>
      <c r="E2941" s="79"/>
      <c r="F2941" s="79"/>
    </row>
    <row r="2942" spans="1:7">
      <c r="A2942" s="77">
        <f t="shared" ref="A2942:A2973" ca="1" si="233">IF(C2942&lt;&gt;0,IF(A2942=0,TODAY(),A2942),)</f>
        <v>46005</v>
      </c>
      <c r="B2942" s="80">
        <f t="shared" ref="B2942:B2973" ca="1" si="234">IF(C2942&lt;&gt;0,IF(B2942=0,NOW(),B2942),)</f>
        <v>46005.084541666663</v>
      </c>
      <c r="C2942" s="29" t="s">
        <v>499</v>
      </c>
      <c r="D2942" s="210" t="s">
        <v>906</v>
      </c>
      <c r="E2942" s="79"/>
      <c r="F2942" s="79"/>
    </row>
    <row r="2943" spans="1:7">
      <c r="A2943" s="77">
        <f t="shared" ca="1" si="233"/>
        <v>46005</v>
      </c>
      <c r="B2943" s="80">
        <f t="shared" ca="1" si="234"/>
        <v>46005.145630092593</v>
      </c>
      <c r="C2943" s="29" t="s">
        <v>499</v>
      </c>
      <c r="D2943" s="150" t="s">
        <v>1059</v>
      </c>
      <c r="E2943" s="79"/>
      <c r="F2943" s="79"/>
      <c r="G2943" s="76" t="s">
        <v>2260</v>
      </c>
    </row>
    <row r="2944" spans="1:7">
      <c r="A2944" s="77">
        <f t="shared" ca="1" si="233"/>
        <v>46005</v>
      </c>
      <c r="B2944" s="80">
        <f t="shared" ca="1" si="234"/>
        <v>46005.16714189815</v>
      </c>
      <c r="C2944" s="29" t="s">
        <v>499</v>
      </c>
      <c r="D2944" s="150" t="s">
        <v>1059</v>
      </c>
      <c r="E2944" s="79"/>
      <c r="F2944" s="79"/>
      <c r="G2944" s="90" t="s">
        <v>2261</v>
      </c>
    </row>
    <row r="2945" spans="1:7" s="128" customFormat="1">
      <c r="A2945" s="126">
        <f t="shared" ca="1" si="233"/>
        <v>46005</v>
      </c>
      <c r="B2945" s="87">
        <f t="shared" ca="1" si="234"/>
        <v>46005.186318287037</v>
      </c>
      <c r="C2945" s="127" t="s">
        <v>499</v>
      </c>
      <c r="D2945" s="128" t="s">
        <v>902</v>
      </c>
      <c r="E2945" s="88"/>
      <c r="F2945" s="88"/>
      <c r="G2945" s="128" t="s">
        <v>2262</v>
      </c>
    </row>
    <row r="2946" spans="1:7">
      <c r="A2946" s="77">
        <f t="shared" ca="1" si="233"/>
        <v>46005</v>
      </c>
      <c r="B2946" s="80">
        <f t="shared" ca="1" si="234"/>
        <v>46005.286767708334</v>
      </c>
      <c r="C2946" s="29" t="s">
        <v>499</v>
      </c>
      <c r="D2946" s="210" t="s">
        <v>1098</v>
      </c>
      <c r="E2946" s="79"/>
      <c r="F2946" s="79"/>
    </row>
    <row r="2947" spans="1:7">
      <c r="A2947" s="77">
        <f t="shared" ca="1" si="233"/>
        <v>46005</v>
      </c>
      <c r="B2947" s="80">
        <f t="shared" ca="1" si="234"/>
        <v>46005.377904050925</v>
      </c>
      <c r="C2947" s="76" t="s">
        <v>517</v>
      </c>
      <c r="D2947" s="210" t="s">
        <v>906</v>
      </c>
      <c r="E2947" s="79"/>
      <c r="F2947" s="79"/>
    </row>
    <row r="2948" spans="1:7">
      <c r="A2948" s="77">
        <f t="shared" ca="1" si="233"/>
        <v>46005</v>
      </c>
      <c r="B2948" s="80">
        <f t="shared" ca="1" si="234"/>
        <v>46005.427012268519</v>
      </c>
      <c r="C2948" s="76" t="s">
        <v>517</v>
      </c>
      <c r="D2948" s="210" t="s">
        <v>909</v>
      </c>
      <c r="E2948" s="79"/>
      <c r="F2948" s="79"/>
    </row>
    <row r="2949" spans="1:7">
      <c r="A2949" s="77">
        <f t="shared" ca="1" si="233"/>
        <v>46005</v>
      </c>
      <c r="B2949" s="80">
        <f t="shared" ca="1" si="234"/>
        <v>46005.435236226855</v>
      </c>
      <c r="C2949" s="76" t="s">
        <v>517</v>
      </c>
      <c r="D2949" s="76" t="s">
        <v>902</v>
      </c>
      <c r="E2949" s="79" t="s">
        <v>932</v>
      </c>
      <c r="F2949" s="79"/>
    </row>
    <row r="2950" spans="1:7">
      <c r="A2950" s="77">
        <f t="shared" ca="1" si="233"/>
        <v>46005</v>
      </c>
      <c r="B2950" s="80">
        <f t="shared" ca="1" si="234"/>
        <v>46005.520316782407</v>
      </c>
      <c r="C2950" s="76" t="s">
        <v>517</v>
      </c>
      <c r="D2950" s="76" t="s">
        <v>902</v>
      </c>
      <c r="E2950" s="79" t="s">
        <v>2162</v>
      </c>
      <c r="F2950" s="79"/>
    </row>
    <row r="2951" spans="1:7">
      <c r="A2951" s="77">
        <f t="shared" ca="1" si="233"/>
        <v>46005</v>
      </c>
      <c r="B2951" s="80">
        <f t="shared" ca="1" si="234"/>
        <v>46005.531404398149</v>
      </c>
      <c r="C2951" s="76" t="s">
        <v>517</v>
      </c>
      <c r="D2951" s="210" t="s">
        <v>922</v>
      </c>
      <c r="E2951" s="79"/>
      <c r="F2951" s="79"/>
    </row>
    <row r="2952" spans="1:7">
      <c r="A2952" s="77">
        <f t="shared" ca="1" si="233"/>
        <v>46005</v>
      </c>
      <c r="B2952" s="80">
        <f t="shared" ca="1" si="234"/>
        <v>46005.570727662038</v>
      </c>
      <c r="C2952" s="76" t="s">
        <v>517</v>
      </c>
      <c r="D2952" s="210" t="s">
        <v>1098</v>
      </c>
      <c r="E2952" s="79"/>
      <c r="F2952" s="79"/>
    </row>
    <row r="2953" spans="1:7">
      <c r="A2953" s="77">
        <f t="shared" ca="1" si="233"/>
        <v>46005</v>
      </c>
      <c r="B2953" s="80">
        <f t="shared" ca="1" si="234"/>
        <v>46005.722038541666</v>
      </c>
      <c r="C2953" s="76" t="s">
        <v>521</v>
      </c>
      <c r="D2953" s="210" t="s">
        <v>906</v>
      </c>
      <c r="E2953" s="79"/>
      <c r="F2953" s="79"/>
    </row>
    <row r="2954" spans="1:7">
      <c r="A2954" s="77">
        <f t="shared" ca="1" si="233"/>
        <v>46005</v>
      </c>
      <c r="B2954" s="80">
        <f t="shared" ca="1" si="234"/>
        <v>46005.790039583335</v>
      </c>
      <c r="C2954" s="29" t="s">
        <v>521</v>
      </c>
      <c r="D2954" s="210" t="s">
        <v>909</v>
      </c>
      <c r="E2954" s="79"/>
      <c r="F2954" s="79"/>
    </row>
    <row r="2955" spans="1:7">
      <c r="A2955" s="77">
        <f t="shared" ca="1" si="233"/>
        <v>46005</v>
      </c>
      <c r="B2955" s="80">
        <f t="shared" ca="1" si="234"/>
        <v>46005.791936458336</v>
      </c>
      <c r="C2955" s="29" t="s">
        <v>521</v>
      </c>
      <c r="D2955" s="150" t="s">
        <v>1070</v>
      </c>
      <c r="E2955" s="79"/>
      <c r="F2955" s="79"/>
      <c r="G2955" s="76" t="s">
        <v>2263</v>
      </c>
    </row>
    <row r="2956" spans="1:7">
      <c r="A2956" s="77">
        <f t="shared" ca="1" si="233"/>
        <v>46005</v>
      </c>
      <c r="B2956" s="80">
        <f t="shared" ca="1" si="234"/>
        <v>46005.802643750001</v>
      </c>
      <c r="C2956" s="29" t="s">
        <v>521</v>
      </c>
      <c r="D2956" s="76" t="s">
        <v>902</v>
      </c>
      <c r="E2956" s="79" t="s">
        <v>2239</v>
      </c>
      <c r="F2956" s="79"/>
    </row>
    <row r="2957" spans="1:7">
      <c r="A2957" s="77">
        <f t="shared" ca="1" si="233"/>
        <v>46005</v>
      </c>
      <c r="B2957" s="80">
        <f t="shared" ca="1" si="234"/>
        <v>46005.810091898151</v>
      </c>
      <c r="C2957" s="29" t="s">
        <v>521</v>
      </c>
      <c r="D2957" s="76" t="s">
        <v>902</v>
      </c>
      <c r="E2957" s="79" t="s">
        <v>2052</v>
      </c>
      <c r="F2957" s="79"/>
    </row>
    <row r="2958" spans="1:7">
      <c r="A2958" s="77">
        <f t="shared" ca="1" si="233"/>
        <v>46005</v>
      </c>
      <c r="B2958" s="80">
        <f t="shared" ca="1" si="234"/>
        <v>46005.843696296295</v>
      </c>
      <c r="C2958" s="29" t="s">
        <v>521</v>
      </c>
      <c r="D2958" s="76" t="s">
        <v>902</v>
      </c>
      <c r="E2958" s="79" t="s">
        <v>2264</v>
      </c>
      <c r="F2958" s="79"/>
      <c r="G2958" s="76" t="s">
        <v>523</v>
      </c>
    </row>
    <row r="2959" spans="1:7">
      <c r="A2959" s="77">
        <f t="shared" ca="1" si="233"/>
        <v>46005</v>
      </c>
      <c r="B2959" s="80">
        <f t="shared" ca="1" si="234"/>
        <v>46005.8724693287</v>
      </c>
      <c r="C2959" s="29" t="s">
        <v>521</v>
      </c>
      <c r="D2959" s="150" t="s">
        <v>1007</v>
      </c>
      <c r="E2959" s="79" t="s">
        <v>2265</v>
      </c>
      <c r="F2959" s="79"/>
    </row>
    <row r="2960" spans="1:7">
      <c r="A2960" s="77">
        <f t="shared" ca="1" si="233"/>
        <v>46005</v>
      </c>
      <c r="B2960" s="80">
        <f t="shared" ca="1" si="234"/>
        <v>46005.881112962961</v>
      </c>
      <c r="C2960" s="29" t="s">
        <v>521</v>
      </c>
      <c r="D2960" s="76" t="s">
        <v>902</v>
      </c>
      <c r="E2960" s="79" t="s">
        <v>2266</v>
      </c>
      <c r="F2960" s="79"/>
    </row>
    <row r="2961" spans="1:7">
      <c r="A2961" s="77">
        <f t="shared" ca="1" si="233"/>
        <v>46005</v>
      </c>
      <c r="B2961" s="80">
        <f t="shared" ca="1" si="234"/>
        <v>46005.916673842592</v>
      </c>
      <c r="C2961" s="29" t="s">
        <v>521</v>
      </c>
      <c r="D2961" s="210" t="s">
        <v>922</v>
      </c>
      <c r="E2961" s="79"/>
      <c r="F2961" s="79"/>
    </row>
    <row r="2962" spans="1:7">
      <c r="A2962" s="77">
        <f t="shared" ca="1" si="233"/>
        <v>46005</v>
      </c>
      <c r="B2962" s="80">
        <f t="shared" ca="1" si="234"/>
        <v>46005.952913078705</v>
      </c>
      <c r="C2962" s="29" t="s">
        <v>521</v>
      </c>
      <c r="D2962" s="210" t="s">
        <v>1098</v>
      </c>
      <c r="E2962" s="79"/>
      <c r="F2962" s="79"/>
    </row>
    <row r="2963" spans="1:7">
      <c r="A2963" s="77">
        <f t="shared" ca="1" si="233"/>
        <v>46007</v>
      </c>
      <c r="B2963" s="80">
        <f t="shared" ca="1" si="234"/>
        <v>46007.043838773148</v>
      </c>
      <c r="C2963" s="76" t="s">
        <v>524</v>
      </c>
      <c r="D2963" s="210" t="s">
        <v>906</v>
      </c>
      <c r="E2963" s="79"/>
      <c r="F2963" s="79"/>
    </row>
    <row r="2964" spans="1:7">
      <c r="A2964" s="77">
        <f t="shared" ca="1" si="233"/>
        <v>46007</v>
      </c>
      <c r="B2964" s="80">
        <f t="shared" ca="1" si="234"/>
        <v>46007.061491782406</v>
      </c>
      <c r="C2964" s="76" t="s">
        <v>524</v>
      </c>
      <c r="D2964" s="210" t="s">
        <v>1098</v>
      </c>
      <c r="E2964" s="79"/>
      <c r="F2964" s="79"/>
      <c r="G2964" s="76" t="s">
        <v>2267</v>
      </c>
    </row>
    <row r="2965" spans="1:7">
      <c r="A2965" s="77">
        <f t="shared" ca="1" si="233"/>
        <v>46007</v>
      </c>
      <c r="B2965" s="80">
        <f t="shared" ca="1" si="234"/>
        <v>46007.116476967596</v>
      </c>
      <c r="C2965" s="76" t="s">
        <v>524</v>
      </c>
      <c r="D2965" s="210" t="s">
        <v>906</v>
      </c>
      <c r="E2965" s="79"/>
      <c r="F2965" s="79"/>
    </row>
    <row r="2966" spans="1:7">
      <c r="A2966" s="77">
        <f t="shared" ca="1" si="233"/>
        <v>46007</v>
      </c>
      <c r="B2966" s="80">
        <f t="shared" ca="1" si="234"/>
        <v>46007.122137847226</v>
      </c>
      <c r="C2966" s="76" t="s">
        <v>524</v>
      </c>
      <c r="D2966" s="76" t="s">
        <v>902</v>
      </c>
      <c r="E2966" s="79"/>
      <c r="F2966" s="79"/>
      <c r="G2966" s="76" t="s">
        <v>2268</v>
      </c>
    </row>
    <row r="2967" spans="1:7">
      <c r="A2967" s="77">
        <f t="shared" ca="1" si="233"/>
        <v>46007</v>
      </c>
      <c r="B2967" s="80">
        <f t="shared" ca="1" si="234"/>
        <v>46007.126554861112</v>
      </c>
      <c r="C2967" s="76" t="s">
        <v>524</v>
      </c>
      <c r="D2967" s="76" t="s">
        <v>902</v>
      </c>
      <c r="E2967" s="79"/>
      <c r="F2967" s="79"/>
      <c r="G2967" s="76" t="s">
        <v>2269</v>
      </c>
    </row>
    <row r="2968" spans="1:7">
      <c r="A2968" s="77">
        <f t="shared" ca="1" si="233"/>
        <v>46007</v>
      </c>
      <c r="B2968" s="80">
        <f ca="1">IF(C2968&lt;&gt;0,IF(B2968=0,NOW(),B2968),)</f>
        <v>46007.180370138885</v>
      </c>
      <c r="C2968" s="76" t="s">
        <v>524</v>
      </c>
      <c r="D2968" s="76" t="s">
        <v>902</v>
      </c>
      <c r="E2968" s="79" t="s">
        <v>2270</v>
      </c>
      <c r="F2968" s="79"/>
      <c r="G2968" s="76" t="s">
        <v>2271</v>
      </c>
    </row>
    <row r="2969" spans="1:7">
      <c r="A2969" s="77">
        <f t="shared" ca="1" si="233"/>
        <v>46007</v>
      </c>
      <c r="B2969" s="80">
        <f t="shared" ca="1" si="234"/>
        <v>46007.182656018522</v>
      </c>
      <c r="C2969" s="76" t="s">
        <v>524</v>
      </c>
      <c r="D2969" s="76" t="s">
        <v>902</v>
      </c>
      <c r="E2969" s="79" t="s">
        <v>2272</v>
      </c>
      <c r="F2969" s="79"/>
    </row>
    <row r="2970" spans="1:7">
      <c r="A2970" s="77">
        <f t="shared" ca="1" si="233"/>
        <v>46007</v>
      </c>
      <c r="B2970" s="80">
        <f t="shared" ca="1" si="234"/>
        <v>46007.190945254632</v>
      </c>
      <c r="C2970" s="76" t="s">
        <v>524</v>
      </c>
      <c r="D2970" s="210" t="s">
        <v>909</v>
      </c>
      <c r="E2970" s="79"/>
      <c r="F2970" s="79"/>
    </row>
    <row r="2971" spans="1:7">
      <c r="A2971" s="77">
        <f t="shared" ca="1" si="233"/>
        <v>46007</v>
      </c>
      <c r="B2971" s="80">
        <f t="shared" ca="1" si="234"/>
        <v>46007.212152662039</v>
      </c>
      <c r="C2971" s="76" t="s">
        <v>524</v>
      </c>
      <c r="D2971" s="76" t="s">
        <v>902</v>
      </c>
      <c r="E2971" s="79" t="s">
        <v>2273</v>
      </c>
      <c r="F2971" s="79"/>
    </row>
    <row r="2972" spans="1:7">
      <c r="A2972" s="77">
        <f t="shared" ca="1" si="233"/>
        <v>46007</v>
      </c>
      <c r="B2972" s="80">
        <f t="shared" ca="1" si="234"/>
        <v>46007.21757025463</v>
      </c>
      <c r="C2972" s="76" t="s">
        <v>524</v>
      </c>
      <c r="D2972" s="76" t="s">
        <v>902</v>
      </c>
      <c r="E2972" s="79" t="s">
        <v>2274</v>
      </c>
      <c r="F2972" s="79"/>
      <c r="G2972" s="76" t="s">
        <v>2275</v>
      </c>
    </row>
    <row r="2973" spans="1:7">
      <c r="A2973" s="77">
        <f t="shared" ca="1" si="233"/>
        <v>46007</v>
      </c>
      <c r="B2973" s="80">
        <f t="shared" ca="1" si="234"/>
        <v>46007.220252430554</v>
      </c>
      <c r="C2973" s="76" t="s">
        <v>524</v>
      </c>
      <c r="D2973" s="76" t="s">
        <v>902</v>
      </c>
      <c r="E2973" s="79" t="s">
        <v>2276</v>
      </c>
      <c r="F2973" s="79"/>
      <c r="G2973" s="76" t="s">
        <v>2277</v>
      </c>
    </row>
    <row r="2974" spans="1:7">
      <c r="A2974" s="77">
        <f t="shared" ref="A2974:A3005" ca="1" si="235">IF(C2974&lt;&gt;0,IF(A2974=0,TODAY(),A2974),)</f>
        <v>46007</v>
      </c>
      <c r="B2974" s="80">
        <f t="shared" ref="B2974:B3005" ca="1" si="236">IF(C2974&lt;&gt;0,IF(B2974=0,NOW(),B2974),)</f>
        <v>46007.227746180557</v>
      </c>
      <c r="C2974" s="76" t="s">
        <v>524</v>
      </c>
      <c r="D2974" s="76" t="s">
        <v>902</v>
      </c>
      <c r="E2974" s="79" t="s">
        <v>1928</v>
      </c>
      <c r="F2974" s="79"/>
    </row>
    <row r="2975" spans="1:7">
      <c r="A2975" s="77">
        <f t="shared" ca="1" si="235"/>
        <v>46007</v>
      </c>
      <c r="B2975" s="80">
        <f t="shared" ca="1" si="236"/>
        <v>46007.240605208332</v>
      </c>
      <c r="C2975" s="76" t="s">
        <v>524</v>
      </c>
      <c r="D2975" s="76" t="s">
        <v>902</v>
      </c>
      <c r="E2975" s="79" t="s">
        <v>1928</v>
      </c>
      <c r="F2975" s="79"/>
    </row>
    <row r="2976" spans="1:7">
      <c r="A2976" s="77">
        <f t="shared" ca="1" si="235"/>
        <v>46007</v>
      </c>
      <c r="B2976" s="80">
        <f t="shared" ca="1" si="236"/>
        <v>46007.240824768516</v>
      </c>
      <c r="C2976" s="76" t="s">
        <v>524</v>
      </c>
      <c r="D2976" s="76" t="s">
        <v>902</v>
      </c>
      <c r="E2976" s="79" t="s">
        <v>2278</v>
      </c>
      <c r="F2976" s="79"/>
    </row>
    <row r="2977" spans="1:7">
      <c r="A2977" s="77">
        <f t="shared" ca="1" si="235"/>
        <v>46007</v>
      </c>
      <c r="B2977" s="80">
        <f t="shared" ca="1" si="236"/>
        <v>46007.246914930554</v>
      </c>
      <c r="C2977" s="76" t="s">
        <v>524</v>
      </c>
      <c r="D2977" s="76" t="s">
        <v>902</v>
      </c>
      <c r="E2977" s="79" t="s">
        <v>2279</v>
      </c>
      <c r="F2977" s="79"/>
    </row>
    <row r="2978" spans="1:7">
      <c r="A2978" s="77">
        <f t="shared" ca="1" si="235"/>
        <v>46007</v>
      </c>
      <c r="B2978" s="80">
        <f t="shared" ca="1" si="236"/>
        <v>46007.252383796294</v>
      </c>
      <c r="C2978" s="76" t="s">
        <v>524</v>
      </c>
      <c r="D2978" s="76" t="s">
        <v>902</v>
      </c>
      <c r="E2978" s="79" t="s">
        <v>2280</v>
      </c>
      <c r="F2978" s="79"/>
    </row>
    <row r="2979" spans="1:7">
      <c r="A2979" s="77">
        <f t="shared" ca="1" si="235"/>
        <v>46007</v>
      </c>
      <c r="B2979" s="80">
        <f t="shared" ca="1" si="236"/>
        <v>46007.265738194445</v>
      </c>
      <c r="C2979" s="76" t="s">
        <v>524</v>
      </c>
      <c r="D2979" s="76" t="s">
        <v>902</v>
      </c>
      <c r="E2979" s="79" t="s">
        <v>2281</v>
      </c>
      <c r="F2979" s="79"/>
    </row>
    <row r="2980" spans="1:7">
      <c r="A2980" s="77">
        <f t="shared" ca="1" si="235"/>
        <v>46007</v>
      </c>
      <c r="B2980" s="80">
        <f t="shared" ca="1" si="236"/>
        <v>46007.269584259258</v>
      </c>
      <c r="C2980" s="76" t="s">
        <v>524</v>
      </c>
      <c r="D2980" s="76" t="s">
        <v>902</v>
      </c>
      <c r="E2980" s="79" t="s">
        <v>2282</v>
      </c>
      <c r="F2980" s="79"/>
    </row>
    <row r="2981" spans="1:7">
      <c r="A2981" s="77">
        <f t="shared" ca="1" si="235"/>
        <v>46007</v>
      </c>
      <c r="B2981" s="80">
        <f t="shared" ca="1" si="236"/>
        <v>46007.286291319448</v>
      </c>
      <c r="C2981" s="76" t="s">
        <v>524</v>
      </c>
      <c r="D2981" s="210" t="s">
        <v>922</v>
      </c>
      <c r="E2981" s="79"/>
      <c r="F2981" s="79"/>
    </row>
    <row r="2982" spans="1:7">
      <c r="A2982" s="77">
        <f t="shared" ca="1" si="235"/>
        <v>46007</v>
      </c>
      <c r="B2982" s="80">
        <f t="shared" ca="1" si="236"/>
        <v>46007.3947619213</v>
      </c>
      <c r="C2982" s="76" t="s">
        <v>527</v>
      </c>
      <c r="D2982" s="210" t="s">
        <v>906</v>
      </c>
      <c r="E2982" s="79"/>
      <c r="F2982" s="79"/>
      <c r="G2982" s="76" t="s">
        <v>2283</v>
      </c>
    </row>
    <row r="2983" spans="1:7">
      <c r="A2983" s="77">
        <f t="shared" ca="1" si="235"/>
        <v>46007</v>
      </c>
      <c r="B2983" s="80">
        <f t="shared" ca="1" si="236"/>
        <v>46007.397039467593</v>
      </c>
      <c r="C2983" s="76" t="s">
        <v>527</v>
      </c>
      <c r="D2983" s="210" t="s">
        <v>909</v>
      </c>
      <c r="E2983" s="79"/>
      <c r="F2983" s="79"/>
    </row>
    <row r="2984" spans="1:7">
      <c r="A2984" s="77">
        <f t="shared" ca="1" si="235"/>
        <v>46007</v>
      </c>
      <c r="B2984" s="80">
        <f t="shared" ca="1" si="236"/>
        <v>46007.415844560186</v>
      </c>
      <c r="C2984" s="76" t="s">
        <v>527</v>
      </c>
      <c r="D2984" s="76" t="s">
        <v>902</v>
      </c>
      <c r="E2984" s="79" t="s">
        <v>1062</v>
      </c>
      <c r="F2984" s="79"/>
    </row>
    <row r="2985" spans="1:7">
      <c r="A2985" s="77">
        <f t="shared" ca="1" si="235"/>
        <v>46007</v>
      </c>
      <c r="B2985" s="80">
        <f t="shared" ca="1" si="236"/>
        <v>46007.425853819441</v>
      </c>
      <c r="C2985" s="76" t="s">
        <v>527</v>
      </c>
      <c r="D2985" s="76" t="s">
        <v>902</v>
      </c>
      <c r="E2985" s="79" t="s">
        <v>2284</v>
      </c>
      <c r="F2985" s="79"/>
    </row>
    <row r="2986" spans="1:7">
      <c r="A2986" s="77">
        <f t="shared" ca="1" si="235"/>
        <v>46007</v>
      </c>
      <c r="B2986" s="80">
        <f t="shared" ca="1" si="236"/>
        <v>46007.426669097222</v>
      </c>
      <c r="C2986" s="76" t="s">
        <v>527</v>
      </c>
      <c r="D2986" s="76" t="s">
        <v>902</v>
      </c>
      <c r="E2986" s="79" t="s">
        <v>2072</v>
      </c>
      <c r="F2986" s="79"/>
    </row>
    <row r="2987" spans="1:7">
      <c r="A2987" s="77">
        <f t="shared" ca="1" si="235"/>
        <v>46007</v>
      </c>
      <c r="B2987" s="80">
        <f t="shared" ca="1" si="236"/>
        <v>46007.445876157406</v>
      </c>
      <c r="C2987" s="76" t="s">
        <v>527</v>
      </c>
      <c r="D2987" s="76" t="s">
        <v>902</v>
      </c>
      <c r="E2987" s="79" t="s">
        <v>1583</v>
      </c>
      <c r="F2987" s="79"/>
    </row>
    <row r="2988" spans="1:7">
      <c r="A2988" s="77">
        <f t="shared" ca="1" si="235"/>
        <v>46007</v>
      </c>
      <c r="B2988" s="80">
        <f t="shared" ca="1" si="236"/>
        <v>46007.449456365743</v>
      </c>
      <c r="C2988" s="76" t="s">
        <v>527</v>
      </c>
      <c r="D2988" s="150" t="s">
        <v>1007</v>
      </c>
      <c r="E2988" s="79"/>
      <c r="F2988" s="79"/>
    </row>
    <row r="2989" spans="1:7">
      <c r="A2989" s="77">
        <f t="shared" ca="1" si="235"/>
        <v>46007</v>
      </c>
      <c r="B2989" s="80">
        <f t="shared" ca="1" si="236"/>
        <v>46007.460715740737</v>
      </c>
      <c r="C2989" s="76" t="s">
        <v>527</v>
      </c>
      <c r="D2989" s="76" t="s">
        <v>902</v>
      </c>
      <c r="E2989" s="79" t="s">
        <v>2284</v>
      </c>
      <c r="F2989" s="79"/>
    </row>
    <row r="2990" spans="1:7">
      <c r="A2990" s="77">
        <f t="shared" ca="1" si="235"/>
        <v>46007</v>
      </c>
      <c r="B2990" s="80">
        <f t="shared" ca="1" si="236"/>
        <v>46007.468522916664</v>
      </c>
      <c r="C2990" s="76" t="s">
        <v>527</v>
      </c>
      <c r="D2990" s="76" t="s">
        <v>902</v>
      </c>
      <c r="E2990" s="79" t="s">
        <v>1004</v>
      </c>
      <c r="F2990" s="79"/>
    </row>
    <row r="2991" spans="1:7">
      <c r="A2991" s="77">
        <f t="shared" ca="1" si="235"/>
        <v>46007</v>
      </c>
      <c r="B2991" s="80">
        <f t="shared" ca="1" si="236"/>
        <v>46007.473732523147</v>
      </c>
      <c r="C2991" s="76" t="s">
        <v>527</v>
      </c>
      <c r="D2991" s="76" t="s">
        <v>902</v>
      </c>
      <c r="E2991" s="79" t="s">
        <v>1062</v>
      </c>
      <c r="F2991" s="79"/>
    </row>
    <row r="2992" spans="1:7">
      <c r="A2992" s="77">
        <f t="shared" ca="1" si="235"/>
        <v>46007</v>
      </c>
      <c r="B2992" s="80">
        <f t="shared" ca="1" si="236"/>
        <v>46007.488834953707</v>
      </c>
      <c r="C2992" s="76" t="s">
        <v>527</v>
      </c>
      <c r="D2992" s="76" t="s">
        <v>1872</v>
      </c>
      <c r="E2992" s="79" t="s">
        <v>1196</v>
      </c>
      <c r="F2992" s="79"/>
    </row>
    <row r="2993" spans="1:7">
      <c r="A2993" s="77">
        <f t="shared" ca="1" si="235"/>
        <v>46007</v>
      </c>
      <c r="B2993" s="80">
        <f t="shared" ca="1" si="236"/>
        <v>46007.498407754632</v>
      </c>
      <c r="C2993" s="76" t="s">
        <v>527</v>
      </c>
      <c r="D2993" s="76" t="s">
        <v>1872</v>
      </c>
      <c r="E2993" s="79" t="s">
        <v>2285</v>
      </c>
      <c r="F2993" s="79"/>
    </row>
    <row r="2994" spans="1:7">
      <c r="A2994" s="77">
        <f t="shared" ca="1" si="235"/>
        <v>46007</v>
      </c>
      <c r="B2994" s="80">
        <f t="shared" ca="1" si="236"/>
        <v>46007.499989236108</v>
      </c>
      <c r="C2994" s="76" t="s">
        <v>527</v>
      </c>
      <c r="D2994" s="76" t="s">
        <v>1872</v>
      </c>
      <c r="E2994" s="79" t="s">
        <v>2286</v>
      </c>
      <c r="F2994" s="79"/>
    </row>
    <row r="2995" spans="1:7">
      <c r="A2995" s="77">
        <f t="shared" ca="1" si="235"/>
        <v>46007</v>
      </c>
      <c r="B2995" s="80">
        <f t="shared" ca="1" si="236"/>
        <v>46007.50672060185</v>
      </c>
      <c r="C2995" s="76" t="s">
        <v>527</v>
      </c>
      <c r="D2995" s="76" t="s">
        <v>1872</v>
      </c>
      <c r="E2995" s="79" t="s">
        <v>2284</v>
      </c>
      <c r="F2995" s="79"/>
    </row>
    <row r="2996" spans="1:7">
      <c r="A2996" s="77">
        <f t="shared" ca="1" si="235"/>
        <v>46007</v>
      </c>
      <c r="B2996" s="80">
        <f t="shared" ca="1" si="236"/>
        <v>46007.509284143518</v>
      </c>
      <c r="C2996" s="76" t="s">
        <v>527</v>
      </c>
      <c r="D2996" s="210" t="s">
        <v>922</v>
      </c>
      <c r="E2996" s="79"/>
      <c r="F2996" s="79"/>
    </row>
    <row r="2997" spans="1:7">
      <c r="A2997" s="77">
        <f t="shared" ca="1" si="235"/>
        <v>46007</v>
      </c>
      <c r="B2997" s="80">
        <f t="shared" ca="1" si="236"/>
        <v>46007.513957407406</v>
      </c>
      <c r="C2997" s="76" t="s">
        <v>527</v>
      </c>
      <c r="D2997" s="210" t="s">
        <v>1098</v>
      </c>
      <c r="E2997" s="79"/>
      <c r="F2997" s="79"/>
      <c r="G2997" s="76" t="s">
        <v>2287</v>
      </c>
    </row>
    <row r="2998" spans="1:7">
      <c r="A2998" s="77">
        <f t="shared" ca="1" si="235"/>
        <v>46007</v>
      </c>
      <c r="B2998" s="80">
        <f t="shared" ca="1" si="236"/>
        <v>46007.653163541669</v>
      </c>
      <c r="C2998" s="76" t="s">
        <v>530</v>
      </c>
      <c r="D2998" s="210" t="s">
        <v>906</v>
      </c>
      <c r="E2998" s="79"/>
      <c r="F2998" s="79"/>
      <c r="G2998" s="76" t="s">
        <v>2283</v>
      </c>
    </row>
    <row r="2999" spans="1:7">
      <c r="A2999" s="77">
        <f t="shared" ca="1" si="235"/>
        <v>46007</v>
      </c>
      <c r="B2999" s="80">
        <f t="shared" ca="1" si="236"/>
        <v>46007.655685069447</v>
      </c>
      <c r="C2999" s="76" t="s">
        <v>530</v>
      </c>
      <c r="D2999" s="210" t="s">
        <v>909</v>
      </c>
      <c r="E2999" s="79"/>
      <c r="F2999" s="79"/>
    </row>
    <row r="3000" spans="1:7">
      <c r="A3000" s="77">
        <f t="shared" ca="1" si="235"/>
        <v>46007</v>
      </c>
      <c r="B3000" s="80">
        <f t="shared" ca="1" si="236"/>
        <v>46007.659317129626</v>
      </c>
      <c r="C3000" s="76" t="s">
        <v>530</v>
      </c>
      <c r="D3000" s="76" t="s">
        <v>902</v>
      </c>
      <c r="E3000" s="79" t="s">
        <v>1424</v>
      </c>
      <c r="F3000" s="79"/>
    </row>
    <row r="3001" spans="1:7">
      <c r="A3001" s="77">
        <f t="shared" ca="1" si="235"/>
        <v>46007</v>
      </c>
      <c r="B3001" s="80">
        <f t="shared" ca="1" si="236"/>
        <v>46007.661439120369</v>
      </c>
      <c r="C3001" s="76" t="s">
        <v>530</v>
      </c>
      <c r="D3001" s="76" t="s">
        <v>902</v>
      </c>
      <c r="E3001" s="79" t="s">
        <v>1424</v>
      </c>
      <c r="F3001" s="79"/>
    </row>
    <row r="3002" spans="1:7">
      <c r="A3002" s="77">
        <f t="shared" ca="1" si="235"/>
        <v>46007</v>
      </c>
      <c r="B3002" s="80">
        <f t="shared" ca="1" si="236"/>
        <v>46007.669582986113</v>
      </c>
      <c r="C3002" s="76" t="s">
        <v>530</v>
      </c>
      <c r="D3002" s="76" t="s">
        <v>902</v>
      </c>
      <c r="E3002" s="79" t="s">
        <v>1424</v>
      </c>
      <c r="F3002" s="79"/>
    </row>
    <row r="3003" spans="1:7">
      <c r="A3003" s="77">
        <f t="shared" ca="1" si="235"/>
        <v>46007</v>
      </c>
      <c r="B3003" s="80">
        <f t="shared" ca="1" si="236"/>
        <v>46007.671472569447</v>
      </c>
      <c r="C3003" s="76" t="s">
        <v>530</v>
      </c>
      <c r="D3003" s="76" t="s">
        <v>902</v>
      </c>
      <c r="E3003" s="79" t="s">
        <v>1424</v>
      </c>
      <c r="F3003" s="79"/>
    </row>
    <row r="3004" spans="1:7">
      <c r="A3004" s="77">
        <f t="shared" ca="1" si="235"/>
        <v>46007</v>
      </c>
      <c r="B3004" s="80">
        <f t="shared" ca="1" si="236"/>
        <v>46007.690236226852</v>
      </c>
      <c r="C3004" s="76" t="s">
        <v>530</v>
      </c>
      <c r="D3004" s="76" t="s">
        <v>902</v>
      </c>
      <c r="E3004" s="79" t="s">
        <v>1493</v>
      </c>
      <c r="F3004" s="79"/>
    </row>
    <row r="3005" spans="1:7">
      <c r="A3005" s="77">
        <f t="shared" ca="1" si="235"/>
        <v>46007</v>
      </c>
      <c r="B3005" s="80">
        <f t="shared" ca="1" si="236"/>
        <v>46007.737966782406</v>
      </c>
      <c r="C3005" s="76" t="s">
        <v>530</v>
      </c>
      <c r="D3005" s="76" t="s">
        <v>902</v>
      </c>
      <c r="E3005" s="79" t="s">
        <v>2288</v>
      </c>
      <c r="F3005" s="79"/>
    </row>
    <row r="3006" spans="1:7">
      <c r="A3006" s="77">
        <f t="shared" ref="A3006:A3037" ca="1" si="237">IF(C3006&lt;&gt;0,IF(A3006=0,TODAY(),A3006),)</f>
        <v>46007</v>
      </c>
      <c r="B3006" s="80">
        <f t="shared" ref="B3006:B3037" ca="1" si="238">IF(C3006&lt;&gt;0,IF(B3006=0,NOW(),B3006),)</f>
        <v>46007.752032870369</v>
      </c>
      <c r="C3006" s="76" t="s">
        <v>530</v>
      </c>
      <c r="D3006" s="76" t="s">
        <v>902</v>
      </c>
      <c r="E3006" s="79" t="s">
        <v>2289</v>
      </c>
      <c r="F3006" s="79"/>
    </row>
    <row r="3007" spans="1:7">
      <c r="A3007" s="77">
        <f t="shared" ca="1" si="237"/>
        <v>46007</v>
      </c>
      <c r="B3007" s="80">
        <f t="shared" ca="1" si="238"/>
        <v>46007.766111689816</v>
      </c>
      <c r="C3007" s="76" t="s">
        <v>530</v>
      </c>
      <c r="D3007" s="76" t="s">
        <v>902</v>
      </c>
      <c r="E3007" s="79"/>
      <c r="F3007" s="79"/>
    </row>
    <row r="3008" spans="1:7">
      <c r="A3008" s="77">
        <f t="shared" ca="1" si="237"/>
        <v>46007</v>
      </c>
      <c r="B3008" s="80">
        <f t="shared" ca="1" si="238"/>
        <v>46007.8068369213</v>
      </c>
      <c r="C3008" s="76" t="s">
        <v>530</v>
      </c>
      <c r="D3008" s="210" t="s">
        <v>922</v>
      </c>
      <c r="E3008" s="79"/>
      <c r="F3008" s="79"/>
      <c r="G3008" s="76" t="s">
        <v>2290</v>
      </c>
    </row>
    <row r="3009" spans="1:7">
      <c r="A3009" s="77">
        <f t="shared" ca="1" si="237"/>
        <v>46007</v>
      </c>
      <c r="B3009" s="80">
        <v>19.810416666666665</v>
      </c>
      <c r="C3009" s="76" t="s">
        <v>530</v>
      </c>
      <c r="D3009" s="210" t="s">
        <v>1098</v>
      </c>
      <c r="E3009" s="79"/>
      <c r="F3009" s="79"/>
    </row>
    <row r="3010" spans="1:7">
      <c r="A3010" s="77">
        <f t="shared" ca="1" si="237"/>
        <v>46007</v>
      </c>
      <c r="B3010" s="80">
        <f t="shared" ca="1" si="238"/>
        <v>46007.896113425923</v>
      </c>
      <c r="C3010" s="76" t="s">
        <v>535</v>
      </c>
      <c r="D3010" s="210" t="s">
        <v>906</v>
      </c>
      <c r="E3010" s="79"/>
      <c r="F3010" s="79"/>
      <c r="G3010" s="76" t="s">
        <v>2272</v>
      </c>
    </row>
    <row r="3011" spans="1:7">
      <c r="A3011" s="77">
        <f t="shared" ca="1" si="237"/>
        <v>46007</v>
      </c>
      <c r="B3011" s="80">
        <f t="shared" ca="1" si="238"/>
        <v>46007.899595601855</v>
      </c>
      <c r="C3011" s="76" t="s">
        <v>535</v>
      </c>
      <c r="D3011" s="150" t="s">
        <v>1070</v>
      </c>
      <c r="E3011" s="79"/>
      <c r="F3011" s="79"/>
    </row>
    <row r="3012" spans="1:7">
      <c r="A3012" s="77">
        <f t="shared" ca="1" si="237"/>
        <v>46007</v>
      </c>
      <c r="B3012" s="80">
        <f t="shared" ca="1" si="238"/>
        <v>46007.912159490741</v>
      </c>
      <c r="C3012" s="76" t="s">
        <v>535</v>
      </c>
      <c r="D3012" s="210" t="s">
        <v>909</v>
      </c>
      <c r="E3012" s="79"/>
      <c r="F3012" s="79"/>
    </row>
    <row r="3013" spans="1:7">
      <c r="A3013" s="77">
        <f t="shared" ca="1" si="237"/>
        <v>46007</v>
      </c>
      <c r="B3013" s="80">
        <f t="shared" ca="1" si="238"/>
        <v>46007.92374791667</v>
      </c>
      <c r="C3013" s="76" t="s">
        <v>535</v>
      </c>
      <c r="D3013" s="76" t="s">
        <v>902</v>
      </c>
      <c r="E3013" s="79" t="s">
        <v>2291</v>
      </c>
      <c r="F3013" s="79"/>
    </row>
    <row r="3014" spans="1:7">
      <c r="A3014" s="77">
        <f t="shared" ca="1" si="237"/>
        <v>46007</v>
      </c>
      <c r="B3014" s="80">
        <f t="shared" ca="1" si="238"/>
        <v>46007.928495601853</v>
      </c>
      <c r="C3014" s="76" t="s">
        <v>535</v>
      </c>
      <c r="D3014" s="76" t="s">
        <v>902</v>
      </c>
      <c r="E3014" s="79" t="s">
        <v>2292</v>
      </c>
      <c r="F3014" s="79"/>
    </row>
    <row r="3015" spans="1:7">
      <c r="A3015" s="77">
        <f t="shared" ca="1" si="237"/>
        <v>46007</v>
      </c>
      <c r="B3015" s="80">
        <f t="shared" ca="1" si="238"/>
        <v>46007.932235532404</v>
      </c>
      <c r="C3015" s="76" t="s">
        <v>535</v>
      </c>
      <c r="D3015" s="76" t="s">
        <v>902</v>
      </c>
      <c r="E3015" s="79" t="s">
        <v>2293</v>
      </c>
      <c r="F3015" s="79"/>
    </row>
    <row r="3016" spans="1:7">
      <c r="A3016" s="77">
        <f t="shared" ca="1" si="237"/>
        <v>46007</v>
      </c>
      <c r="B3016" s="80">
        <f t="shared" ca="1" si="238"/>
        <v>46007.936113194446</v>
      </c>
      <c r="C3016" s="76" t="s">
        <v>535</v>
      </c>
      <c r="D3016" s="76" t="s">
        <v>902</v>
      </c>
      <c r="E3016" s="79" t="s">
        <v>2294</v>
      </c>
      <c r="F3016" s="79"/>
    </row>
    <row r="3017" spans="1:7">
      <c r="A3017" s="77">
        <f t="shared" ca="1" si="237"/>
        <v>46007</v>
      </c>
      <c r="B3017" s="80">
        <f t="shared" ca="1" si="238"/>
        <v>46007.93619803241</v>
      </c>
      <c r="C3017" s="76" t="s">
        <v>535</v>
      </c>
      <c r="D3017" s="76" t="s">
        <v>902</v>
      </c>
      <c r="E3017" s="79" t="s">
        <v>2295</v>
      </c>
      <c r="F3017" s="79"/>
    </row>
    <row r="3018" spans="1:7">
      <c r="A3018" s="77">
        <f t="shared" ca="1" si="237"/>
        <v>46007</v>
      </c>
      <c r="B3018" s="80">
        <f t="shared" ca="1" si="238"/>
        <v>46007.957308449077</v>
      </c>
      <c r="C3018" s="76" t="s">
        <v>535</v>
      </c>
      <c r="D3018" s="76" t="s">
        <v>902</v>
      </c>
      <c r="E3018" s="79" t="s">
        <v>2296</v>
      </c>
      <c r="F3018" s="79"/>
      <c r="G3018" s="76" t="s">
        <v>2297</v>
      </c>
    </row>
    <row r="3019" spans="1:7">
      <c r="A3019" s="77">
        <f t="shared" ca="1" si="237"/>
        <v>46007</v>
      </c>
      <c r="B3019" s="80">
        <f t="shared" ca="1" si="238"/>
        <v>46007.981294791665</v>
      </c>
      <c r="C3019" s="76" t="s">
        <v>535</v>
      </c>
      <c r="D3019" s="210" t="s">
        <v>922</v>
      </c>
      <c r="E3019" s="79"/>
      <c r="F3019" s="79"/>
    </row>
    <row r="3020" spans="1:7">
      <c r="A3020" s="77">
        <f t="shared" ca="1" si="237"/>
        <v>46008</v>
      </c>
      <c r="B3020" s="80">
        <f t="shared" ca="1" si="238"/>
        <v>46008.033227777778</v>
      </c>
      <c r="C3020" s="76" t="s">
        <v>535</v>
      </c>
      <c r="D3020" s="210" t="s">
        <v>1098</v>
      </c>
      <c r="E3020" s="79"/>
      <c r="F3020" s="79"/>
    </row>
    <row r="3021" spans="1:7">
      <c r="A3021" s="77">
        <f t="shared" ca="1" si="237"/>
        <v>46008</v>
      </c>
      <c r="B3021" s="80">
        <v>0.22083333333333333</v>
      </c>
      <c r="C3021" s="76" t="s">
        <v>541</v>
      </c>
      <c r="D3021" s="210" t="s">
        <v>906</v>
      </c>
      <c r="E3021" s="79"/>
      <c r="F3021" s="79"/>
    </row>
    <row r="3022" spans="1:7">
      <c r="A3022" s="77">
        <f t="shared" ca="1" si="237"/>
        <v>46008</v>
      </c>
      <c r="B3022" s="80">
        <f t="shared" ca="1" si="238"/>
        <v>46008.289898958334</v>
      </c>
      <c r="C3022" s="76" t="s">
        <v>541</v>
      </c>
      <c r="D3022" s="210" t="s">
        <v>909</v>
      </c>
      <c r="E3022" s="79"/>
      <c r="F3022" s="79"/>
    </row>
    <row r="3023" spans="1:7">
      <c r="A3023" s="77">
        <f t="shared" ca="1" si="237"/>
        <v>46008</v>
      </c>
      <c r="B3023" s="80">
        <f t="shared" ca="1" si="238"/>
        <v>46008.30291770833</v>
      </c>
      <c r="C3023" s="76" t="s">
        <v>541</v>
      </c>
      <c r="D3023" s="76" t="s">
        <v>902</v>
      </c>
      <c r="E3023" s="79" t="s">
        <v>2298</v>
      </c>
      <c r="F3023" s="79"/>
    </row>
    <row r="3024" spans="1:7">
      <c r="A3024" s="77">
        <f t="shared" ca="1" si="237"/>
        <v>46008</v>
      </c>
      <c r="B3024" s="80">
        <f t="shared" ca="1" si="238"/>
        <v>46008.325616319446</v>
      </c>
      <c r="C3024" s="76" t="s">
        <v>541</v>
      </c>
      <c r="D3024" s="76" t="s">
        <v>902</v>
      </c>
      <c r="E3024" s="79" t="s">
        <v>2299</v>
      </c>
      <c r="F3024" s="79"/>
    </row>
    <row r="3025" spans="1:6">
      <c r="A3025" s="77">
        <f t="shared" ca="1" si="237"/>
        <v>46008</v>
      </c>
      <c r="B3025" s="80">
        <f t="shared" ca="1" si="238"/>
        <v>46008.345867824071</v>
      </c>
      <c r="C3025" s="76" t="s">
        <v>541</v>
      </c>
      <c r="D3025" s="76" t="s">
        <v>902</v>
      </c>
      <c r="E3025" s="79" t="s">
        <v>2000</v>
      </c>
      <c r="F3025" s="79"/>
    </row>
    <row r="3026" spans="1:6">
      <c r="A3026" s="77">
        <f t="shared" ca="1" si="237"/>
        <v>46008</v>
      </c>
      <c r="B3026" s="80">
        <f t="shared" ca="1" si="238"/>
        <v>46008.35458958333</v>
      </c>
      <c r="C3026" s="76" t="s">
        <v>541</v>
      </c>
      <c r="D3026" s="76" t="s">
        <v>902</v>
      </c>
      <c r="E3026" s="79" t="s">
        <v>1583</v>
      </c>
      <c r="F3026" s="79"/>
    </row>
    <row r="3027" spans="1:6">
      <c r="A3027" s="77">
        <f t="shared" ca="1" si="237"/>
        <v>46008</v>
      </c>
      <c r="B3027" s="80">
        <f t="shared" ca="1" si="238"/>
        <v>46008.36581145833</v>
      </c>
      <c r="C3027" s="76" t="s">
        <v>541</v>
      </c>
      <c r="D3027" s="150" t="s">
        <v>1007</v>
      </c>
      <c r="E3027" s="79" t="s">
        <v>2300</v>
      </c>
      <c r="F3027" s="79"/>
    </row>
    <row r="3028" spans="1:6">
      <c r="A3028" s="77">
        <f t="shared" ca="1" si="237"/>
        <v>46008</v>
      </c>
      <c r="B3028" s="80">
        <f t="shared" ca="1" si="238"/>
        <v>46008.395908449071</v>
      </c>
      <c r="C3028" s="76" t="s">
        <v>541</v>
      </c>
      <c r="D3028" s="76" t="s">
        <v>902</v>
      </c>
      <c r="E3028" s="79" t="s">
        <v>2072</v>
      </c>
      <c r="F3028" s="79"/>
    </row>
    <row r="3029" spans="1:6">
      <c r="A3029" s="77">
        <f t="shared" ca="1" si="237"/>
        <v>46008</v>
      </c>
      <c r="B3029" s="80">
        <f t="shared" ca="1" si="238"/>
        <v>46008.39756701389</v>
      </c>
      <c r="C3029" s="76" t="s">
        <v>541</v>
      </c>
      <c r="D3029" s="76" t="s">
        <v>902</v>
      </c>
      <c r="E3029" s="79" t="s">
        <v>2301</v>
      </c>
      <c r="F3029" s="79"/>
    </row>
    <row r="3030" spans="1:6">
      <c r="A3030" s="77">
        <f t="shared" ca="1" si="237"/>
        <v>46008</v>
      </c>
      <c r="B3030" s="80">
        <f t="shared" ca="1" si="238"/>
        <v>46008.430587268522</v>
      </c>
      <c r="C3030" s="76" t="s">
        <v>541</v>
      </c>
      <c r="D3030" s="76" t="s">
        <v>902</v>
      </c>
      <c r="E3030" s="79" t="s">
        <v>2302</v>
      </c>
      <c r="F3030" s="79"/>
    </row>
    <row r="3031" spans="1:6">
      <c r="A3031" s="77">
        <f t="shared" ca="1" si="237"/>
        <v>46008</v>
      </c>
      <c r="B3031" s="80">
        <f t="shared" ca="1" si="238"/>
        <v>46008.438490046297</v>
      </c>
      <c r="C3031" s="76" t="s">
        <v>541</v>
      </c>
      <c r="D3031" s="76" t="s">
        <v>902</v>
      </c>
      <c r="E3031" s="79" t="s">
        <v>2303</v>
      </c>
      <c r="F3031" s="79"/>
    </row>
    <row r="3032" spans="1:6">
      <c r="A3032" s="77">
        <f t="shared" ca="1" si="237"/>
        <v>46008</v>
      </c>
      <c r="B3032" s="80">
        <f t="shared" ca="1" si="238"/>
        <v>46008.442175115742</v>
      </c>
      <c r="C3032" s="76" t="s">
        <v>541</v>
      </c>
      <c r="D3032" s="76" t="s">
        <v>902</v>
      </c>
      <c r="E3032" s="79" t="s">
        <v>2304</v>
      </c>
      <c r="F3032" s="79"/>
    </row>
    <row r="3033" spans="1:6">
      <c r="A3033" s="77">
        <f t="shared" ca="1" si="237"/>
        <v>46008</v>
      </c>
      <c r="B3033" s="80">
        <f t="shared" ca="1" si="238"/>
        <v>46008.465296296294</v>
      </c>
      <c r="C3033" s="76" t="s">
        <v>541</v>
      </c>
      <c r="D3033" s="150" t="s">
        <v>1070</v>
      </c>
      <c r="E3033" s="79"/>
      <c r="F3033" s="79"/>
    </row>
    <row r="3034" spans="1:6">
      <c r="A3034" s="77">
        <f t="shared" ca="1" si="237"/>
        <v>46008</v>
      </c>
      <c r="B3034" s="80">
        <f t="shared" ca="1" si="238"/>
        <v>46008.472673379627</v>
      </c>
      <c r="C3034" s="76" t="s">
        <v>541</v>
      </c>
      <c r="D3034" s="76" t="s">
        <v>902</v>
      </c>
      <c r="E3034" s="79" t="s">
        <v>2305</v>
      </c>
      <c r="F3034" s="79"/>
    </row>
    <row r="3035" spans="1:6">
      <c r="A3035" s="77">
        <f t="shared" ca="1" si="237"/>
        <v>46008</v>
      </c>
      <c r="B3035" s="80">
        <f t="shared" ca="1" si="238"/>
        <v>46008.478224999999</v>
      </c>
      <c r="C3035" s="76" t="s">
        <v>541</v>
      </c>
      <c r="D3035" s="76" t="s">
        <v>902</v>
      </c>
      <c r="E3035" s="79" t="s">
        <v>2306</v>
      </c>
      <c r="F3035" s="79"/>
    </row>
    <row r="3036" spans="1:6">
      <c r="A3036" s="77">
        <f t="shared" ca="1" si="237"/>
        <v>46008</v>
      </c>
      <c r="B3036" s="80">
        <f t="shared" ca="1" si="238"/>
        <v>46008.503877199073</v>
      </c>
      <c r="C3036" s="76" t="s">
        <v>541</v>
      </c>
      <c r="D3036" s="76" t="s">
        <v>902</v>
      </c>
      <c r="E3036" s="79" t="s">
        <v>2307</v>
      </c>
      <c r="F3036" s="79"/>
    </row>
    <row r="3037" spans="1:6">
      <c r="A3037" s="77">
        <f t="shared" ca="1" si="237"/>
        <v>46008</v>
      </c>
      <c r="B3037" s="80">
        <f t="shared" ca="1" si="238"/>
        <v>46008.524590740744</v>
      </c>
      <c r="C3037" s="76" t="s">
        <v>541</v>
      </c>
      <c r="D3037" s="76" t="s">
        <v>902</v>
      </c>
      <c r="E3037" s="79" t="s">
        <v>1424</v>
      </c>
      <c r="F3037" s="79"/>
    </row>
    <row r="3038" spans="1:6">
      <c r="A3038" s="77">
        <f t="shared" ref="A3038:A3049" ca="1" si="239">IF(C3038&lt;&gt;0,IF(A3038=0,TODAY(),A3038),)</f>
        <v>46008</v>
      </c>
      <c r="B3038" s="80">
        <f t="shared" ref="B3038:B3049" ca="1" si="240">IF(C3038&lt;&gt;0,IF(B3038=0,NOW(),B3038),)</f>
        <v>46008.526383912038</v>
      </c>
      <c r="C3038" s="76" t="s">
        <v>541</v>
      </c>
      <c r="D3038" s="76" t="s">
        <v>902</v>
      </c>
      <c r="E3038" s="79" t="s">
        <v>2308</v>
      </c>
      <c r="F3038" s="79"/>
    </row>
    <row r="3039" spans="1:6">
      <c r="A3039" s="77">
        <f ca="1">IF(C3040&lt;&gt;0,IF(A3039=0,TODAY(),A3039),)</f>
        <v>46008</v>
      </c>
      <c r="B3039" s="80">
        <f ca="1">IF(C3040&lt;&gt;0,IF(B3039=0,NOW(),B3039),)</f>
        <v>46008.552699537038</v>
      </c>
      <c r="C3039" s="76" t="s">
        <v>541</v>
      </c>
      <c r="D3039" s="76" t="s">
        <v>902</v>
      </c>
      <c r="E3039" s="79" t="s">
        <v>1016</v>
      </c>
      <c r="F3039" s="79"/>
    </row>
    <row r="3040" spans="1:6">
      <c r="A3040" s="77" t="e">
        <f ca="1">IF(#REF!&lt;&gt;0,IF(A3040=0,TODAY(),A3040),)</f>
        <v>#REF!</v>
      </c>
      <c r="B3040" s="80" t="e">
        <f ca="1">IF(#REF!&lt;&gt;0,IF(B3040=0,NOW(),B3040),)</f>
        <v>#REF!</v>
      </c>
      <c r="C3040" s="76" t="s">
        <v>541</v>
      </c>
      <c r="E3040" s="79"/>
      <c r="F3040" s="79"/>
    </row>
    <row r="3041" spans="1:7">
      <c r="A3041" s="77">
        <f t="shared" ca="1" si="239"/>
        <v>46008</v>
      </c>
      <c r="B3041" s="80">
        <f t="shared" ca="1" si="240"/>
        <v>46008.554414467595</v>
      </c>
      <c r="C3041" s="76" t="s">
        <v>541</v>
      </c>
      <c r="D3041" s="76" t="s">
        <v>902</v>
      </c>
      <c r="E3041" s="79" t="s">
        <v>2309</v>
      </c>
      <c r="F3041" s="79"/>
    </row>
    <row r="3042" spans="1:7">
      <c r="A3042" s="77">
        <f t="shared" ca="1" si="239"/>
        <v>46008</v>
      </c>
      <c r="B3042" s="80">
        <f t="shared" ca="1" si="240"/>
        <v>46008.558216087964</v>
      </c>
      <c r="C3042" s="76" t="s">
        <v>541</v>
      </c>
      <c r="D3042" s="76" t="s">
        <v>902</v>
      </c>
      <c r="E3042" s="79" t="s">
        <v>1868</v>
      </c>
      <c r="F3042" s="79"/>
    </row>
    <row r="3043" spans="1:7">
      <c r="A3043" s="77">
        <f t="shared" ca="1" si="239"/>
        <v>46008</v>
      </c>
      <c r="B3043" s="80">
        <f t="shared" ca="1" si="240"/>
        <v>46008.565111574077</v>
      </c>
      <c r="C3043" s="76" t="s">
        <v>541</v>
      </c>
      <c r="D3043" s="76" t="s">
        <v>902</v>
      </c>
      <c r="E3043" s="79" t="s">
        <v>2000</v>
      </c>
      <c r="F3043" s="79"/>
    </row>
    <row r="3044" spans="1:7">
      <c r="A3044" s="77">
        <f t="shared" ca="1" si="239"/>
        <v>46008</v>
      </c>
      <c r="B3044" s="80">
        <f t="shared" ca="1" si="240"/>
        <v>46008.56609641204</v>
      </c>
      <c r="C3044" s="76" t="s">
        <v>541</v>
      </c>
      <c r="D3044" s="76" t="s">
        <v>902</v>
      </c>
      <c r="E3044" s="79" t="s">
        <v>2310</v>
      </c>
      <c r="F3044" s="79"/>
    </row>
    <row r="3045" spans="1:7">
      <c r="A3045" s="77">
        <f t="shared" ca="1" si="239"/>
        <v>46008</v>
      </c>
      <c r="B3045" s="80">
        <f t="shared" ca="1" si="240"/>
        <v>46008.569225578707</v>
      </c>
      <c r="C3045" s="76" t="s">
        <v>541</v>
      </c>
      <c r="D3045" s="210" t="s">
        <v>922</v>
      </c>
      <c r="E3045" s="79"/>
      <c r="F3045" s="79"/>
    </row>
    <row r="3046" spans="1:7">
      <c r="A3046" s="77">
        <f t="shared" ca="1" si="239"/>
        <v>46008</v>
      </c>
      <c r="B3046" s="80">
        <f t="shared" ca="1" si="240"/>
        <v>46008.619582060186</v>
      </c>
      <c r="C3046" s="76" t="s">
        <v>541</v>
      </c>
      <c r="D3046" s="210" t="s">
        <v>1098</v>
      </c>
      <c r="E3046" s="79"/>
      <c r="F3046" s="79"/>
    </row>
    <row r="3047" spans="1:7">
      <c r="A3047" s="77">
        <f t="shared" ca="1" si="239"/>
        <v>46008</v>
      </c>
      <c r="B3047" s="80">
        <f t="shared" ca="1" si="240"/>
        <v>46008.653910532405</v>
      </c>
      <c r="C3047" s="76" t="s">
        <v>541</v>
      </c>
      <c r="D3047" s="210" t="s">
        <v>906</v>
      </c>
      <c r="E3047" s="79"/>
      <c r="F3047" s="79"/>
    </row>
    <row r="3048" spans="1:7">
      <c r="A3048" s="77">
        <f t="shared" ca="1" si="239"/>
        <v>46008</v>
      </c>
      <c r="B3048" s="80">
        <f t="shared" ca="1" si="240"/>
        <v>46008.716798032408</v>
      </c>
      <c r="C3048" s="76" t="s">
        <v>541</v>
      </c>
      <c r="D3048" s="210" t="s">
        <v>909</v>
      </c>
      <c r="E3048" s="79"/>
      <c r="F3048" s="79"/>
    </row>
    <row r="3049" spans="1:7">
      <c r="A3049" s="77">
        <f t="shared" ca="1" si="239"/>
        <v>46008</v>
      </c>
      <c r="B3049" s="80">
        <f t="shared" ca="1" si="240"/>
        <v>46008.737347916664</v>
      </c>
      <c r="C3049" s="76" t="s">
        <v>541</v>
      </c>
      <c r="D3049" s="76" t="s">
        <v>902</v>
      </c>
      <c r="E3049" s="79" t="s">
        <v>2311</v>
      </c>
      <c r="F3049" s="79"/>
    </row>
    <row r="3050" spans="1:7">
      <c r="A3050" s="77">
        <f ca="1">IF(C3050&lt;&gt;0,IF(A3050=0,TODAY(),A3050),)</f>
        <v>46008</v>
      </c>
      <c r="B3050" s="80">
        <f ca="1">IF(C3050&lt;&gt;0,IF(B3050=0,NOW(),B3050),)</f>
        <v>46008.743912962964</v>
      </c>
      <c r="C3050" s="76" t="s">
        <v>541</v>
      </c>
      <c r="D3050" s="76" t="s">
        <v>902</v>
      </c>
      <c r="E3050" s="79" t="s">
        <v>2311</v>
      </c>
      <c r="F3050" s="79"/>
    </row>
    <row r="3051" spans="1:7">
      <c r="A3051" s="77">
        <f ca="1">IF(C3051&lt;&gt;0,IF(A3051=0,TODAY(),A3051),)</f>
        <v>46008</v>
      </c>
      <c r="B3051" s="80">
        <f ca="1">IF(C3051&lt;&gt;0,IF(B3051=0,NOW(),B3051),)</f>
        <v>46008.753671296297</v>
      </c>
      <c r="C3051" s="76" t="s">
        <v>541</v>
      </c>
      <c r="D3051" s="76" t="s">
        <v>902</v>
      </c>
      <c r="E3051" s="79" t="s">
        <v>2312</v>
      </c>
      <c r="F3051" s="79"/>
    </row>
    <row r="3052" spans="1:7">
      <c r="A3052" s="77">
        <f t="shared" ref="A3052:A3062" ca="1" si="241">IF(C3052&lt;&gt;0,IF(A3052=0,TODAY(),A3052),)</f>
        <v>46008</v>
      </c>
      <c r="B3052" s="80">
        <f t="shared" ref="B3052:B3062" ca="1" si="242">IF(C3052&lt;&gt;0,IF(B3052=0,NOW(),B3052),)</f>
        <v>46008.76285914352</v>
      </c>
      <c r="C3052" s="76" t="s">
        <v>541</v>
      </c>
      <c r="D3052" s="76" t="s">
        <v>902</v>
      </c>
      <c r="E3052" s="79" t="s">
        <v>1583</v>
      </c>
      <c r="F3052" s="79"/>
    </row>
    <row r="3053" spans="1:7">
      <c r="A3053" s="77">
        <f t="shared" ca="1" si="241"/>
        <v>46008</v>
      </c>
      <c r="B3053" s="80">
        <f t="shared" ca="1" si="242"/>
        <v>46008.786446180558</v>
      </c>
      <c r="C3053" s="76" t="s">
        <v>541</v>
      </c>
      <c r="D3053" s="150" t="s">
        <v>1007</v>
      </c>
      <c r="E3053" s="79" t="s">
        <v>2313</v>
      </c>
      <c r="F3053" s="79"/>
      <c r="G3053" s="76" t="s">
        <v>2314</v>
      </c>
    </row>
    <row r="3054" spans="1:7">
      <c r="A3054" s="77">
        <f t="shared" ca="1" si="241"/>
        <v>46008</v>
      </c>
      <c r="B3054" s="80">
        <f t="shared" ca="1" si="242"/>
        <v>46008.815271990738</v>
      </c>
      <c r="C3054" s="76" t="s">
        <v>541</v>
      </c>
      <c r="D3054" s="76" t="s">
        <v>902</v>
      </c>
      <c r="E3054" s="79" t="s">
        <v>2315</v>
      </c>
      <c r="F3054" s="79"/>
    </row>
    <row r="3055" spans="1:7">
      <c r="A3055" s="77">
        <f t="shared" ca="1" si="241"/>
        <v>46008</v>
      </c>
      <c r="B3055" s="80">
        <f t="shared" ca="1" si="242"/>
        <v>46008.841806481483</v>
      </c>
      <c r="C3055" s="76" t="s">
        <v>541</v>
      </c>
      <c r="D3055" s="76" t="s">
        <v>902</v>
      </c>
      <c r="E3055" s="79" t="s">
        <v>1555</v>
      </c>
      <c r="F3055" s="79"/>
    </row>
    <row r="3056" spans="1:7">
      <c r="A3056" s="77">
        <f t="shared" ca="1" si="241"/>
        <v>46008</v>
      </c>
      <c r="B3056" s="80">
        <f t="shared" ca="1" si="242"/>
        <v>46008.85035497685</v>
      </c>
      <c r="C3056" s="76" t="s">
        <v>541</v>
      </c>
      <c r="D3056" s="150" t="s">
        <v>1007</v>
      </c>
      <c r="E3056" s="79" t="s">
        <v>2316</v>
      </c>
      <c r="F3056" s="79"/>
      <c r="G3056" s="76" t="s">
        <v>2317</v>
      </c>
    </row>
    <row r="3057" spans="1:7">
      <c r="A3057" s="77">
        <f t="shared" ca="1" si="241"/>
        <v>46008</v>
      </c>
      <c r="B3057" s="80">
        <f t="shared" ca="1" si="242"/>
        <v>46008.853110879631</v>
      </c>
      <c r="C3057" s="76" t="s">
        <v>541</v>
      </c>
      <c r="D3057" s="76" t="s">
        <v>902</v>
      </c>
      <c r="E3057" s="79" t="s">
        <v>2318</v>
      </c>
      <c r="F3057" s="79"/>
    </row>
    <row r="3058" spans="1:7">
      <c r="A3058" s="77">
        <f t="shared" ca="1" si="241"/>
        <v>46008</v>
      </c>
      <c r="B3058" s="80">
        <f t="shared" ca="1" si="242"/>
        <v>46008.860804745367</v>
      </c>
      <c r="C3058" s="76" t="s">
        <v>541</v>
      </c>
      <c r="D3058" s="76" t="s">
        <v>902</v>
      </c>
      <c r="E3058" s="79" t="s">
        <v>2311</v>
      </c>
      <c r="F3058" s="79"/>
    </row>
    <row r="3059" spans="1:7">
      <c r="A3059" s="77">
        <f t="shared" ca="1" si="241"/>
        <v>46008</v>
      </c>
      <c r="B3059" s="80">
        <v>0.86458333333333337</v>
      </c>
      <c r="C3059" s="76" t="s">
        <v>541</v>
      </c>
      <c r="D3059" s="76" t="s">
        <v>902</v>
      </c>
      <c r="E3059" s="79" t="s">
        <v>2319</v>
      </c>
      <c r="F3059" s="79"/>
    </row>
    <row r="3060" spans="1:7">
      <c r="A3060" s="77">
        <f t="shared" ca="1" si="241"/>
        <v>46008</v>
      </c>
      <c r="B3060" s="80">
        <f t="shared" ca="1" si="242"/>
        <v>46008.900505671299</v>
      </c>
      <c r="C3060" s="76" t="s">
        <v>541</v>
      </c>
      <c r="D3060" s="76" t="s">
        <v>902</v>
      </c>
      <c r="E3060" s="79" t="s">
        <v>2320</v>
      </c>
      <c r="F3060" s="79"/>
    </row>
    <row r="3061" spans="1:7">
      <c r="A3061" s="77">
        <f t="shared" ca="1" si="241"/>
        <v>46008</v>
      </c>
      <c r="B3061" s="80">
        <f t="shared" ca="1" si="242"/>
        <v>46008.907919560188</v>
      </c>
      <c r="C3061" s="76" t="s">
        <v>541</v>
      </c>
      <c r="D3061" s="76" t="s">
        <v>902</v>
      </c>
      <c r="E3061" s="79" t="s">
        <v>2315</v>
      </c>
      <c r="F3061" s="79"/>
    </row>
    <row r="3062" spans="1:7">
      <c r="A3062" s="77">
        <f t="shared" ca="1" si="241"/>
        <v>46008</v>
      </c>
      <c r="B3062" s="80">
        <f t="shared" ca="1" si="242"/>
        <v>46008.910131018521</v>
      </c>
      <c r="C3062" s="76" t="s">
        <v>541</v>
      </c>
      <c r="D3062" s="76" t="s">
        <v>902</v>
      </c>
      <c r="E3062" s="79" t="s">
        <v>2321</v>
      </c>
      <c r="F3062" s="79"/>
    </row>
    <row r="3063" spans="1:7">
      <c r="A3063" s="77">
        <f t="shared" ref="A3063:A3070" ca="1" si="243">IF(C3063&lt;&gt;0,IF(A3063=0,TODAY(),A3063),)</f>
        <v>46008</v>
      </c>
      <c r="B3063" s="80">
        <f t="shared" ref="B3063:B3070" ca="1" si="244">IF(C3063&lt;&gt;0,IF(B3063=0,NOW(),B3063),)</f>
        <v>46008.943624189815</v>
      </c>
      <c r="C3063" s="76" t="s">
        <v>541</v>
      </c>
      <c r="D3063" s="76" t="s">
        <v>902</v>
      </c>
      <c r="E3063" s="79" t="s">
        <v>2289</v>
      </c>
      <c r="F3063" s="79"/>
    </row>
    <row r="3064" spans="1:7">
      <c r="A3064" s="77">
        <f t="shared" ca="1" si="243"/>
        <v>46008</v>
      </c>
      <c r="B3064" s="80">
        <f t="shared" ca="1" si="244"/>
        <v>46008.94436666667</v>
      </c>
      <c r="C3064" s="76" t="s">
        <v>541</v>
      </c>
      <c r="D3064" s="76" t="s">
        <v>902</v>
      </c>
      <c r="E3064" s="79" t="s">
        <v>2322</v>
      </c>
      <c r="F3064" s="79"/>
    </row>
    <row r="3065" spans="1:7">
      <c r="A3065" s="77">
        <f t="shared" ca="1" si="243"/>
        <v>46008</v>
      </c>
      <c r="B3065" s="80">
        <f t="shared" ca="1" si="244"/>
        <v>46008.94878726852</v>
      </c>
      <c r="C3065" s="76" t="s">
        <v>541</v>
      </c>
      <c r="D3065" s="76" t="s">
        <v>902</v>
      </c>
      <c r="E3065" s="79" t="s">
        <v>2318</v>
      </c>
      <c r="F3065" s="79"/>
    </row>
    <row r="3066" spans="1:7">
      <c r="A3066" s="77">
        <f t="shared" ca="1" si="243"/>
        <v>46008</v>
      </c>
      <c r="B3066" s="80">
        <f t="shared" ca="1" si="244"/>
        <v>46008.961139467596</v>
      </c>
      <c r="C3066" s="76" t="s">
        <v>541</v>
      </c>
      <c r="D3066" s="76" t="s">
        <v>902</v>
      </c>
      <c r="E3066" s="79" t="s">
        <v>2323</v>
      </c>
      <c r="F3066" s="79"/>
    </row>
    <row r="3067" spans="1:7">
      <c r="A3067" s="77">
        <f t="shared" ca="1" si="243"/>
        <v>46008</v>
      </c>
      <c r="B3067" s="80">
        <f t="shared" ca="1" si="244"/>
        <v>46008.967613773151</v>
      </c>
      <c r="C3067" s="76" t="s">
        <v>541</v>
      </c>
      <c r="D3067" s="210" t="s">
        <v>922</v>
      </c>
      <c r="E3067" s="79"/>
      <c r="F3067" s="79"/>
      <c r="G3067" s="76" t="s">
        <v>2324</v>
      </c>
    </row>
    <row r="3068" spans="1:7">
      <c r="A3068" s="77">
        <f t="shared" ca="1" si="243"/>
        <v>46008</v>
      </c>
      <c r="B3068" s="80">
        <f t="shared" ca="1" si="244"/>
        <v>46008.972230439816</v>
      </c>
      <c r="C3068" s="76" t="s">
        <v>541</v>
      </c>
      <c r="D3068" s="210" t="s">
        <v>1098</v>
      </c>
      <c r="E3068" s="79"/>
      <c r="F3068" s="79"/>
    </row>
    <row r="3069" spans="1:7">
      <c r="A3069" s="77">
        <f t="shared" ca="1" si="243"/>
        <v>46009</v>
      </c>
      <c r="B3069" s="80">
        <f t="shared" ca="1" si="244"/>
        <v>46009.03917546296</v>
      </c>
      <c r="C3069" s="76" t="s">
        <v>546</v>
      </c>
      <c r="D3069" s="210" t="s">
        <v>906</v>
      </c>
      <c r="E3069" s="79"/>
      <c r="F3069" s="79"/>
    </row>
    <row r="3070" spans="1:7">
      <c r="A3070" s="77">
        <f t="shared" ca="1" si="243"/>
        <v>46009</v>
      </c>
      <c r="B3070" s="80">
        <f t="shared" ca="1" si="244"/>
        <v>46009.041987731478</v>
      </c>
      <c r="C3070" s="76" t="s">
        <v>546</v>
      </c>
      <c r="D3070" s="210" t="s">
        <v>909</v>
      </c>
      <c r="E3070" s="79"/>
      <c r="F3070" s="79"/>
    </row>
    <row r="3071" spans="1:7">
      <c r="A3071" s="77">
        <f t="shared" ref="A3071:A3075" ca="1" si="245">IF(C3071&lt;&gt;0,IF(A3071=0,TODAY(),A3071),)</f>
        <v>46009</v>
      </c>
      <c r="B3071" s="80">
        <f t="shared" ref="B3071:B3075" ca="1" si="246">IF(C3071&lt;&gt;0,IF(B3071=0,NOW(),B3071),)</f>
        <v>46009.043867476852</v>
      </c>
      <c r="C3071" s="76" t="s">
        <v>546</v>
      </c>
      <c r="D3071" s="76" t="s">
        <v>902</v>
      </c>
      <c r="E3071" s="79" t="s">
        <v>2325</v>
      </c>
      <c r="F3071" s="79"/>
    </row>
    <row r="3072" spans="1:7">
      <c r="A3072" s="77">
        <f t="shared" ca="1" si="245"/>
        <v>46009</v>
      </c>
      <c r="B3072" s="80">
        <f t="shared" ca="1" si="246"/>
        <v>46009.050744444445</v>
      </c>
      <c r="C3072" s="76" t="s">
        <v>546</v>
      </c>
      <c r="D3072" s="76" t="s">
        <v>902</v>
      </c>
      <c r="E3072" s="79" t="s">
        <v>2326</v>
      </c>
      <c r="F3072" s="79"/>
    </row>
    <row r="3073" spans="1:7">
      <c r="A3073" s="77">
        <f t="shared" ca="1" si="245"/>
        <v>46009</v>
      </c>
      <c r="B3073" s="80">
        <f t="shared" ca="1" si="246"/>
        <v>46009.056523726853</v>
      </c>
      <c r="C3073" s="76" t="s">
        <v>546</v>
      </c>
      <c r="D3073" s="76" t="s">
        <v>902</v>
      </c>
      <c r="E3073" s="79" t="s">
        <v>2327</v>
      </c>
      <c r="F3073" s="79"/>
    </row>
    <row r="3074" spans="1:7">
      <c r="A3074" s="77">
        <f t="shared" ca="1" si="245"/>
        <v>46009</v>
      </c>
      <c r="B3074" s="80">
        <f t="shared" ca="1" si="246"/>
        <v>46009.085138194445</v>
      </c>
      <c r="C3074" s="76" t="s">
        <v>546</v>
      </c>
      <c r="D3074" s="76" t="s">
        <v>902</v>
      </c>
      <c r="E3074" s="79" t="s">
        <v>2328</v>
      </c>
      <c r="F3074" s="79"/>
    </row>
    <row r="3075" spans="1:7">
      <c r="A3075" s="77">
        <f t="shared" ca="1" si="245"/>
        <v>46009</v>
      </c>
      <c r="B3075" s="80">
        <f t="shared" ca="1" si="246"/>
        <v>46009.09373148148</v>
      </c>
      <c r="C3075" s="76" t="s">
        <v>546</v>
      </c>
      <c r="D3075" s="76" t="s">
        <v>902</v>
      </c>
      <c r="E3075" s="79" t="s">
        <v>2329</v>
      </c>
      <c r="F3075" s="79"/>
    </row>
    <row r="3076" spans="1:7">
      <c r="A3076" s="77">
        <f t="shared" ref="A3076:A3079" ca="1" si="247">IF(C3076&lt;&gt;0,IF(A3076=0,TODAY(),A3076),)</f>
        <v>46009</v>
      </c>
      <c r="B3076" s="80">
        <f t="shared" ref="B3076:B3079" ca="1" si="248">IF(C3076&lt;&gt;0,IF(B3076=0,NOW(),B3076),)</f>
        <v>46009.110890509262</v>
      </c>
      <c r="C3076" s="76" t="s">
        <v>546</v>
      </c>
      <c r="D3076" s="76" t="s">
        <v>902</v>
      </c>
      <c r="E3076" s="79" t="s">
        <v>2000</v>
      </c>
      <c r="F3076" s="79"/>
    </row>
    <row r="3077" spans="1:7">
      <c r="A3077" s="77">
        <f t="shared" ca="1" si="247"/>
        <v>46009</v>
      </c>
      <c r="B3077" s="80">
        <f t="shared" ca="1" si="248"/>
        <v>46009.123099999997</v>
      </c>
      <c r="C3077" s="76" t="s">
        <v>546</v>
      </c>
      <c r="D3077" s="150" t="s">
        <v>1007</v>
      </c>
      <c r="E3077" s="79" t="s">
        <v>2330</v>
      </c>
      <c r="F3077" s="79"/>
    </row>
    <row r="3078" spans="1:7">
      <c r="A3078" s="77">
        <f t="shared" ca="1" si="247"/>
        <v>46009</v>
      </c>
      <c r="B3078" s="80">
        <f t="shared" ca="1" si="248"/>
        <v>46009.15419548611</v>
      </c>
      <c r="C3078" s="76" t="s">
        <v>546</v>
      </c>
      <c r="D3078" s="210" t="s">
        <v>922</v>
      </c>
      <c r="E3078" s="79"/>
      <c r="F3078" s="79"/>
      <c r="G3078" s="76" t="s">
        <v>2331</v>
      </c>
    </row>
    <row r="3079" spans="1:7">
      <c r="A3079" s="77">
        <f t="shared" ca="1" si="247"/>
        <v>46009</v>
      </c>
      <c r="B3079" s="80">
        <f t="shared" ca="1" si="248"/>
        <v>46009.210270717595</v>
      </c>
      <c r="C3079" s="76" t="s">
        <v>546</v>
      </c>
      <c r="D3079" s="210" t="s">
        <v>1098</v>
      </c>
      <c r="E3079" s="79"/>
      <c r="F3079" s="79"/>
    </row>
    <row r="3080" spans="1:7">
      <c r="A3080" s="77">
        <f t="shared" ref="A3080:A3083" ca="1" si="249">IF(C3080&lt;&gt;0,IF(A3080=0,TODAY(),A3080),)</f>
        <v>46009</v>
      </c>
      <c r="B3080" s="80">
        <f t="shared" ref="B3080:B3083" ca="1" si="250">IF(C3080&lt;&gt;0,IF(B3080=0,NOW(),B3080),)</f>
        <v>46009.324567129632</v>
      </c>
      <c r="C3080" s="76" t="s">
        <v>551</v>
      </c>
      <c r="D3080" s="210" t="s">
        <v>906</v>
      </c>
      <c r="E3080" s="79"/>
      <c r="F3080" s="79"/>
    </row>
    <row r="3081" spans="1:7">
      <c r="A3081" s="77">
        <f t="shared" ca="1" si="249"/>
        <v>46009</v>
      </c>
      <c r="B3081" s="80">
        <f ca="1">IF(C3081&lt;&gt;0,IF(B3081=0,NOW(),B3081),)</f>
        <v>46009.393783680556</v>
      </c>
      <c r="C3081" s="76" t="s">
        <v>551</v>
      </c>
      <c r="D3081" s="210" t="s">
        <v>909</v>
      </c>
      <c r="E3081" s="79"/>
      <c r="F3081" s="79"/>
    </row>
    <row r="3082" spans="1:7">
      <c r="A3082" s="77">
        <f t="shared" ca="1" si="249"/>
        <v>46009</v>
      </c>
      <c r="B3082" s="80">
        <f t="shared" ca="1" si="250"/>
        <v>46009.393672916667</v>
      </c>
      <c r="C3082" s="76" t="s">
        <v>551</v>
      </c>
      <c r="D3082" s="76" t="s">
        <v>902</v>
      </c>
      <c r="E3082" s="79" t="s">
        <v>2332</v>
      </c>
      <c r="F3082" s="79"/>
    </row>
    <row r="3083" spans="1:7">
      <c r="A3083" s="77">
        <f t="shared" ca="1" si="249"/>
        <v>46009</v>
      </c>
      <c r="B3083" s="80">
        <f t="shared" ca="1" si="250"/>
        <v>46009.398282754628</v>
      </c>
      <c r="C3083" s="76" t="s">
        <v>551</v>
      </c>
      <c r="D3083" s="76" t="s">
        <v>902</v>
      </c>
      <c r="E3083" s="79" t="s">
        <v>2302</v>
      </c>
      <c r="F3083" s="79"/>
    </row>
    <row r="3084" spans="1:7">
      <c r="A3084" s="77">
        <f t="shared" ref="A3084:A3115" ca="1" si="251">IF(C3084&lt;&gt;0,IF(A3084=0,TODAY(),A3084),)</f>
        <v>46009</v>
      </c>
      <c r="B3084" s="80">
        <f t="shared" ref="B3084:B3122" ca="1" si="252">IF(C3084&lt;&gt;0,IF(B3084=0,NOW(),B3084),)</f>
        <v>46009.399331134256</v>
      </c>
      <c r="C3084" s="76" t="s">
        <v>551</v>
      </c>
      <c r="D3084" s="76" t="s">
        <v>902</v>
      </c>
      <c r="E3084" s="79" t="s">
        <v>2333</v>
      </c>
      <c r="F3084" s="79"/>
    </row>
    <row r="3085" spans="1:7">
      <c r="A3085" s="77">
        <f t="shared" ca="1" si="251"/>
        <v>46009</v>
      </c>
      <c r="B3085" s="80">
        <f t="shared" ca="1" si="252"/>
        <v>46009.403447222219</v>
      </c>
      <c r="C3085" s="76" t="s">
        <v>551</v>
      </c>
      <c r="D3085" s="76" t="s">
        <v>902</v>
      </c>
      <c r="E3085" s="79" t="s">
        <v>2334</v>
      </c>
      <c r="F3085" s="79"/>
      <c r="G3085" s="76" t="s">
        <v>2335</v>
      </c>
    </row>
    <row r="3086" spans="1:7">
      <c r="A3086" s="77">
        <f t="shared" ca="1" si="251"/>
        <v>46009</v>
      </c>
      <c r="B3086" s="80">
        <f t="shared" ca="1" si="252"/>
        <v>46009.407311342591</v>
      </c>
      <c r="C3086" s="76" t="s">
        <v>551</v>
      </c>
      <c r="D3086" s="76" t="s">
        <v>902</v>
      </c>
      <c r="E3086" s="79" t="s">
        <v>2336</v>
      </c>
      <c r="F3086" s="79" t="s">
        <v>2337</v>
      </c>
    </row>
    <row r="3087" spans="1:7">
      <c r="A3087" s="77">
        <f t="shared" ca="1" si="251"/>
        <v>46009</v>
      </c>
      <c r="B3087" s="80">
        <f t="shared" ca="1" si="252"/>
        <v>46009.417021527777</v>
      </c>
      <c r="C3087" s="76" t="s">
        <v>551</v>
      </c>
      <c r="D3087" s="76" t="s">
        <v>902</v>
      </c>
      <c r="E3087" s="79" t="s">
        <v>2334</v>
      </c>
      <c r="F3087" s="79"/>
    </row>
    <row r="3088" spans="1:7">
      <c r="A3088" s="77">
        <f t="shared" ca="1" si="251"/>
        <v>46009</v>
      </c>
      <c r="B3088" s="80">
        <f t="shared" ca="1" si="252"/>
        <v>46009.419239467592</v>
      </c>
      <c r="C3088" s="76" t="s">
        <v>551</v>
      </c>
      <c r="D3088" s="76" t="s">
        <v>902</v>
      </c>
      <c r="E3088" s="79" t="s">
        <v>1424</v>
      </c>
      <c r="F3088" s="79"/>
    </row>
    <row r="3089" spans="1:6">
      <c r="A3089" s="77">
        <f t="shared" ca="1" si="251"/>
        <v>46009</v>
      </c>
      <c r="B3089" s="80">
        <f t="shared" ca="1" si="252"/>
        <v>46009.427410648146</v>
      </c>
      <c r="C3089" s="76" t="s">
        <v>551</v>
      </c>
      <c r="D3089" s="76" t="s">
        <v>902</v>
      </c>
      <c r="E3089" s="79" t="s">
        <v>2338</v>
      </c>
      <c r="F3089" s="79"/>
    </row>
    <row r="3090" spans="1:6">
      <c r="A3090" s="77">
        <f t="shared" ca="1" si="251"/>
        <v>46009</v>
      </c>
      <c r="B3090" s="80">
        <f t="shared" ca="1" si="252"/>
        <v>46009.427642476854</v>
      </c>
      <c r="C3090" s="76" t="s">
        <v>551</v>
      </c>
      <c r="D3090" s="76" t="s">
        <v>902</v>
      </c>
      <c r="E3090" s="79" t="s">
        <v>1583</v>
      </c>
      <c r="F3090" s="79"/>
    </row>
    <row r="3091" spans="1:6">
      <c r="A3091" s="77">
        <f t="shared" ca="1" si="251"/>
        <v>46009</v>
      </c>
      <c r="B3091" s="80">
        <f t="shared" ca="1" si="252"/>
        <v>46009.430774189816</v>
      </c>
      <c r="C3091" s="76" t="s">
        <v>551</v>
      </c>
      <c r="D3091" s="150" t="s">
        <v>1007</v>
      </c>
      <c r="E3091" s="79" t="s">
        <v>2339</v>
      </c>
      <c r="F3091" s="79"/>
    </row>
    <row r="3092" spans="1:6">
      <c r="A3092" s="77">
        <f t="shared" ca="1" si="251"/>
        <v>46009</v>
      </c>
      <c r="B3092" s="80">
        <f t="shared" ca="1" si="252"/>
        <v>46009.465979745371</v>
      </c>
      <c r="C3092" s="76" t="s">
        <v>551</v>
      </c>
      <c r="D3092" s="76" t="s">
        <v>902</v>
      </c>
      <c r="E3092" s="79" t="s">
        <v>2340</v>
      </c>
      <c r="F3092" s="79"/>
    </row>
    <row r="3093" spans="1:6">
      <c r="A3093" s="77">
        <f t="shared" ca="1" si="251"/>
        <v>46009</v>
      </c>
      <c r="B3093" s="80">
        <f t="shared" ca="1" si="252"/>
        <v>46009.466814930558</v>
      </c>
      <c r="C3093" s="76" t="s">
        <v>551</v>
      </c>
      <c r="D3093" s="76" t="s">
        <v>902</v>
      </c>
      <c r="E3093" s="29" t="s">
        <v>2341</v>
      </c>
      <c r="F3093" s="79"/>
    </row>
    <row r="3094" spans="1:6">
      <c r="A3094" s="77">
        <f t="shared" ca="1" si="251"/>
        <v>46009</v>
      </c>
      <c r="B3094" s="80">
        <f t="shared" ca="1" si="252"/>
        <v>46009.471338310184</v>
      </c>
      <c r="C3094" s="76" t="s">
        <v>551</v>
      </c>
      <c r="D3094" s="76" t="s">
        <v>902</v>
      </c>
      <c r="E3094" s="79" t="s">
        <v>2342</v>
      </c>
      <c r="F3094" s="79"/>
    </row>
    <row r="3095" spans="1:6">
      <c r="A3095" s="77">
        <f t="shared" ca="1" si="251"/>
        <v>46009</v>
      </c>
      <c r="B3095" s="80">
        <f t="shared" ca="1" si="252"/>
        <v>46009.474189930559</v>
      </c>
      <c r="C3095" s="76" t="s">
        <v>551</v>
      </c>
      <c r="D3095" s="76" t="s">
        <v>902</v>
      </c>
      <c r="E3095" s="29" t="s">
        <v>2341</v>
      </c>
      <c r="F3095" s="79"/>
    </row>
    <row r="3096" spans="1:6">
      <c r="A3096" s="77">
        <f t="shared" ca="1" si="251"/>
        <v>46009</v>
      </c>
      <c r="B3096" s="80">
        <f t="shared" ca="1" si="252"/>
        <v>46009.488840625003</v>
      </c>
      <c r="C3096" s="76" t="s">
        <v>551</v>
      </c>
      <c r="D3096" s="76" t="s">
        <v>902</v>
      </c>
      <c r="E3096" s="90" t="s">
        <v>2000</v>
      </c>
      <c r="F3096" s="79"/>
    </row>
    <row r="3097" spans="1:6">
      <c r="A3097" s="77">
        <f t="shared" ca="1" si="251"/>
        <v>46009</v>
      </c>
      <c r="B3097" s="80">
        <f t="shared" ca="1" si="252"/>
        <v>46009.497709027775</v>
      </c>
      <c r="C3097" s="76" t="s">
        <v>551</v>
      </c>
      <c r="D3097" s="76" t="s">
        <v>902</v>
      </c>
      <c r="E3097" s="90" t="s">
        <v>2342</v>
      </c>
      <c r="F3097" s="79"/>
    </row>
    <row r="3098" spans="1:6">
      <c r="A3098" s="77">
        <f t="shared" ca="1" si="251"/>
        <v>46009</v>
      </c>
      <c r="B3098" s="80">
        <f t="shared" ca="1" si="252"/>
        <v>46009.504269097219</v>
      </c>
      <c r="C3098" s="76" t="s">
        <v>551</v>
      </c>
      <c r="D3098" s="76" t="s">
        <v>902</v>
      </c>
      <c r="E3098" s="90" t="s">
        <v>2318</v>
      </c>
      <c r="F3098" s="79"/>
    </row>
    <row r="3099" spans="1:6">
      <c r="A3099" s="77">
        <f t="shared" ca="1" si="251"/>
        <v>46009</v>
      </c>
      <c r="B3099" s="80">
        <f t="shared" ca="1" si="252"/>
        <v>46009.520734490739</v>
      </c>
      <c r="C3099" s="76" t="s">
        <v>551</v>
      </c>
      <c r="D3099" s="76" t="s">
        <v>902</v>
      </c>
      <c r="E3099" s="90" t="s">
        <v>2342</v>
      </c>
      <c r="F3099" s="79"/>
    </row>
    <row r="3100" spans="1:6">
      <c r="A3100" s="77">
        <f t="shared" ca="1" si="251"/>
        <v>46009</v>
      </c>
      <c r="B3100" s="80">
        <f t="shared" ca="1" si="252"/>
        <v>46009.528190277779</v>
      </c>
      <c r="C3100" s="76" t="s">
        <v>551</v>
      </c>
      <c r="D3100" s="76" t="s">
        <v>902</v>
      </c>
      <c r="E3100" s="90" t="s">
        <v>2343</v>
      </c>
      <c r="F3100" s="79"/>
    </row>
    <row r="3101" spans="1:6">
      <c r="A3101" s="77">
        <f t="shared" ca="1" si="251"/>
        <v>46009</v>
      </c>
      <c r="B3101" s="80">
        <f t="shared" ca="1" si="252"/>
        <v>46009.535035995374</v>
      </c>
      <c r="C3101" s="76" t="s">
        <v>551</v>
      </c>
      <c r="D3101" s="76" t="s">
        <v>902</v>
      </c>
      <c r="E3101" s="90" t="s">
        <v>2318</v>
      </c>
      <c r="F3101" s="79"/>
    </row>
    <row r="3102" spans="1:6">
      <c r="A3102" s="77">
        <f t="shared" ca="1" si="251"/>
        <v>46009</v>
      </c>
      <c r="B3102" s="80">
        <f t="shared" ca="1" si="252"/>
        <v>46009.546336226849</v>
      </c>
      <c r="C3102" s="76" t="s">
        <v>551</v>
      </c>
      <c r="D3102" s="76" t="s">
        <v>902</v>
      </c>
      <c r="E3102" s="90" t="s">
        <v>2344</v>
      </c>
      <c r="F3102" s="79"/>
    </row>
    <row r="3103" spans="1:6">
      <c r="A3103" s="77">
        <f t="shared" ca="1" si="251"/>
        <v>46009</v>
      </c>
      <c r="B3103" s="80">
        <f t="shared" ca="1" si="252"/>
        <v>46009.548570949075</v>
      </c>
      <c r="C3103" s="76" t="s">
        <v>551</v>
      </c>
      <c r="D3103" s="76" t="s">
        <v>902</v>
      </c>
      <c r="E3103" s="90" t="s">
        <v>2072</v>
      </c>
      <c r="F3103" s="79"/>
    </row>
    <row r="3104" spans="1:6">
      <c r="A3104" s="77">
        <f t="shared" ca="1" si="251"/>
        <v>46009</v>
      </c>
      <c r="B3104" s="80">
        <f t="shared" ca="1" si="252"/>
        <v>46009.559171875</v>
      </c>
      <c r="C3104" s="76" t="s">
        <v>551</v>
      </c>
      <c r="D3104" s="76" t="s">
        <v>902</v>
      </c>
      <c r="E3104" s="90" t="s">
        <v>2072</v>
      </c>
      <c r="F3104" s="79"/>
    </row>
    <row r="3105" spans="1:7">
      <c r="A3105" s="77">
        <f t="shared" ca="1" si="251"/>
        <v>46009</v>
      </c>
      <c r="B3105" s="80">
        <f t="shared" ca="1" si="252"/>
        <v>46009.562782986111</v>
      </c>
      <c r="C3105" s="76" t="s">
        <v>551</v>
      </c>
      <c r="D3105" s="76" t="s">
        <v>902</v>
      </c>
      <c r="E3105" s="90" t="s">
        <v>911</v>
      </c>
      <c r="F3105" s="79"/>
      <c r="G3105" s="90" t="s">
        <v>1275</v>
      </c>
    </row>
    <row r="3106" spans="1:7">
      <c r="A3106" s="77">
        <f t="shared" ca="1" si="251"/>
        <v>46009</v>
      </c>
      <c r="B3106" s="80">
        <f t="shared" ca="1" si="252"/>
        <v>46009.59407673611</v>
      </c>
      <c r="C3106" s="76" t="s">
        <v>551</v>
      </c>
      <c r="D3106" s="76" t="s">
        <v>902</v>
      </c>
      <c r="E3106" s="90" t="s">
        <v>2345</v>
      </c>
      <c r="F3106" s="79"/>
    </row>
    <row r="3107" spans="1:7">
      <c r="A3107" s="77">
        <f t="shared" ca="1" si="251"/>
        <v>46009</v>
      </c>
      <c r="B3107" s="80">
        <f t="shared" ca="1" si="252"/>
        <v>46009.603619560185</v>
      </c>
      <c r="C3107" s="76" t="s">
        <v>551</v>
      </c>
      <c r="D3107" s="76" t="s">
        <v>902</v>
      </c>
      <c r="E3107" s="90" t="s">
        <v>2072</v>
      </c>
      <c r="F3107" s="79"/>
    </row>
    <row r="3108" spans="1:7">
      <c r="A3108" s="77">
        <f t="shared" ca="1" si="251"/>
        <v>46009</v>
      </c>
      <c r="B3108" s="80">
        <f t="shared" ca="1" si="252"/>
        <v>46009.610506018522</v>
      </c>
      <c r="C3108" s="76" t="s">
        <v>551</v>
      </c>
      <c r="D3108" s="76" t="s">
        <v>902</v>
      </c>
      <c r="E3108" s="90" t="s">
        <v>2346</v>
      </c>
      <c r="F3108" s="79"/>
    </row>
    <row r="3109" spans="1:7">
      <c r="A3109" s="77">
        <f t="shared" ca="1" si="251"/>
        <v>46009</v>
      </c>
      <c r="B3109" s="80">
        <f t="shared" ca="1" si="252"/>
        <v>46009.61537349537</v>
      </c>
      <c r="C3109" s="76" t="s">
        <v>551</v>
      </c>
      <c r="D3109" s="76" t="s">
        <v>902</v>
      </c>
      <c r="E3109" s="90" t="s">
        <v>2347</v>
      </c>
      <c r="F3109" s="79"/>
    </row>
    <row r="3110" spans="1:7">
      <c r="A3110" s="77">
        <f t="shared" ca="1" si="251"/>
        <v>46009</v>
      </c>
      <c r="B3110" s="80">
        <f t="shared" ca="1" si="252"/>
        <v>46009.64746064815</v>
      </c>
      <c r="C3110" s="76" t="s">
        <v>551</v>
      </c>
      <c r="D3110" s="76" t="s">
        <v>902</v>
      </c>
      <c r="E3110" s="90" t="s">
        <v>2348</v>
      </c>
      <c r="F3110" s="79"/>
    </row>
    <row r="3111" spans="1:7">
      <c r="A3111" s="77">
        <f t="shared" ca="1" si="251"/>
        <v>46009</v>
      </c>
      <c r="B3111" s="80">
        <f t="shared" ca="1" si="252"/>
        <v>46009.655209722223</v>
      </c>
      <c r="C3111" s="76" t="s">
        <v>551</v>
      </c>
      <c r="D3111" s="76" t="s">
        <v>902</v>
      </c>
      <c r="E3111" s="90" t="s">
        <v>2072</v>
      </c>
      <c r="F3111" s="79"/>
    </row>
    <row r="3112" spans="1:7">
      <c r="A3112" s="77">
        <f t="shared" ca="1" si="251"/>
        <v>46009</v>
      </c>
      <c r="B3112" s="80">
        <f t="shared" ca="1" si="252"/>
        <v>46009.662014814814</v>
      </c>
      <c r="C3112" s="76" t="s">
        <v>551</v>
      </c>
      <c r="D3112" s="76" t="s">
        <v>902</v>
      </c>
      <c r="E3112" s="90" t="s">
        <v>1196</v>
      </c>
      <c r="F3112" s="79"/>
    </row>
    <row r="3113" spans="1:7">
      <c r="A3113" s="77">
        <f t="shared" ca="1" si="251"/>
        <v>46009</v>
      </c>
      <c r="B3113" s="80">
        <f t="shared" ca="1" si="252"/>
        <v>46009.672129976854</v>
      </c>
      <c r="C3113" s="76" t="s">
        <v>551</v>
      </c>
      <c r="D3113" s="76" t="s">
        <v>902</v>
      </c>
      <c r="E3113" s="90" t="s">
        <v>2338</v>
      </c>
      <c r="F3113" s="79"/>
    </row>
    <row r="3114" spans="1:7">
      <c r="A3114" s="77">
        <f t="shared" ca="1" si="251"/>
        <v>46009</v>
      </c>
      <c r="B3114" s="80">
        <f t="shared" ca="1" si="252"/>
        <v>46009.672965046295</v>
      </c>
      <c r="C3114" s="76" t="s">
        <v>551</v>
      </c>
      <c r="D3114" s="76" t="s">
        <v>902</v>
      </c>
      <c r="E3114" s="90" t="s">
        <v>1196</v>
      </c>
      <c r="F3114" s="79"/>
    </row>
    <row r="3115" spans="1:7">
      <c r="A3115" s="77">
        <f t="shared" ca="1" si="251"/>
        <v>46009</v>
      </c>
      <c r="B3115" s="80">
        <f t="shared" ca="1" si="252"/>
        <v>46009.675455671299</v>
      </c>
      <c r="C3115" s="76" t="s">
        <v>551</v>
      </c>
      <c r="D3115" s="76" t="s">
        <v>902</v>
      </c>
      <c r="E3115" s="90" t="s">
        <v>1196</v>
      </c>
      <c r="F3115" s="79"/>
    </row>
    <row r="3116" spans="1:7">
      <c r="A3116" s="77">
        <f t="shared" ref="A3116:A3136" ca="1" si="253">IF(C3116&lt;&gt;0,IF(A3116=0,TODAY(),A3116),)</f>
        <v>46009</v>
      </c>
      <c r="B3116" s="80">
        <f t="shared" ca="1" si="252"/>
        <v>46009.689244560184</v>
      </c>
      <c r="C3116" s="76" t="s">
        <v>551</v>
      </c>
      <c r="D3116" s="76" t="s">
        <v>902</v>
      </c>
      <c r="E3116" s="90" t="s">
        <v>911</v>
      </c>
      <c r="F3116" s="79"/>
      <c r="G3116" s="90" t="s">
        <v>1275</v>
      </c>
    </row>
    <row r="3117" spans="1:7">
      <c r="A3117" s="77">
        <f t="shared" ca="1" si="253"/>
        <v>46009</v>
      </c>
      <c r="B3117" s="80">
        <f t="shared" ca="1" si="252"/>
        <v>46009.705393402779</v>
      </c>
      <c r="C3117" s="76" t="s">
        <v>551</v>
      </c>
      <c r="D3117" s="76" t="s">
        <v>902</v>
      </c>
      <c r="E3117" s="90" t="s">
        <v>1770</v>
      </c>
      <c r="F3117" s="79"/>
    </row>
    <row r="3118" spans="1:7">
      <c r="A3118" s="77">
        <f t="shared" ca="1" si="253"/>
        <v>46009</v>
      </c>
      <c r="B3118" s="80">
        <f t="shared" ca="1" si="252"/>
        <v>46009.708862962965</v>
      </c>
      <c r="C3118" s="76" t="s">
        <v>551</v>
      </c>
      <c r="D3118" s="76" t="s">
        <v>902</v>
      </c>
      <c r="E3118" s="90" t="s">
        <v>1249</v>
      </c>
      <c r="F3118" s="79"/>
    </row>
    <row r="3119" spans="1:7">
      <c r="A3119" s="77">
        <f t="shared" ca="1" si="253"/>
        <v>46009</v>
      </c>
      <c r="B3119" s="80">
        <f t="shared" ca="1" si="252"/>
        <v>46009.71776122685</v>
      </c>
      <c r="C3119" s="76" t="s">
        <v>551</v>
      </c>
      <c r="D3119" s="76" t="s">
        <v>902</v>
      </c>
      <c r="E3119" s="90" t="s">
        <v>2181</v>
      </c>
      <c r="F3119" s="79"/>
    </row>
    <row r="3120" spans="1:7">
      <c r="A3120" s="77">
        <f t="shared" ca="1" si="253"/>
        <v>46009</v>
      </c>
      <c r="B3120" s="80">
        <f t="shared" ca="1" si="252"/>
        <v>46009.724295023145</v>
      </c>
      <c r="C3120" s="76" t="s">
        <v>551</v>
      </c>
      <c r="D3120" s="76" t="s">
        <v>902</v>
      </c>
      <c r="E3120" s="90" t="s">
        <v>2349</v>
      </c>
      <c r="F3120" s="79"/>
    </row>
    <row r="3121" spans="1:7">
      <c r="A3121" s="77">
        <f t="shared" ca="1" si="253"/>
        <v>46009</v>
      </c>
      <c r="B3121" s="80">
        <f t="shared" ca="1" si="252"/>
        <v>46009.724804861115</v>
      </c>
      <c r="C3121" s="76" t="s">
        <v>551</v>
      </c>
      <c r="D3121" s="76" t="s">
        <v>902</v>
      </c>
      <c r="E3121" s="90" t="s">
        <v>2349</v>
      </c>
      <c r="F3121" s="79"/>
    </row>
    <row r="3122" spans="1:7">
      <c r="A3122" s="77">
        <f t="shared" ca="1" si="253"/>
        <v>46009</v>
      </c>
      <c r="B3122" s="80">
        <f t="shared" ca="1" si="252"/>
        <v>46009.74241377315</v>
      </c>
      <c r="C3122" s="76" t="s">
        <v>551</v>
      </c>
      <c r="D3122" s="210" t="s">
        <v>922</v>
      </c>
      <c r="E3122" s="90"/>
      <c r="F3122" s="79"/>
    </row>
    <row r="3123" spans="1:7">
      <c r="A3123" s="77">
        <f t="shared" ca="1" si="253"/>
        <v>46009</v>
      </c>
      <c r="B3123" s="80">
        <v>0.74888888888888894</v>
      </c>
      <c r="C3123" s="76" t="s">
        <v>551</v>
      </c>
      <c r="D3123" s="210" t="s">
        <v>1098</v>
      </c>
      <c r="E3123" s="79"/>
      <c r="F3123" s="79"/>
    </row>
    <row r="3124" spans="1:7">
      <c r="A3124" s="77">
        <f t="shared" ca="1" si="253"/>
        <v>46009</v>
      </c>
      <c r="B3124" s="80">
        <f t="shared" ref="B3124:B3132" ca="1" si="254">IF(C3124&lt;&gt;0,IF(B3124=0,NOW(),B3124),)</f>
        <v>46009.834976273145</v>
      </c>
      <c r="C3124" s="76" t="s">
        <v>555</v>
      </c>
      <c r="D3124" s="210" t="s">
        <v>906</v>
      </c>
      <c r="E3124" s="79"/>
      <c r="F3124" s="79"/>
    </row>
    <row r="3125" spans="1:7">
      <c r="A3125" s="77">
        <f t="shared" ca="1" si="253"/>
        <v>46009</v>
      </c>
      <c r="B3125" s="80">
        <f t="shared" ca="1" si="254"/>
        <v>46009.842965046293</v>
      </c>
      <c r="C3125" s="76" t="s">
        <v>555</v>
      </c>
      <c r="D3125" s="150" t="s">
        <v>1070</v>
      </c>
      <c r="E3125" s="79"/>
      <c r="F3125" s="79"/>
    </row>
    <row r="3126" spans="1:7">
      <c r="A3126" s="77">
        <f t="shared" ca="1" si="253"/>
        <v>46009</v>
      </c>
      <c r="B3126" s="80">
        <f t="shared" ca="1" si="254"/>
        <v>46009.847067592593</v>
      </c>
      <c r="C3126" s="76" t="s">
        <v>555</v>
      </c>
      <c r="D3126" s="210" t="s">
        <v>909</v>
      </c>
      <c r="E3126" s="79"/>
      <c r="F3126" s="79"/>
    </row>
    <row r="3127" spans="1:7">
      <c r="A3127" s="77">
        <f t="shared" ca="1" si="253"/>
        <v>46009</v>
      </c>
      <c r="B3127" s="80">
        <f t="shared" ca="1" si="254"/>
        <v>46009.852258564817</v>
      </c>
      <c r="C3127" s="76" t="s">
        <v>555</v>
      </c>
      <c r="D3127" s="76" t="s">
        <v>902</v>
      </c>
      <c r="E3127" s="79" t="s">
        <v>2350</v>
      </c>
      <c r="F3127" s="79"/>
    </row>
    <row r="3128" spans="1:7">
      <c r="A3128" s="77">
        <f t="shared" ca="1" si="253"/>
        <v>46009</v>
      </c>
      <c r="B3128" s="80">
        <f t="shared" ca="1" si="254"/>
        <v>46009.860415162038</v>
      </c>
      <c r="C3128" s="76" t="s">
        <v>555</v>
      </c>
      <c r="D3128" s="76" t="s">
        <v>902</v>
      </c>
      <c r="E3128" s="79" t="s">
        <v>2351</v>
      </c>
      <c r="F3128" s="79"/>
    </row>
    <row r="3129" spans="1:7">
      <c r="A3129" s="77">
        <f t="shared" ca="1" si="253"/>
        <v>46009</v>
      </c>
      <c r="B3129" s="80">
        <f t="shared" ca="1" si="254"/>
        <v>46009.869741435185</v>
      </c>
      <c r="C3129" s="76" t="s">
        <v>555</v>
      </c>
      <c r="D3129" s="150" t="s">
        <v>1007</v>
      </c>
      <c r="E3129" s="79" t="s">
        <v>2352</v>
      </c>
      <c r="F3129" s="79"/>
    </row>
    <row r="3130" spans="1:7">
      <c r="A3130" s="77">
        <f t="shared" ca="1" si="253"/>
        <v>46009</v>
      </c>
      <c r="B3130" s="80">
        <f t="shared" ca="1" si="254"/>
        <v>46009.891895833331</v>
      </c>
      <c r="C3130" s="76" t="s">
        <v>555</v>
      </c>
      <c r="D3130" s="76" t="s">
        <v>902</v>
      </c>
      <c r="E3130" s="79" t="s">
        <v>2353</v>
      </c>
      <c r="F3130" s="79"/>
    </row>
    <row r="3131" spans="1:7">
      <c r="A3131" s="77">
        <f t="shared" ca="1" si="253"/>
        <v>46009</v>
      </c>
      <c r="B3131" s="80">
        <f t="shared" ca="1" si="254"/>
        <v>46009.900266203702</v>
      </c>
      <c r="C3131" s="76" t="s">
        <v>555</v>
      </c>
      <c r="D3131" s="76" t="s">
        <v>902</v>
      </c>
      <c r="E3131" s="90" t="s">
        <v>2072</v>
      </c>
      <c r="F3131" s="79"/>
    </row>
    <row r="3132" spans="1:7">
      <c r="A3132" s="77">
        <f t="shared" ca="1" si="253"/>
        <v>46009</v>
      </c>
      <c r="B3132" s="80">
        <f t="shared" ca="1" si="254"/>
        <v>46009.900860995367</v>
      </c>
      <c r="C3132" s="76" t="s">
        <v>555</v>
      </c>
      <c r="D3132" s="76" t="s">
        <v>902</v>
      </c>
      <c r="E3132" s="90" t="s">
        <v>2005</v>
      </c>
      <c r="F3132" s="79"/>
    </row>
    <row r="3133" spans="1:7">
      <c r="A3133" s="77">
        <f t="shared" ca="1" si="253"/>
        <v>46009</v>
      </c>
      <c r="B3133" s="80">
        <v>0.90902777777777777</v>
      </c>
      <c r="C3133" s="76" t="s">
        <v>555</v>
      </c>
      <c r="D3133" s="210" t="s">
        <v>922</v>
      </c>
      <c r="E3133" s="90" t="s">
        <v>2354</v>
      </c>
      <c r="F3133" s="79"/>
      <c r="G3133" s="76" t="s">
        <v>2355</v>
      </c>
    </row>
    <row r="3134" spans="1:7">
      <c r="A3134" s="77">
        <f t="shared" ca="1" si="253"/>
        <v>46009</v>
      </c>
      <c r="B3134" s="80">
        <f ca="1">IF(C3134&lt;&gt;0,IF(B3134=0,NOW(),B3134),)</f>
        <v>46009.958626273146</v>
      </c>
      <c r="C3134" s="76" t="s">
        <v>555</v>
      </c>
      <c r="D3134" s="210" t="s">
        <v>1098</v>
      </c>
      <c r="E3134" s="90"/>
      <c r="F3134" s="79"/>
    </row>
    <row r="3135" spans="1:7">
      <c r="A3135" s="77">
        <f t="shared" ca="1" si="253"/>
        <v>46010</v>
      </c>
      <c r="B3135" s="80">
        <v>2.013888888888889E-2</v>
      </c>
      <c r="C3135" s="76" t="s">
        <v>555</v>
      </c>
      <c r="D3135" s="210" t="s">
        <v>906</v>
      </c>
      <c r="E3135" s="79" t="s">
        <v>2337</v>
      </c>
      <c r="F3135" s="79"/>
    </row>
    <row r="3136" spans="1:7">
      <c r="A3136" s="77">
        <f t="shared" ca="1" si="253"/>
        <v>46010</v>
      </c>
      <c r="B3136" s="80">
        <f ca="1">IF(C3136&lt;&gt;0,IF(B3136=0,NOW(),B3136),)</f>
        <v>46010.081318402779</v>
      </c>
      <c r="C3136" s="76" t="s">
        <v>555</v>
      </c>
      <c r="D3136" s="210" t="s">
        <v>909</v>
      </c>
      <c r="E3136" s="79" t="s">
        <v>2356</v>
      </c>
      <c r="F3136" s="79"/>
    </row>
    <row r="3137" spans="1:7">
      <c r="A3137" s="77">
        <f t="shared" ref="A3137:A3142" ca="1" si="255">IF(C3137&lt;&gt;0,IF(A3137=0,TODAY(),A3137),)</f>
        <v>46010</v>
      </c>
      <c r="B3137" s="80">
        <f t="shared" ref="B3137:B3142" ca="1" si="256">IF(C3137&lt;&gt;0,IF(B3137=0,NOW(),B3137),)</f>
        <v>46010.083243055553</v>
      </c>
      <c r="C3137" s="76" t="s">
        <v>555</v>
      </c>
      <c r="D3137" s="76" t="s">
        <v>902</v>
      </c>
      <c r="E3137" s="79" t="s">
        <v>2357</v>
      </c>
      <c r="F3137" s="79"/>
    </row>
    <row r="3138" spans="1:7">
      <c r="A3138" s="77">
        <f t="shared" ca="1" si="255"/>
        <v>46010</v>
      </c>
      <c r="B3138" s="80">
        <f t="shared" ca="1" si="256"/>
        <v>46010.084284375</v>
      </c>
      <c r="C3138" s="76" t="s">
        <v>555</v>
      </c>
      <c r="D3138" s="76" t="s">
        <v>902</v>
      </c>
      <c r="E3138" s="79" t="s">
        <v>2000</v>
      </c>
      <c r="F3138" s="79"/>
    </row>
    <row r="3139" spans="1:7">
      <c r="A3139" s="77">
        <f t="shared" ca="1" si="255"/>
        <v>46010</v>
      </c>
      <c r="B3139" s="80">
        <f t="shared" ca="1" si="256"/>
        <v>46010.092988888886</v>
      </c>
      <c r="C3139" s="76" t="s">
        <v>555</v>
      </c>
      <c r="D3139" s="76" t="s">
        <v>902</v>
      </c>
      <c r="E3139" s="79" t="s">
        <v>2336</v>
      </c>
      <c r="F3139" s="79"/>
    </row>
    <row r="3140" spans="1:7">
      <c r="A3140" s="77">
        <f t="shared" ca="1" si="255"/>
        <v>46010</v>
      </c>
      <c r="B3140" s="80">
        <f t="shared" ca="1" si="256"/>
        <v>46010.101140625004</v>
      </c>
      <c r="C3140" s="76" t="s">
        <v>555</v>
      </c>
      <c r="D3140" s="76" t="s">
        <v>902</v>
      </c>
      <c r="E3140" s="79" t="s">
        <v>1196</v>
      </c>
      <c r="F3140" s="79"/>
    </row>
    <row r="3141" spans="1:7">
      <c r="A3141" s="77">
        <f t="shared" ca="1" si="255"/>
        <v>46010</v>
      </c>
      <c r="B3141" s="80">
        <v>0.10277777777777777</v>
      </c>
      <c r="C3141" s="76" t="s">
        <v>555</v>
      </c>
      <c r="D3141" s="76" t="s">
        <v>902</v>
      </c>
      <c r="E3141" s="79" t="s">
        <v>911</v>
      </c>
      <c r="F3141" s="79"/>
      <c r="G3141" s="76" t="s">
        <v>2358</v>
      </c>
    </row>
    <row r="3142" spans="1:7">
      <c r="A3142" s="77">
        <f t="shared" ca="1" si="255"/>
        <v>46010</v>
      </c>
      <c r="B3142" s="80">
        <f t="shared" ca="1" si="256"/>
        <v>46010.115355787035</v>
      </c>
      <c r="C3142" s="76" t="s">
        <v>555</v>
      </c>
      <c r="D3142" s="76" t="s">
        <v>902</v>
      </c>
      <c r="E3142" s="79" t="s">
        <v>911</v>
      </c>
      <c r="F3142" s="79"/>
      <c r="G3142" s="76" t="s">
        <v>2358</v>
      </c>
    </row>
    <row r="3143" spans="1:7">
      <c r="A3143" s="77">
        <f t="shared" ref="A3143:A3154" ca="1" si="257">IF(C3143&lt;&gt;0,IF(A3143=0,TODAY(),A3143),)</f>
        <v>46010</v>
      </c>
      <c r="B3143" s="80">
        <f t="shared" ref="B3143:B3154" ca="1" si="258">IF(C3143&lt;&gt;0,IF(B3143=0,NOW(),B3143),)</f>
        <v>46010.12099722222</v>
      </c>
      <c r="C3143" s="76" t="s">
        <v>555</v>
      </c>
      <c r="D3143" s="76" t="s">
        <v>902</v>
      </c>
      <c r="E3143" s="79" t="s">
        <v>2359</v>
      </c>
      <c r="F3143" s="79"/>
    </row>
    <row r="3144" spans="1:7">
      <c r="A3144" s="77">
        <f t="shared" ca="1" si="257"/>
        <v>46010</v>
      </c>
      <c r="B3144" s="80">
        <f t="shared" ca="1" si="258"/>
        <v>46010.135704282409</v>
      </c>
      <c r="C3144" s="76" t="s">
        <v>555</v>
      </c>
      <c r="D3144" s="76" t="s">
        <v>902</v>
      </c>
      <c r="E3144" s="79" t="s">
        <v>2360</v>
      </c>
      <c r="F3144" s="79"/>
    </row>
    <row r="3145" spans="1:7">
      <c r="A3145" s="77">
        <f t="shared" ca="1" si="257"/>
        <v>46010</v>
      </c>
      <c r="B3145" s="80">
        <f t="shared" ca="1" si="258"/>
        <v>46010.15820416667</v>
      </c>
      <c r="C3145" s="76" t="s">
        <v>555</v>
      </c>
      <c r="D3145" s="76" t="s">
        <v>902</v>
      </c>
      <c r="E3145" s="79" t="s">
        <v>2361</v>
      </c>
      <c r="F3145" s="79"/>
    </row>
    <row r="3146" spans="1:7">
      <c r="A3146" s="77">
        <f t="shared" ca="1" si="257"/>
        <v>46010</v>
      </c>
      <c r="B3146" s="80">
        <f t="shared" ca="1" si="258"/>
        <v>46010.167138888886</v>
      </c>
      <c r="C3146" s="76" t="s">
        <v>555</v>
      </c>
      <c r="D3146" s="76" t="s">
        <v>902</v>
      </c>
      <c r="E3146" s="79" t="s">
        <v>2000</v>
      </c>
      <c r="F3146" s="79"/>
    </row>
    <row r="3147" spans="1:7">
      <c r="A3147" s="77">
        <f t="shared" ca="1" si="257"/>
        <v>46010</v>
      </c>
      <c r="B3147" s="80">
        <f t="shared" ca="1" si="258"/>
        <v>46010.16826608796</v>
      </c>
      <c r="C3147" s="76" t="s">
        <v>555</v>
      </c>
      <c r="D3147" s="76" t="s">
        <v>902</v>
      </c>
      <c r="E3147" s="79" t="s">
        <v>2357</v>
      </c>
      <c r="F3147" s="79"/>
    </row>
    <row r="3148" spans="1:7">
      <c r="A3148" s="77">
        <f t="shared" ca="1" si="257"/>
        <v>46010</v>
      </c>
      <c r="B3148" s="80">
        <f t="shared" ca="1" si="258"/>
        <v>46010.174313657408</v>
      </c>
      <c r="C3148" s="76" t="s">
        <v>555</v>
      </c>
      <c r="D3148" s="76" t="s">
        <v>902</v>
      </c>
      <c r="E3148" s="79" t="s">
        <v>2284</v>
      </c>
      <c r="F3148" s="79"/>
    </row>
    <row r="3149" spans="1:7">
      <c r="A3149" s="77">
        <f t="shared" ca="1" si="257"/>
        <v>46010</v>
      </c>
      <c r="B3149" s="80">
        <f t="shared" ca="1" si="258"/>
        <v>46010.19814537037</v>
      </c>
      <c r="C3149" s="76" t="s">
        <v>555</v>
      </c>
      <c r="D3149" s="76" t="s">
        <v>902</v>
      </c>
      <c r="E3149" s="79" t="s">
        <v>2362</v>
      </c>
      <c r="F3149" s="79"/>
      <c r="G3149" s="76" t="s">
        <v>1996</v>
      </c>
    </row>
    <row r="3150" spans="1:7">
      <c r="A3150" s="77">
        <f t="shared" ca="1" si="257"/>
        <v>46010</v>
      </c>
      <c r="B3150" s="80">
        <f t="shared" ca="1" si="258"/>
        <v>46010.203783912038</v>
      </c>
      <c r="C3150" s="76" t="s">
        <v>555</v>
      </c>
      <c r="D3150" s="76" t="s">
        <v>902</v>
      </c>
      <c r="E3150" s="79" t="s">
        <v>2363</v>
      </c>
      <c r="F3150" s="79"/>
    </row>
    <row r="3151" spans="1:7">
      <c r="A3151" s="77">
        <f t="shared" ca="1" si="257"/>
        <v>46010</v>
      </c>
      <c r="B3151" s="80">
        <f t="shared" ca="1" si="258"/>
        <v>46010.205699768521</v>
      </c>
      <c r="C3151" s="76" t="s">
        <v>555</v>
      </c>
      <c r="D3151" s="76" t="s">
        <v>902</v>
      </c>
      <c r="E3151" s="79" t="s">
        <v>2364</v>
      </c>
      <c r="F3151" s="79"/>
    </row>
    <row r="3152" spans="1:7">
      <c r="A3152" s="77">
        <f t="shared" ca="1" si="257"/>
        <v>46010</v>
      </c>
      <c r="B3152" s="80">
        <f t="shared" ca="1" si="258"/>
        <v>46010.209327893521</v>
      </c>
      <c r="C3152" s="76" t="s">
        <v>555</v>
      </c>
      <c r="D3152" s="76" t="s">
        <v>902</v>
      </c>
      <c r="E3152" s="79" t="s">
        <v>2365</v>
      </c>
      <c r="F3152" s="79"/>
    </row>
    <row r="3153" spans="1:7">
      <c r="A3153" s="77">
        <f t="shared" ca="1" si="257"/>
        <v>46010</v>
      </c>
      <c r="B3153" s="80">
        <f t="shared" ca="1" si="258"/>
        <v>46010.255961921299</v>
      </c>
      <c r="C3153" s="76" t="s">
        <v>555</v>
      </c>
      <c r="D3153" s="76" t="s">
        <v>902</v>
      </c>
      <c r="E3153" s="79" t="s">
        <v>911</v>
      </c>
      <c r="F3153" s="79"/>
    </row>
    <row r="3154" spans="1:7">
      <c r="A3154" s="77">
        <f t="shared" ca="1" si="257"/>
        <v>46010</v>
      </c>
      <c r="B3154" s="80">
        <f t="shared" ca="1" si="258"/>
        <v>46010.26523020833</v>
      </c>
      <c r="C3154" s="76" t="s">
        <v>555</v>
      </c>
      <c r="D3154" s="76" t="s">
        <v>902</v>
      </c>
      <c r="E3154" s="79" t="s">
        <v>2357</v>
      </c>
      <c r="F3154" s="79"/>
    </row>
    <row r="3155" spans="1:7">
      <c r="A3155" s="77">
        <f t="shared" ref="A3155:A3197" ca="1" si="259">IF(C3155&lt;&gt;0,IF(A3155=0,TODAY(),A3155),)</f>
        <v>46010</v>
      </c>
      <c r="B3155" s="80">
        <f t="shared" ref="B3155:B3192" ca="1" si="260">IF(C3155&lt;&gt;0,IF(B3155=0,NOW(),B3155),)</f>
        <v>46010.286788657409</v>
      </c>
      <c r="C3155" s="76" t="s">
        <v>555</v>
      </c>
      <c r="D3155" s="150" t="s">
        <v>1007</v>
      </c>
      <c r="E3155" s="79" t="s">
        <v>2366</v>
      </c>
      <c r="F3155" s="79"/>
      <c r="G3155" s="76" t="s">
        <v>2367</v>
      </c>
    </row>
    <row r="3156" spans="1:7">
      <c r="A3156" s="77">
        <f t="shared" ca="1" si="259"/>
        <v>46010</v>
      </c>
      <c r="B3156" s="80">
        <f t="shared" ca="1" si="260"/>
        <v>46010.310449189812</v>
      </c>
      <c r="C3156" s="76" t="s">
        <v>555</v>
      </c>
      <c r="D3156" s="76" t="s">
        <v>902</v>
      </c>
      <c r="E3156" s="79" t="s">
        <v>2357</v>
      </c>
      <c r="F3156" s="79"/>
    </row>
    <row r="3157" spans="1:7">
      <c r="A3157" s="77">
        <f t="shared" ca="1" si="259"/>
        <v>46010</v>
      </c>
      <c r="B3157" s="80">
        <f t="shared" ca="1" si="260"/>
        <v>46010.316410416664</v>
      </c>
      <c r="C3157" s="76" t="s">
        <v>555</v>
      </c>
      <c r="D3157" s="210" t="s">
        <v>922</v>
      </c>
      <c r="E3157" s="79"/>
      <c r="F3157" s="79"/>
    </row>
    <row r="3158" spans="1:7">
      <c r="A3158" s="77">
        <f t="shared" ca="1" si="259"/>
        <v>46010</v>
      </c>
      <c r="B3158" s="80">
        <f t="shared" ca="1" si="260"/>
        <v>46010.364388425929</v>
      </c>
      <c r="C3158" s="76" t="s">
        <v>555</v>
      </c>
      <c r="D3158" s="210" t="s">
        <v>1098</v>
      </c>
      <c r="E3158" s="79"/>
      <c r="F3158" s="79"/>
    </row>
    <row r="3159" spans="1:7">
      <c r="A3159" s="77">
        <f t="shared" ca="1" si="259"/>
        <v>46010</v>
      </c>
      <c r="B3159" s="80">
        <f t="shared" ca="1" si="260"/>
        <v>46010.420736111111</v>
      </c>
      <c r="C3159" s="76" t="s">
        <v>559</v>
      </c>
      <c r="D3159" s="210" t="s">
        <v>906</v>
      </c>
      <c r="E3159" s="79"/>
      <c r="F3159" s="79"/>
    </row>
    <row r="3160" spans="1:7">
      <c r="A3160" s="77">
        <f t="shared" ca="1" si="259"/>
        <v>46010</v>
      </c>
      <c r="B3160" s="80">
        <f t="shared" ca="1" si="260"/>
        <v>46010.487194907408</v>
      </c>
      <c r="C3160" s="76" t="s">
        <v>559</v>
      </c>
      <c r="D3160" s="210" t="s">
        <v>909</v>
      </c>
      <c r="E3160" s="79"/>
      <c r="F3160" s="79"/>
    </row>
    <row r="3161" spans="1:7">
      <c r="A3161" s="77">
        <f t="shared" ca="1" si="259"/>
        <v>46010</v>
      </c>
      <c r="B3161" s="80">
        <f t="shared" ca="1" si="260"/>
        <v>46010.497693981481</v>
      </c>
      <c r="C3161" s="76" t="s">
        <v>559</v>
      </c>
      <c r="D3161" s="76" t="s">
        <v>902</v>
      </c>
      <c r="E3161" s="79" t="s">
        <v>2368</v>
      </c>
      <c r="F3161" s="79"/>
    </row>
    <row r="3162" spans="1:7">
      <c r="A3162" s="77">
        <f t="shared" ca="1" si="259"/>
        <v>46010</v>
      </c>
      <c r="B3162" s="80">
        <f t="shared" ca="1" si="260"/>
        <v>46010.503813773146</v>
      </c>
      <c r="C3162" s="76" t="s">
        <v>559</v>
      </c>
      <c r="D3162" s="76" t="s">
        <v>902</v>
      </c>
      <c r="E3162" s="79" t="s">
        <v>2000</v>
      </c>
      <c r="F3162" s="79"/>
    </row>
    <row r="3163" spans="1:7">
      <c r="A3163" s="77">
        <f t="shared" ca="1" si="259"/>
        <v>46010</v>
      </c>
      <c r="B3163" s="80">
        <f t="shared" ca="1" si="260"/>
        <v>46010.511833101853</v>
      </c>
      <c r="C3163" s="76" t="s">
        <v>559</v>
      </c>
      <c r="D3163" s="76" t="s">
        <v>902</v>
      </c>
      <c r="E3163" s="79" t="s">
        <v>2000</v>
      </c>
      <c r="F3163" s="79"/>
    </row>
    <row r="3164" spans="1:7">
      <c r="A3164" s="77">
        <f t="shared" ca="1" si="259"/>
        <v>46010</v>
      </c>
      <c r="B3164" s="80">
        <f t="shared" ca="1" si="260"/>
        <v>46010.525987152774</v>
      </c>
      <c r="C3164" s="76" t="s">
        <v>559</v>
      </c>
      <c r="D3164" s="76" t="s">
        <v>902</v>
      </c>
      <c r="E3164" s="79" t="s">
        <v>2369</v>
      </c>
      <c r="F3164" s="79"/>
    </row>
    <row r="3165" spans="1:7">
      <c r="A3165" s="77">
        <f t="shared" ca="1" si="259"/>
        <v>46010</v>
      </c>
      <c r="B3165" s="80">
        <f t="shared" ca="1" si="260"/>
        <v>46010.531100347223</v>
      </c>
      <c r="C3165" s="76" t="s">
        <v>559</v>
      </c>
      <c r="D3165" s="76" t="s">
        <v>902</v>
      </c>
      <c r="E3165" s="79" t="s">
        <v>1770</v>
      </c>
      <c r="F3165" s="79"/>
    </row>
    <row r="3166" spans="1:7">
      <c r="A3166" s="77">
        <f t="shared" ca="1" si="259"/>
        <v>46010</v>
      </c>
      <c r="B3166" s="80">
        <f t="shared" ca="1" si="260"/>
        <v>46010.534722222219</v>
      </c>
      <c r="C3166" s="76" t="s">
        <v>559</v>
      </c>
      <c r="D3166" s="76" t="s">
        <v>902</v>
      </c>
      <c r="E3166" s="79" t="s">
        <v>2370</v>
      </c>
      <c r="F3166" s="79"/>
    </row>
    <row r="3167" spans="1:7">
      <c r="A3167" s="77">
        <f t="shared" ca="1" si="259"/>
        <v>46010</v>
      </c>
      <c r="B3167" s="80">
        <f t="shared" ca="1" si="260"/>
        <v>46010.537793634256</v>
      </c>
      <c r="C3167" s="76" t="s">
        <v>559</v>
      </c>
      <c r="D3167" s="76" t="s">
        <v>902</v>
      </c>
      <c r="E3167" s="79" t="s">
        <v>911</v>
      </c>
      <c r="F3167" s="79"/>
    </row>
    <row r="3168" spans="1:7">
      <c r="A3168" s="77">
        <f t="shared" ca="1" si="259"/>
        <v>46010</v>
      </c>
      <c r="B3168" s="80">
        <f t="shared" ca="1" si="260"/>
        <v>46010.548023148149</v>
      </c>
      <c r="C3168" s="76" t="s">
        <v>559</v>
      </c>
      <c r="D3168" s="76" t="s">
        <v>902</v>
      </c>
      <c r="E3168" s="79" t="s">
        <v>2000</v>
      </c>
      <c r="F3168" s="79"/>
    </row>
    <row r="3169" spans="1:7">
      <c r="A3169" s="77">
        <f t="shared" ca="1" si="259"/>
        <v>46010</v>
      </c>
      <c r="B3169" s="80">
        <f t="shared" ca="1" si="260"/>
        <v>46010.553874999998</v>
      </c>
      <c r="C3169" s="76" t="s">
        <v>559</v>
      </c>
      <c r="D3169" s="76" t="s">
        <v>902</v>
      </c>
      <c r="E3169" s="79" t="s">
        <v>2067</v>
      </c>
      <c r="F3169" s="79"/>
    </row>
    <row r="3170" spans="1:7">
      <c r="A3170" s="77">
        <f t="shared" ca="1" si="259"/>
        <v>46010</v>
      </c>
      <c r="B3170" s="80">
        <f t="shared" ca="1" si="260"/>
        <v>46010.558386342593</v>
      </c>
      <c r="C3170" s="76" t="s">
        <v>559</v>
      </c>
      <c r="D3170" s="76" t="s">
        <v>902</v>
      </c>
      <c r="E3170" s="79" t="s">
        <v>2357</v>
      </c>
      <c r="F3170" s="79"/>
    </row>
    <row r="3171" spans="1:7">
      <c r="A3171" s="77">
        <f t="shared" ca="1" si="259"/>
        <v>46010</v>
      </c>
      <c r="B3171" s="80">
        <f t="shared" ca="1" si="260"/>
        <v>46010.562593634262</v>
      </c>
      <c r="C3171" s="76" t="s">
        <v>559</v>
      </c>
      <c r="D3171" s="76" t="s">
        <v>902</v>
      </c>
      <c r="E3171" s="79" t="s">
        <v>2371</v>
      </c>
      <c r="F3171" s="79"/>
    </row>
    <row r="3172" spans="1:7">
      <c r="A3172" s="77">
        <f t="shared" ca="1" si="259"/>
        <v>46010</v>
      </c>
      <c r="B3172" s="80">
        <f t="shared" ca="1" si="260"/>
        <v>46010.570608912036</v>
      </c>
      <c r="C3172" s="76" t="s">
        <v>559</v>
      </c>
      <c r="D3172" s="150" t="s">
        <v>1007</v>
      </c>
      <c r="E3172" s="79" t="s">
        <v>2372</v>
      </c>
      <c r="F3172" s="79"/>
      <c r="G3172" s="76" t="s">
        <v>2373</v>
      </c>
    </row>
    <row r="3173" spans="1:7">
      <c r="A3173" s="77">
        <f t="shared" ca="1" si="259"/>
        <v>46010</v>
      </c>
      <c r="B3173" s="80">
        <f t="shared" ca="1" si="260"/>
        <v>46010.573801157407</v>
      </c>
      <c r="C3173" s="76" t="s">
        <v>559</v>
      </c>
      <c r="D3173" s="76" t="s">
        <v>902</v>
      </c>
      <c r="E3173" s="79" t="s">
        <v>2374</v>
      </c>
      <c r="F3173" s="79"/>
    </row>
    <row r="3174" spans="1:7">
      <c r="A3174" s="77">
        <f t="shared" ca="1" si="259"/>
        <v>46010</v>
      </c>
      <c r="B3174" s="80">
        <f t="shared" ca="1" si="260"/>
        <v>46010.575955439817</v>
      </c>
      <c r="C3174" s="76" t="s">
        <v>559</v>
      </c>
      <c r="D3174" s="76" t="s">
        <v>902</v>
      </c>
      <c r="E3174" s="79" t="s">
        <v>1774</v>
      </c>
      <c r="F3174" s="79"/>
    </row>
    <row r="3175" spans="1:7">
      <c r="A3175" s="77">
        <f t="shared" ca="1" si="259"/>
        <v>46010</v>
      </c>
      <c r="B3175" s="80">
        <f t="shared" ca="1" si="260"/>
        <v>46010.589234143517</v>
      </c>
      <c r="C3175" s="76" t="s">
        <v>559</v>
      </c>
      <c r="D3175" s="76" t="s">
        <v>902</v>
      </c>
      <c r="E3175" s="79" t="s">
        <v>1774</v>
      </c>
      <c r="F3175" s="79"/>
    </row>
    <row r="3176" spans="1:7">
      <c r="A3176" s="77">
        <f t="shared" ca="1" si="259"/>
        <v>46010</v>
      </c>
      <c r="B3176" s="80">
        <f t="shared" ca="1" si="260"/>
        <v>46010.593412615737</v>
      </c>
      <c r="C3176" s="76" t="s">
        <v>559</v>
      </c>
      <c r="D3176" s="76" t="s">
        <v>902</v>
      </c>
      <c r="E3176" s="79" t="s">
        <v>911</v>
      </c>
      <c r="F3176" s="79"/>
    </row>
    <row r="3177" spans="1:7">
      <c r="A3177" s="77">
        <f t="shared" ca="1" si="259"/>
        <v>46010</v>
      </c>
      <c r="B3177" s="80">
        <f t="shared" ca="1" si="260"/>
        <v>46010.601592939813</v>
      </c>
      <c r="C3177" s="76" t="s">
        <v>559</v>
      </c>
      <c r="D3177" s="76" t="s">
        <v>902</v>
      </c>
      <c r="E3177" s="79" t="s">
        <v>911</v>
      </c>
      <c r="F3177" s="79"/>
    </row>
    <row r="3178" spans="1:7">
      <c r="A3178" s="77">
        <f t="shared" ca="1" si="259"/>
        <v>46010</v>
      </c>
      <c r="B3178" s="80">
        <f t="shared" ca="1" si="260"/>
        <v>46010.603264814818</v>
      </c>
      <c r="C3178" s="76" t="s">
        <v>559</v>
      </c>
      <c r="D3178" s="76" t="s">
        <v>902</v>
      </c>
      <c r="E3178" s="79" t="s">
        <v>2375</v>
      </c>
      <c r="F3178" s="79"/>
    </row>
    <row r="3179" spans="1:7">
      <c r="A3179" s="77">
        <f t="shared" ca="1" si="259"/>
        <v>46010</v>
      </c>
      <c r="B3179" s="80">
        <f t="shared" ca="1" si="260"/>
        <v>46010.603784606479</v>
      </c>
      <c r="C3179" s="76" t="s">
        <v>559</v>
      </c>
      <c r="D3179" s="76" t="s">
        <v>902</v>
      </c>
      <c r="E3179" s="79" t="s">
        <v>2376</v>
      </c>
      <c r="F3179" s="79"/>
    </row>
    <row r="3180" spans="1:7">
      <c r="A3180" s="77">
        <f t="shared" ca="1" si="259"/>
        <v>46010</v>
      </c>
      <c r="B3180" s="80">
        <f t="shared" ca="1" si="260"/>
        <v>46010.623366203705</v>
      </c>
      <c r="C3180" s="76" t="s">
        <v>559</v>
      </c>
      <c r="D3180" s="76" t="s">
        <v>902</v>
      </c>
      <c r="E3180" s="79" t="s">
        <v>1249</v>
      </c>
      <c r="F3180" s="79"/>
    </row>
    <row r="3181" spans="1:7">
      <c r="A3181" s="77">
        <f t="shared" ca="1" si="259"/>
        <v>46010</v>
      </c>
      <c r="B3181" s="80">
        <f t="shared" ca="1" si="260"/>
        <v>46010.632357754628</v>
      </c>
      <c r="C3181" s="76" t="s">
        <v>559</v>
      </c>
      <c r="D3181" s="76" t="s">
        <v>902</v>
      </c>
      <c r="E3181" s="79" t="s">
        <v>2000</v>
      </c>
      <c r="F3181" s="79"/>
    </row>
    <row r="3182" spans="1:7">
      <c r="A3182" s="77">
        <f t="shared" ca="1" si="259"/>
        <v>46010</v>
      </c>
      <c r="B3182" s="80">
        <f t="shared" ca="1" si="260"/>
        <v>46010.639140393519</v>
      </c>
      <c r="C3182" s="76" t="s">
        <v>559</v>
      </c>
      <c r="D3182" s="76" t="s">
        <v>902</v>
      </c>
      <c r="E3182" s="79" t="s">
        <v>2349</v>
      </c>
      <c r="F3182" s="79"/>
    </row>
    <row r="3183" spans="1:7">
      <c r="A3183" s="77">
        <f t="shared" ca="1" si="259"/>
        <v>46010</v>
      </c>
      <c r="B3183" s="80">
        <f t="shared" ca="1" si="260"/>
        <v>46010.651647222221</v>
      </c>
      <c r="C3183" s="76" t="s">
        <v>559</v>
      </c>
      <c r="D3183" s="76" t="s">
        <v>902</v>
      </c>
      <c r="E3183" s="79" t="s">
        <v>2377</v>
      </c>
      <c r="F3183" s="79"/>
    </row>
    <row r="3184" spans="1:7">
      <c r="A3184" s="77">
        <f t="shared" ca="1" si="259"/>
        <v>46010</v>
      </c>
      <c r="B3184" s="80">
        <f t="shared" ca="1" si="260"/>
        <v>46010.653495486113</v>
      </c>
      <c r="C3184" s="76" t="s">
        <v>559</v>
      </c>
      <c r="D3184" s="76" t="s">
        <v>902</v>
      </c>
      <c r="E3184" s="79" t="s">
        <v>2378</v>
      </c>
      <c r="F3184" s="79"/>
    </row>
    <row r="3185" spans="1:7">
      <c r="A3185" s="77">
        <f t="shared" ca="1" si="259"/>
        <v>46010</v>
      </c>
      <c r="B3185" s="80">
        <f t="shared" ca="1" si="260"/>
        <v>46010.65551527778</v>
      </c>
      <c r="C3185" s="76" t="s">
        <v>559</v>
      </c>
      <c r="D3185" s="76" t="s">
        <v>902</v>
      </c>
      <c r="E3185" s="79" t="s">
        <v>2000</v>
      </c>
      <c r="F3185" s="79"/>
    </row>
    <row r="3186" spans="1:7">
      <c r="A3186" s="77">
        <f t="shared" ca="1" si="259"/>
        <v>46010</v>
      </c>
      <c r="B3186" s="80">
        <f t="shared" ca="1" si="260"/>
        <v>46010.666276851851</v>
      </c>
      <c r="C3186" s="76" t="s">
        <v>559</v>
      </c>
      <c r="D3186" s="76" t="s">
        <v>902</v>
      </c>
      <c r="E3186" s="79" t="s">
        <v>2181</v>
      </c>
      <c r="F3186" s="79"/>
    </row>
    <row r="3187" spans="1:7">
      <c r="A3187" s="77">
        <f t="shared" ca="1" si="259"/>
        <v>46010</v>
      </c>
      <c r="B3187" s="80">
        <f t="shared" ca="1" si="260"/>
        <v>46010.676909259259</v>
      </c>
      <c r="C3187" s="76" t="s">
        <v>559</v>
      </c>
      <c r="D3187" s="76" t="s">
        <v>902</v>
      </c>
      <c r="E3187" s="79" t="s">
        <v>2379</v>
      </c>
      <c r="F3187" s="79"/>
    </row>
    <row r="3188" spans="1:7">
      <c r="A3188" s="77">
        <f t="shared" ca="1" si="259"/>
        <v>46010</v>
      </c>
      <c r="B3188" s="80">
        <f t="shared" ca="1" si="260"/>
        <v>46010.683002777776</v>
      </c>
      <c r="C3188" s="76" t="s">
        <v>559</v>
      </c>
      <c r="D3188" s="76" t="s">
        <v>902</v>
      </c>
      <c r="E3188" s="79" t="s">
        <v>2000</v>
      </c>
      <c r="F3188" s="79"/>
    </row>
    <row r="3189" spans="1:7">
      <c r="A3189" s="77">
        <f t="shared" ca="1" si="259"/>
        <v>46010</v>
      </c>
      <c r="B3189" s="80">
        <f t="shared" ca="1" si="260"/>
        <v>46010.687121180556</v>
      </c>
      <c r="C3189" s="76" t="s">
        <v>559</v>
      </c>
      <c r="D3189" s="76" t="s">
        <v>902</v>
      </c>
      <c r="E3189" s="79" t="s">
        <v>2380</v>
      </c>
      <c r="F3189" s="79"/>
    </row>
    <row r="3190" spans="1:7">
      <c r="A3190" s="77">
        <f t="shared" ca="1" si="259"/>
        <v>46010</v>
      </c>
      <c r="B3190" s="80">
        <f t="shared" ca="1" si="260"/>
        <v>46010.691807175928</v>
      </c>
      <c r="C3190" s="76" t="s">
        <v>559</v>
      </c>
      <c r="D3190" s="76" t="s">
        <v>902</v>
      </c>
      <c r="E3190" s="79" t="s">
        <v>2381</v>
      </c>
      <c r="F3190" s="79"/>
    </row>
    <row r="3191" spans="1:7">
      <c r="A3191" s="77">
        <f t="shared" ca="1" si="259"/>
        <v>46010</v>
      </c>
      <c r="B3191" s="80">
        <f t="shared" ca="1" si="260"/>
        <v>46010.703873379629</v>
      </c>
      <c r="C3191" s="76" t="s">
        <v>559</v>
      </c>
      <c r="D3191" s="76" t="s">
        <v>902</v>
      </c>
      <c r="E3191" s="79" t="s">
        <v>2382</v>
      </c>
      <c r="F3191" s="79"/>
    </row>
    <row r="3192" spans="1:7">
      <c r="A3192" s="77">
        <f t="shared" ca="1" si="259"/>
        <v>46010</v>
      </c>
      <c r="B3192" s="80">
        <f t="shared" ca="1" si="260"/>
        <v>46010.707001273149</v>
      </c>
      <c r="C3192" s="76" t="s">
        <v>559</v>
      </c>
      <c r="D3192" s="210" t="s">
        <v>922</v>
      </c>
      <c r="E3192" s="79"/>
      <c r="F3192" s="79"/>
    </row>
    <row r="3193" spans="1:7">
      <c r="A3193" s="77">
        <f t="shared" ca="1" si="259"/>
        <v>46010</v>
      </c>
      <c r="B3193" s="80">
        <v>46010.713946759257</v>
      </c>
      <c r="C3193" s="76" t="s">
        <v>559</v>
      </c>
      <c r="D3193" s="210" t="s">
        <v>1098</v>
      </c>
      <c r="E3193" s="79"/>
      <c r="F3193" s="79"/>
    </row>
    <row r="3194" spans="1:7">
      <c r="A3194" s="77">
        <f t="shared" ca="1" si="259"/>
        <v>46010</v>
      </c>
      <c r="B3194" s="80">
        <f ca="1">IF(C3194&lt;&gt;0,IF(B3194=0,NOW(),B3194),)</f>
        <v>46010.770588078703</v>
      </c>
      <c r="C3194" s="76" t="s">
        <v>562</v>
      </c>
      <c r="D3194" s="210" t="s">
        <v>906</v>
      </c>
      <c r="E3194" s="79"/>
      <c r="F3194" s="79"/>
    </row>
    <row r="3195" spans="1:7">
      <c r="A3195" s="77">
        <f t="shared" ca="1" si="259"/>
        <v>46010</v>
      </c>
      <c r="B3195" s="80">
        <f ca="1">IF(C3195&lt;&gt;0,IF(B3195=0,NOW(),B3195),)</f>
        <v>46010.773451388886</v>
      </c>
      <c r="C3195" s="76" t="s">
        <v>562</v>
      </c>
      <c r="D3195" s="150" t="s">
        <v>1070</v>
      </c>
      <c r="E3195" s="79"/>
      <c r="F3195" s="79"/>
    </row>
    <row r="3196" spans="1:7">
      <c r="A3196" s="77">
        <f t="shared" ca="1" si="259"/>
        <v>46010</v>
      </c>
      <c r="B3196" s="80">
        <v>46010.776921296296</v>
      </c>
      <c r="C3196" s="76" t="s">
        <v>562</v>
      </c>
      <c r="D3196" s="210" t="s">
        <v>909</v>
      </c>
      <c r="E3196" s="79"/>
      <c r="F3196" s="79"/>
    </row>
    <row r="3197" spans="1:7">
      <c r="A3197" s="77">
        <f t="shared" ca="1" si="259"/>
        <v>46010</v>
      </c>
      <c r="B3197" s="80">
        <f ca="1">IF(C3197&lt;&gt;0,IF(B3197=0,NOW(),B3197),)</f>
        <v>46010.784943171297</v>
      </c>
      <c r="C3197" s="76" t="s">
        <v>562</v>
      </c>
      <c r="D3197" s="76" t="s">
        <v>902</v>
      </c>
      <c r="E3197" s="79" t="s">
        <v>2000</v>
      </c>
      <c r="F3197" s="79"/>
    </row>
    <row r="3198" spans="1:7">
      <c r="A3198" s="77">
        <f t="shared" ref="A3198:A3209" ca="1" si="261">IF(C3198&lt;&gt;0,IF(A3198=0,TODAY(),A3198),)</f>
        <v>46010</v>
      </c>
      <c r="B3198" s="80">
        <f t="shared" ref="B3198:B3209" ca="1" si="262">IF(C3198&lt;&gt;0,IF(B3198=0,NOW(),B3198),)</f>
        <v>46010.806858680553</v>
      </c>
      <c r="C3198" s="76" t="s">
        <v>562</v>
      </c>
      <c r="D3198" s="76" t="s">
        <v>902</v>
      </c>
      <c r="E3198" s="79" t="s">
        <v>1555</v>
      </c>
      <c r="F3198" s="79"/>
    </row>
    <row r="3199" spans="1:7">
      <c r="A3199" s="77">
        <f t="shared" ca="1" si="261"/>
        <v>46010</v>
      </c>
      <c r="B3199" s="80">
        <f t="shared" ca="1" si="262"/>
        <v>46010.821479050923</v>
      </c>
      <c r="C3199" s="76" t="s">
        <v>562</v>
      </c>
      <c r="D3199" s="150" t="s">
        <v>1007</v>
      </c>
      <c r="E3199" s="79" t="s">
        <v>2383</v>
      </c>
      <c r="F3199" s="79"/>
      <c r="G3199" s="76" t="s">
        <v>2384</v>
      </c>
    </row>
    <row r="3200" spans="1:7">
      <c r="A3200" s="77">
        <f t="shared" ca="1" si="261"/>
        <v>46010</v>
      </c>
      <c r="B3200" s="80">
        <f t="shared" ca="1" si="262"/>
        <v>46010.832830324071</v>
      </c>
      <c r="C3200" s="76" t="s">
        <v>562</v>
      </c>
      <c r="D3200" s="76" t="s">
        <v>902</v>
      </c>
      <c r="E3200" s="79" t="s">
        <v>2385</v>
      </c>
      <c r="F3200" s="79"/>
    </row>
    <row r="3201" spans="1:6">
      <c r="A3201" s="77">
        <f t="shared" ca="1" si="261"/>
        <v>46010</v>
      </c>
      <c r="B3201" s="80">
        <f t="shared" ca="1" si="262"/>
        <v>46010.84781608796</v>
      </c>
      <c r="C3201" s="76" t="s">
        <v>562</v>
      </c>
      <c r="D3201" s="76" t="s">
        <v>902</v>
      </c>
      <c r="E3201" s="79" t="s">
        <v>2357</v>
      </c>
      <c r="F3201" s="79"/>
    </row>
    <row r="3202" spans="1:6">
      <c r="A3202" s="77">
        <f t="shared" ca="1" si="261"/>
        <v>46010</v>
      </c>
      <c r="B3202" s="80">
        <f t="shared" ca="1" si="262"/>
        <v>46010.848298263889</v>
      </c>
      <c r="C3202" s="76" t="s">
        <v>562</v>
      </c>
      <c r="D3202" s="76" t="s">
        <v>902</v>
      </c>
      <c r="E3202" s="79" t="s">
        <v>2385</v>
      </c>
      <c r="F3202" s="79"/>
    </row>
    <row r="3203" spans="1:6">
      <c r="A3203" s="77">
        <f t="shared" ca="1" si="261"/>
        <v>46010</v>
      </c>
      <c r="B3203" s="80">
        <f t="shared" ca="1" si="262"/>
        <v>46010.851536226852</v>
      </c>
      <c r="C3203" s="76" t="s">
        <v>562</v>
      </c>
      <c r="D3203" s="76" t="s">
        <v>902</v>
      </c>
      <c r="E3203" s="79" t="s">
        <v>2386</v>
      </c>
      <c r="F3203" s="79"/>
    </row>
    <row r="3204" spans="1:6">
      <c r="A3204" s="77">
        <f t="shared" ca="1" si="261"/>
        <v>46010</v>
      </c>
      <c r="B3204" s="80">
        <f t="shared" ca="1" si="262"/>
        <v>46010.87892048611</v>
      </c>
      <c r="C3204" s="76" t="s">
        <v>562</v>
      </c>
      <c r="D3204" s="76" t="s">
        <v>902</v>
      </c>
      <c r="E3204" s="79" t="s">
        <v>2387</v>
      </c>
      <c r="F3204" s="79"/>
    </row>
    <row r="3205" spans="1:6">
      <c r="A3205" s="77">
        <f t="shared" ca="1" si="261"/>
        <v>46010</v>
      </c>
      <c r="B3205" s="80">
        <f t="shared" ca="1" si="262"/>
        <v>46010.889814120368</v>
      </c>
      <c r="C3205" s="76" t="s">
        <v>562</v>
      </c>
      <c r="D3205" s="76" t="s">
        <v>902</v>
      </c>
      <c r="E3205" s="79" t="s">
        <v>2035</v>
      </c>
      <c r="F3205" s="79"/>
    </row>
    <row r="3206" spans="1:6">
      <c r="A3206" s="77">
        <f t="shared" ca="1" si="261"/>
        <v>46010</v>
      </c>
      <c r="B3206" s="80">
        <f t="shared" ca="1" si="262"/>
        <v>46010.892759027774</v>
      </c>
      <c r="C3206" s="76" t="s">
        <v>562</v>
      </c>
      <c r="D3206" s="76" t="s">
        <v>902</v>
      </c>
      <c r="E3206" s="79" t="s">
        <v>2388</v>
      </c>
      <c r="F3206" s="79"/>
    </row>
    <row r="3207" spans="1:6">
      <c r="A3207" s="77">
        <f t="shared" ca="1" si="261"/>
        <v>46010</v>
      </c>
      <c r="B3207" s="80">
        <f t="shared" ca="1" si="262"/>
        <v>46010.893558217591</v>
      </c>
      <c r="C3207" s="76" t="s">
        <v>562</v>
      </c>
      <c r="D3207" s="76" t="s">
        <v>902</v>
      </c>
      <c r="E3207" s="79" t="s">
        <v>2000</v>
      </c>
      <c r="F3207" s="79"/>
    </row>
    <row r="3208" spans="1:6">
      <c r="A3208" s="77">
        <f t="shared" ca="1" si="261"/>
        <v>46010</v>
      </c>
      <c r="B3208" s="80">
        <f t="shared" ca="1" si="262"/>
        <v>46010.915421180558</v>
      </c>
      <c r="C3208" s="76" t="s">
        <v>562</v>
      </c>
      <c r="D3208" s="76" t="s">
        <v>902</v>
      </c>
      <c r="E3208" s="79" t="s">
        <v>2389</v>
      </c>
      <c r="F3208" s="79"/>
    </row>
    <row r="3209" spans="1:6">
      <c r="A3209" s="77">
        <f t="shared" ca="1" si="261"/>
        <v>46010</v>
      </c>
      <c r="B3209" s="80">
        <f t="shared" ca="1" si="262"/>
        <v>46010.918153009261</v>
      </c>
      <c r="C3209" s="76" t="s">
        <v>562</v>
      </c>
      <c r="D3209" s="76" t="s">
        <v>902</v>
      </c>
      <c r="E3209" s="79" t="s">
        <v>2385</v>
      </c>
      <c r="F3209" s="79"/>
    </row>
    <row r="3210" spans="1:6">
      <c r="A3210" s="77">
        <f ca="1">IF(C3210&lt;&gt;0,IF(A3210=0,TODAY(),A3210),)</f>
        <v>46010</v>
      </c>
      <c r="B3210" s="80">
        <f ca="1">IF(C3210&lt;&gt;0,IF(B3210=0,NOW(),B3210),)</f>
        <v>46010.92841828704</v>
      </c>
      <c r="C3210" s="76" t="s">
        <v>562</v>
      </c>
      <c r="D3210" s="76" t="s">
        <v>902</v>
      </c>
      <c r="E3210" s="79" t="s">
        <v>2000</v>
      </c>
      <c r="F3210" s="79"/>
    </row>
    <row r="3211" spans="1:6">
      <c r="A3211" s="77">
        <f ca="1">IF(C3211&lt;&gt;0,IF(A3211=0,TODAY(),A3211),)</f>
        <v>46010</v>
      </c>
      <c r="B3211" s="80">
        <f ca="1">IF(C3211&lt;&gt;0,IF(B3211=0,NOW(),B3211),)</f>
        <v>46010.946366550925</v>
      </c>
      <c r="C3211" s="76" t="s">
        <v>562</v>
      </c>
      <c r="D3211" s="76" t="s">
        <v>902</v>
      </c>
      <c r="E3211" s="79" t="s">
        <v>2390</v>
      </c>
      <c r="F3211" s="79"/>
    </row>
    <row r="3212" spans="1:6">
      <c r="A3212" s="77">
        <f t="shared" ref="A3212:A3220" ca="1" si="263">IF(C3212&lt;&gt;0,IF(A3212=0,TODAY(),A3212),)</f>
        <v>46010</v>
      </c>
      <c r="B3212" s="80">
        <f t="shared" ref="B3212:B3220" ca="1" si="264">IF(C3212&lt;&gt;0,IF(B3212=0,NOW(),B3212),)</f>
        <v>46010.955660879627</v>
      </c>
      <c r="C3212" s="76" t="s">
        <v>562</v>
      </c>
      <c r="D3212" s="76" t="s">
        <v>902</v>
      </c>
      <c r="E3212" s="79" t="s">
        <v>1196</v>
      </c>
      <c r="F3212" s="79"/>
    </row>
    <row r="3213" spans="1:6">
      <c r="A3213" s="77">
        <f t="shared" ca="1" si="263"/>
        <v>46010</v>
      </c>
      <c r="B3213" s="80">
        <f t="shared" ca="1" si="264"/>
        <v>46010.958844791669</v>
      </c>
      <c r="C3213" s="76" t="s">
        <v>562</v>
      </c>
      <c r="D3213" s="76" t="s">
        <v>902</v>
      </c>
      <c r="E3213" s="79" t="s">
        <v>2357</v>
      </c>
      <c r="F3213" s="79"/>
    </row>
    <row r="3214" spans="1:6">
      <c r="A3214" s="77">
        <f t="shared" ca="1" si="263"/>
        <v>46010</v>
      </c>
      <c r="B3214" s="80">
        <f t="shared" ca="1" si="264"/>
        <v>46010.963560300923</v>
      </c>
      <c r="C3214" s="76" t="s">
        <v>562</v>
      </c>
      <c r="D3214" s="210" t="s">
        <v>922</v>
      </c>
      <c r="E3214" s="79"/>
      <c r="F3214" s="79"/>
    </row>
    <row r="3215" spans="1:6">
      <c r="A3215" s="77">
        <f t="shared" ca="1" si="263"/>
        <v>46011</v>
      </c>
      <c r="B3215" s="80">
        <f t="shared" ca="1" si="264"/>
        <v>46011.02152696759</v>
      </c>
      <c r="C3215" s="76" t="s">
        <v>562</v>
      </c>
      <c r="D3215" s="210" t="s">
        <v>1098</v>
      </c>
      <c r="E3215" s="79"/>
      <c r="F3215" s="79"/>
    </row>
    <row r="3216" spans="1:6">
      <c r="A3216" s="77">
        <f t="shared" ca="1" si="263"/>
        <v>46011</v>
      </c>
      <c r="B3216" s="80">
        <f t="shared" ca="1" si="264"/>
        <v>46011.152047222226</v>
      </c>
      <c r="C3216" s="76" t="s">
        <v>565</v>
      </c>
      <c r="D3216" s="210" t="s">
        <v>906</v>
      </c>
      <c r="E3216" s="79"/>
      <c r="F3216" s="79"/>
    </row>
    <row r="3217" spans="1:7">
      <c r="A3217" s="77">
        <f t="shared" ca="1" si="263"/>
        <v>46011</v>
      </c>
      <c r="B3217" s="80">
        <f t="shared" ca="1" si="264"/>
        <v>46011.17522986111</v>
      </c>
      <c r="C3217" s="76" t="s">
        <v>565</v>
      </c>
      <c r="D3217" s="76" t="s">
        <v>902</v>
      </c>
      <c r="E3217" s="79" t="s">
        <v>2391</v>
      </c>
      <c r="F3217" s="79"/>
      <c r="G3217" s="76" t="s">
        <v>2392</v>
      </c>
    </row>
    <row r="3218" spans="1:7">
      <c r="A3218" s="77">
        <f t="shared" ca="1" si="263"/>
        <v>46011</v>
      </c>
      <c r="B3218" s="80">
        <f t="shared" ca="1" si="264"/>
        <v>46011.191929050925</v>
      </c>
      <c r="C3218" s="76" t="s">
        <v>565</v>
      </c>
      <c r="D3218" s="76" t="s">
        <v>902</v>
      </c>
      <c r="E3218" s="79" t="s">
        <v>2393</v>
      </c>
      <c r="F3218" s="79"/>
    </row>
    <row r="3219" spans="1:7">
      <c r="A3219" s="77">
        <f t="shared" ca="1" si="263"/>
        <v>46011</v>
      </c>
      <c r="B3219" s="80">
        <f t="shared" ca="1" si="264"/>
        <v>46011.20410185185</v>
      </c>
      <c r="C3219" s="76" t="s">
        <v>565</v>
      </c>
      <c r="D3219" s="150" t="s">
        <v>1070</v>
      </c>
      <c r="E3219" s="79"/>
      <c r="F3219" s="79"/>
    </row>
    <row r="3220" spans="1:7">
      <c r="A3220" s="77">
        <f t="shared" ca="1" si="263"/>
        <v>46011</v>
      </c>
      <c r="B3220" s="80">
        <f t="shared" ca="1" si="264"/>
        <v>46011.205066319446</v>
      </c>
      <c r="C3220" s="76" t="s">
        <v>565</v>
      </c>
      <c r="D3220" s="210" t="s">
        <v>909</v>
      </c>
      <c r="E3220" s="79"/>
      <c r="F3220" s="79"/>
    </row>
    <row r="3221" spans="1:7">
      <c r="A3221" s="77">
        <f t="shared" ref="A3221:A3226" ca="1" si="265">IF(C3221&lt;&gt;0,IF(A3221=0,TODAY(),A3221),)</f>
        <v>46011</v>
      </c>
      <c r="B3221" s="80">
        <f t="shared" ref="B3221:B3226" ca="1" si="266">IF(C3221&lt;&gt;0,IF(B3221=0,NOW(),B3221),)</f>
        <v>46011.20962303241</v>
      </c>
      <c r="C3221" s="76" t="s">
        <v>565</v>
      </c>
      <c r="D3221" s="76" t="s">
        <v>902</v>
      </c>
      <c r="E3221" s="79" t="s">
        <v>2394</v>
      </c>
      <c r="F3221" s="79"/>
    </row>
    <row r="3222" spans="1:7">
      <c r="A3222" s="77">
        <f t="shared" ca="1" si="265"/>
        <v>46011</v>
      </c>
      <c r="B3222" s="80">
        <f t="shared" ca="1" si="266"/>
        <v>46011.211345023148</v>
      </c>
      <c r="C3222" s="76" t="s">
        <v>565</v>
      </c>
      <c r="D3222" s="76" t="s">
        <v>902</v>
      </c>
      <c r="E3222" s="79" t="s">
        <v>2282</v>
      </c>
      <c r="F3222" s="79"/>
    </row>
    <row r="3223" spans="1:7">
      <c r="A3223" s="77">
        <f t="shared" ca="1" si="265"/>
        <v>46011</v>
      </c>
      <c r="B3223" s="80">
        <f t="shared" ca="1" si="266"/>
        <v>46011.214649884256</v>
      </c>
      <c r="C3223" s="76" t="s">
        <v>565</v>
      </c>
      <c r="D3223" s="76" t="s">
        <v>902</v>
      </c>
      <c r="E3223" s="79" t="s">
        <v>2282</v>
      </c>
      <c r="F3223" s="79"/>
    </row>
    <row r="3224" spans="1:7">
      <c r="A3224" s="77">
        <f t="shared" ca="1" si="265"/>
        <v>46011</v>
      </c>
      <c r="B3224" s="80">
        <f t="shared" ca="1" si="266"/>
        <v>46011.215947337965</v>
      </c>
      <c r="C3224" s="76" t="s">
        <v>565</v>
      </c>
      <c r="D3224" s="76" t="s">
        <v>902</v>
      </c>
      <c r="E3224" s="79" t="s">
        <v>2000</v>
      </c>
      <c r="F3224" s="79"/>
    </row>
    <row r="3225" spans="1:7">
      <c r="A3225" s="77">
        <f t="shared" ca="1" si="265"/>
        <v>46011</v>
      </c>
      <c r="B3225" s="80">
        <f t="shared" ca="1" si="266"/>
        <v>46011.216613773147</v>
      </c>
      <c r="C3225" s="76" t="s">
        <v>565</v>
      </c>
      <c r="D3225" s="76" t="s">
        <v>902</v>
      </c>
      <c r="E3225" s="79" t="s">
        <v>2000</v>
      </c>
      <c r="F3225" s="79"/>
    </row>
    <row r="3226" spans="1:7">
      <c r="A3226" s="77">
        <f t="shared" ca="1" si="265"/>
        <v>46011</v>
      </c>
      <c r="B3226" s="80">
        <f t="shared" ca="1" si="266"/>
        <v>46011.231430439817</v>
      </c>
      <c r="C3226" s="76" t="s">
        <v>565</v>
      </c>
      <c r="D3226" s="76" t="s">
        <v>902</v>
      </c>
      <c r="E3226" s="79" t="s">
        <v>2395</v>
      </c>
      <c r="F3226" s="79"/>
    </row>
    <row r="3227" spans="1:7">
      <c r="A3227" s="77">
        <f t="shared" ref="A3227:A3231" ca="1" si="267">IF(C3227&lt;&gt;0,IF(A3227=0,TODAY(),A3227),)</f>
        <v>46011</v>
      </c>
      <c r="B3227" s="80">
        <v>0.24722222222222223</v>
      </c>
      <c r="C3227" s="76" t="s">
        <v>565</v>
      </c>
      <c r="D3227" s="150" t="s">
        <v>1007</v>
      </c>
      <c r="E3227" s="79" t="s">
        <v>2396</v>
      </c>
      <c r="F3227" s="79"/>
    </row>
    <row r="3228" spans="1:7">
      <c r="A3228" s="77">
        <f t="shared" ca="1" si="267"/>
        <v>46011</v>
      </c>
      <c r="B3228" s="80">
        <f t="shared" ref="B3228:B3231" ca="1" si="268">IF(C3228&lt;&gt;0,IF(B3228=0,NOW(),B3228),)</f>
        <v>46011.24858136574</v>
      </c>
      <c r="C3228" s="76" t="s">
        <v>565</v>
      </c>
      <c r="D3228" s="76" t="s">
        <v>902</v>
      </c>
      <c r="E3228" s="79" t="s">
        <v>2394</v>
      </c>
      <c r="F3228" s="79"/>
    </row>
    <row r="3229" spans="1:7">
      <c r="A3229" s="77">
        <f t="shared" ca="1" si="267"/>
        <v>46011</v>
      </c>
      <c r="B3229" s="80">
        <f t="shared" ca="1" si="268"/>
        <v>46011.26443333333</v>
      </c>
      <c r="C3229" s="76" t="s">
        <v>565</v>
      </c>
      <c r="D3229" s="76" t="s">
        <v>902</v>
      </c>
      <c r="E3229" s="79" t="s">
        <v>2397</v>
      </c>
      <c r="F3229" s="79"/>
    </row>
    <row r="3230" spans="1:7">
      <c r="A3230" s="77">
        <f t="shared" ca="1" si="267"/>
        <v>46011</v>
      </c>
      <c r="B3230" s="80">
        <f t="shared" ca="1" si="268"/>
        <v>46011.270724768518</v>
      </c>
      <c r="C3230" s="76" t="s">
        <v>565</v>
      </c>
      <c r="D3230" s="76" t="s">
        <v>902</v>
      </c>
      <c r="E3230" s="79" t="s">
        <v>2398</v>
      </c>
      <c r="F3230" s="79"/>
    </row>
    <row r="3231" spans="1:7">
      <c r="A3231" s="77">
        <f t="shared" ca="1" si="267"/>
        <v>46011</v>
      </c>
      <c r="B3231" s="80">
        <f t="shared" ca="1" si="268"/>
        <v>46011.287406365744</v>
      </c>
      <c r="C3231" s="76" t="s">
        <v>565</v>
      </c>
      <c r="D3231" s="76" t="s">
        <v>902</v>
      </c>
      <c r="E3231" s="79" t="s">
        <v>2399</v>
      </c>
      <c r="F3231" s="79"/>
    </row>
    <row r="3232" spans="1:7">
      <c r="A3232" s="77">
        <f t="shared" ref="A3232:A3263" ca="1" si="269">IF(C3232&lt;&gt;0,IF(A3232=0,TODAY(),A3232),)</f>
        <v>46011</v>
      </c>
      <c r="B3232" s="80">
        <f t="shared" ref="B3232:B3242" ca="1" si="270">IF(C3232&lt;&gt;0,IF(B3232=0,NOW(),B3232),)</f>
        <v>46011.292295949075</v>
      </c>
      <c r="C3232" s="76" t="s">
        <v>565</v>
      </c>
      <c r="D3232" s="76" t="s">
        <v>902</v>
      </c>
      <c r="E3232" s="79" t="s">
        <v>2400</v>
      </c>
      <c r="F3232" s="79"/>
    </row>
    <row r="3233" spans="1:6">
      <c r="A3233" s="77">
        <f t="shared" ca="1" si="269"/>
        <v>46011</v>
      </c>
      <c r="B3233" s="80">
        <f t="shared" ca="1" si="270"/>
        <v>46011.293400347226</v>
      </c>
      <c r="C3233" s="76" t="s">
        <v>565</v>
      </c>
      <c r="D3233" s="76" t="s">
        <v>902</v>
      </c>
      <c r="E3233" s="79" t="s">
        <v>2401</v>
      </c>
      <c r="F3233" s="79"/>
    </row>
    <row r="3234" spans="1:6">
      <c r="A3234" s="77">
        <f t="shared" ca="1" si="269"/>
        <v>46011</v>
      </c>
      <c r="B3234" s="80">
        <f t="shared" ca="1" si="270"/>
        <v>46011.298001041665</v>
      </c>
      <c r="C3234" s="76" t="s">
        <v>565</v>
      </c>
      <c r="D3234" s="76" t="s">
        <v>902</v>
      </c>
      <c r="E3234" s="79" t="s">
        <v>2402</v>
      </c>
      <c r="F3234" s="79"/>
    </row>
    <row r="3235" spans="1:6">
      <c r="A3235" s="77">
        <f t="shared" ca="1" si="269"/>
        <v>46011</v>
      </c>
      <c r="B3235" s="80">
        <f t="shared" ca="1" si="270"/>
        <v>46011.302098958331</v>
      </c>
      <c r="C3235" s="76" t="s">
        <v>565</v>
      </c>
      <c r="D3235" s="76" t="s">
        <v>902</v>
      </c>
      <c r="E3235" s="79" t="s">
        <v>2400</v>
      </c>
      <c r="F3235" s="79"/>
    </row>
    <row r="3236" spans="1:6">
      <c r="A3236" s="77">
        <f t="shared" ca="1" si="269"/>
        <v>46011</v>
      </c>
      <c r="B3236" s="80">
        <f t="shared" ca="1" si="270"/>
        <v>46011.313153009258</v>
      </c>
      <c r="C3236" s="76" t="s">
        <v>565</v>
      </c>
      <c r="D3236" s="76" t="s">
        <v>902</v>
      </c>
      <c r="E3236" s="79" t="s">
        <v>1063</v>
      </c>
      <c r="F3236" s="79"/>
    </row>
    <row r="3237" spans="1:6">
      <c r="A3237" s="77">
        <f t="shared" ca="1" si="269"/>
        <v>46011</v>
      </c>
      <c r="B3237" s="80">
        <f t="shared" ca="1" si="270"/>
        <v>46011.316588425929</v>
      </c>
      <c r="C3237" s="76" t="s">
        <v>565</v>
      </c>
      <c r="D3237" s="76" t="s">
        <v>902</v>
      </c>
      <c r="E3237" s="79" t="s">
        <v>2000</v>
      </c>
      <c r="F3237" s="79"/>
    </row>
    <row r="3238" spans="1:6">
      <c r="A3238" s="77">
        <f t="shared" ca="1" si="269"/>
        <v>46011</v>
      </c>
      <c r="B3238" s="80">
        <f t="shared" ca="1" si="270"/>
        <v>46011.319792592592</v>
      </c>
      <c r="C3238" s="76" t="s">
        <v>565</v>
      </c>
      <c r="D3238" s="76" t="s">
        <v>902</v>
      </c>
      <c r="E3238" s="79" t="s">
        <v>1063</v>
      </c>
      <c r="F3238" s="79"/>
    </row>
    <row r="3239" spans="1:6">
      <c r="A3239" s="77">
        <f t="shared" ca="1" si="269"/>
        <v>46011</v>
      </c>
      <c r="B3239" s="80">
        <f t="shared" ca="1" si="270"/>
        <v>46011.325286689818</v>
      </c>
      <c r="C3239" s="76" t="s">
        <v>565</v>
      </c>
      <c r="D3239" s="76" t="s">
        <v>902</v>
      </c>
      <c r="E3239" s="79" t="s">
        <v>1504</v>
      </c>
      <c r="F3239" s="79"/>
    </row>
    <row r="3240" spans="1:6">
      <c r="A3240" s="77">
        <f t="shared" ca="1" si="269"/>
        <v>46011</v>
      </c>
      <c r="B3240" s="80">
        <f t="shared" ca="1" si="270"/>
        <v>46011.325756018516</v>
      </c>
      <c r="C3240" s="76" t="s">
        <v>565</v>
      </c>
      <c r="D3240" s="76" t="s">
        <v>902</v>
      </c>
      <c r="E3240" s="79" t="s">
        <v>1890</v>
      </c>
      <c r="F3240" s="79"/>
    </row>
    <row r="3241" spans="1:6">
      <c r="A3241" s="77">
        <f t="shared" ca="1" si="269"/>
        <v>46011</v>
      </c>
      <c r="B3241" s="80">
        <f t="shared" ca="1" si="270"/>
        <v>46011.32989710648</v>
      </c>
      <c r="C3241" s="76" t="s">
        <v>565</v>
      </c>
      <c r="D3241" s="210" t="s">
        <v>922</v>
      </c>
      <c r="E3241" s="79"/>
      <c r="F3241" s="79"/>
    </row>
    <row r="3242" spans="1:6">
      <c r="A3242" s="77">
        <f t="shared" ca="1" si="269"/>
        <v>46011</v>
      </c>
      <c r="B3242" s="80">
        <f t="shared" ca="1" si="270"/>
        <v>46011.452363888886</v>
      </c>
      <c r="C3242" s="76" t="s">
        <v>569</v>
      </c>
      <c r="D3242" s="210" t="s">
        <v>906</v>
      </c>
      <c r="E3242" s="79"/>
      <c r="F3242" s="79"/>
    </row>
    <row r="3243" spans="1:6">
      <c r="A3243" s="77">
        <f t="shared" ca="1" si="269"/>
        <v>46011</v>
      </c>
      <c r="B3243" s="80">
        <v>0.48668981481481483</v>
      </c>
      <c r="C3243" s="76" t="s">
        <v>569</v>
      </c>
      <c r="D3243" s="210" t="s">
        <v>909</v>
      </c>
      <c r="E3243" s="79"/>
      <c r="F3243" s="79"/>
    </row>
    <row r="3244" spans="1:6">
      <c r="A3244" s="77">
        <f t="shared" ca="1" si="269"/>
        <v>46011</v>
      </c>
      <c r="B3244" s="80">
        <f t="shared" ref="B3244:B3289" ca="1" si="271">IF(C3244&lt;&gt;0,IF(B3244=0,NOW(),B3244),)</f>
        <v>46011.490788888892</v>
      </c>
      <c r="C3244" s="76" t="s">
        <v>569</v>
      </c>
      <c r="D3244" s="76" t="s">
        <v>902</v>
      </c>
      <c r="E3244" s="79" t="s">
        <v>1063</v>
      </c>
      <c r="F3244" s="79"/>
    </row>
    <row r="3245" spans="1:6">
      <c r="A3245" s="77">
        <f t="shared" ca="1" si="269"/>
        <v>46011</v>
      </c>
      <c r="B3245" s="80">
        <f t="shared" ca="1" si="271"/>
        <v>46011.494429050923</v>
      </c>
      <c r="C3245" s="76" t="s">
        <v>569</v>
      </c>
      <c r="D3245" s="76" t="s">
        <v>902</v>
      </c>
      <c r="E3245" s="79" t="s">
        <v>2000</v>
      </c>
      <c r="F3245" s="79"/>
    </row>
    <row r="3246" spans="1:6">
      <c r="A3246" s="77">
        <f t="shared" ca="1" si="269"/>
        <v>46011</v>
      </c>
      <c r="B3246" s="80">
        <f t="shared" ca="1" si="271"/>
        <v>46011.496614236108</v>
      </c>
      <c r="C3246" s="76" t="s">
        <v>569</v>
      </c>
      <c r="D3246" s="76" t="s">
        <v>902</v>
      </c>
      <c r="E3246" s="79" t="s">
        <v>1063</v>
      </c>
      <c r="F3246" s="79"/>
    </row>
    <row r="3247" spans="1:6">
      <c r="A3247" s="77">
        <f t="shared" ca="1" si="269"/>
        <v>46011</v>
      </c>
      <c r="B3247" s="80">
        <f t="shared" ca="1" si="271"/>
        <v>46011.497195138887</v>
      </c>
      <c r="C3247" s="76" t="s">
        <v>569</v>
      </c>
      <c r="D3247" s="76" t="s">
        <v>902</v>
      </c>
      <c r="E3247" s="79" t="s">
        <v>1063</v>
      </c>
      <c r="F3247" s="79"/>
    </row>
    <row r="3248" spans="1:6">
      <c r="A3248" s="77">
        <f t="shared" ca="1" si="269"/>
        <v>46011</v>
      </c>
      <c r="B3248" s="80">
        <f t="shared" ca="1" si="271"/>
        <v>46011.498517476852</v>
      </c>
      <c r="C3248" s="76" t="s">
        <v>569</v>
      </c>
      <c r="D3248" s="76" t="s">
        <v>902</v>
      </c>
      <c r="E3248" s="79" t="s">
        <v>2000</v>
      </c>
      <c r="F3248" s="79"/>
    </row>
    <row r="3249" spans="1:6">
      <c r="A3249" s="77">
        <f t="shared" ca="1" si="269"/>
        <v>46011</v>
      </c>
      <c r="B3249" s="80">
        <f t="shared" ca="1" si="271"/>
        <v>46011.501631712963</v>
      </c>
      <c r="C3249" s="76" t="s">
        <v>569</v>
      </c>
      <c r="D3249" s="76" t="s">
        <v>902</v>
      </c>
      <c r="E3249" s="79" t="s">
        <v>2403</v>
      </c>
      <c r="F3249" s="79"/>
    </row>
    <row r="3250" spans="1:6">
      <c r="A3250" s="77">
        <f t="shared" ca="1" si="269"/>
        <v>46011</v>
      </c>
      <c r="B3250" s="80">
        <f t="shared" ca="1" si="271"/>
        <v>46011.50582337963</v>
      </c>
      <c r="C3250" s="76" t="s">
        <v>569</v>
      </c>
      <c r="D3250" s="76" t="s">
        <v>902</v>
      </c>
      <c r="E3250" s="79" t="s">
        <v>1784</v>
      </c>
      <c r="F3250" s="79"/>
    </row>
    <row r="3251" spans="1:6">
      <c r="A3251" s="77">
        <f t="shared" ca="1" si="269"/>
        <v>46011</v>
      </c>
      <c r="B3251" s="80">
        <f t="shared" ca="1" si="271"/>
        <v>46011.510744675928</v>
      </c>
      <c r="C3251" s="76" t="s">
        <v>569</v>
      </c>
      <c r="D3251" s="76" t="s">
        <v>902</v>
      </c>
      <c r="E3251" s="79" t="s">
        <v>1063</v>
      </c>
      <c r="F3251" s="79"/>
    </row>
    <row r="3252" spans="1:6">
      <c r="A3252" s="77">
        <f t="shared" ca="1" si="269"/>
        <v>46011</v>
      </c>
      <c r="B3252" s="80">
        <f t="shared" ca="1" si="271"/>
        <v>46011.511037847224</v>
      </c>
      <c r="C3252" s="76" t="s">
        <v>569</v>
      </c>
      <c r="D3252" s="76" t="s">
        <v>902</v>
      </c>
      <c r="E3252" s="79" t="s">
        <v>2181</v>
      </c>
      <c r="F3252" s="79"/>
    </row>
    <row r="3253" spans="1:6">
      <c r="A3253" s="77">
        <f t="shared" ca="1" si="269"/>
        <v>46011</v>
      </c>
      <c r="B3253" s="80">
        <f t="shared" ca="1" si="271"/>
        <v>46011.511188657409</v>
      </c>
      <c r="C3253" s="76" t="s">
        <v>569</v>
      </c>
      <c r="D3253" s="76" t="s">
        <v>902</v>
      </c>
      <c r="E3253" s="79" t="s">
        <v>1063</v>
      </c>
      <c r="F3253" s="79"/>
    </row>
    <row r="3254" spans="1:6">
      <c r="A3254" s="77">
        <f t="shared" ca="1" si="269"/>
        <v>46011</v>
      </c>
      <c r="B3254" s="80">
        <f t="shared" ca="1" si="271"/>
        <v>46011.512380671295</v>
      </c>
      <c r="C3254" s="76" t="s">
        <v>569</v>
      </c>
      <c r="D3254" s="76" t="s">
        <v>902</v>
      </c>
      <c r="E3254" s="79" t="s">
        <v>1063</v>
      </c>
      <c r="F3254" s="79"/>
    </row>
    <row r="3255" spans="1:6">
      <c r="A3255" s="77">
        <f t="shared" ca="1" si="269"/>
        <v>46011</v>
      </c>
      <c r="B3255" s="80">
        <f t="shared" ca="1" si="271"/>
        <v>46011.513244097223</v>
      </c>
      <c r="C3255" s="76" t="s">
        <v>569</v>
      </c>
      <c r="D3255" s="76" t="s">
        <v>902</v>
      </c>
      <c r="E3255" s="79" t="s">
        <v>1063</v>
      </c>
      <c r="F3255" s="79"/>
    </row>
    <row r="3256" spans="1:6">
      <c r="A3256" s="77">
        <f t="shared" ca="1" si="269"/>
        <v>46011</v>
      </c>
      <c r="B3256" s="80">
        <f t="shared" ca="1" si="271"/>
        <v>46011.513433796295</v>
      </c>
      <c r="C3256" s="76" t="s">
        <v>569</v>
      </c>
      <c r="D3256" s="76" t="s">
        <v>902</v>
      </c>
      <c r="E3256" s="79" t="s">
        <v>2000</v>
      </c>
      <c r="F3256" s="79"/>
    </row>
    <row r="3257" spans="1:6">
      <c r="A3257" s="77">
        <f t="shared" ca="1" si="269"/>
        <v>46011</v>
      </c>
      <c r="B3257" s="80">
        <f t="shared" ca="1" si="271"/>
        <v>46011.51841921296</v>
      </c>
      <c r="C3257" s="76" t="s">
        <v>569</v>
      </c>
      <c r="D3257" s="76" t="s">
        <v>902</v>
      </c>
      <c r="E3257" s="79" t="s">
        <v>2182</v>
      </c>
      <c r="F3257" s="79"/>
    </row>
    <row r="3258" spans="1:6">
      <c r="A3258" s="77">
        <f t="shared" ca="1" si="269"/>
        <v>46011</v>
      </c>
      <c r="B3258" s="80">
        <f t="shared" ca="1" si="271"/>
        <v>46011.522111921295</v>
      </c>
      <c r="C3258" s="76" t="s">
        <v>569</v>
      </c>
      <c r="D3258" s="76" t="s">
        <v>902</v>
      </c>
      <c r="E3258" s="79" t="s">
        <v>1063</v>
      </c>
      <c r="F3258" s="79"/>
    </row>
    <row r="3259" spans="1:6">
      <c r="A3259" s="77">
        <f t="shared" ca="1" si="269"/>
        <v>46011</v>
      </c>
      <c r="B3259" s="80">
        <f t="shared" ca="1" si="271"/>
        <v>46011.522556597221</v>
      </c>
      <c r="C3259" s="76" t="s">
        <v>569</v>
      </c>
      <c r="D3259" s="76" t="s">
        <v>902</v>
      </c>
      <c r="E3259" s="79" t="s">
        <v>1063</v>
      </c>
      <c r="F3259" s="79"/>
    </row>
    <row r="3260" spans="1:6">
      <c r="A3260" s="77">
        <f t="shared" ca="1" si="269"/>
        <v>46011</v>
      </c>
      <c r="B3260" s="80">
        <f t="shared" ca="1" si="271"/>
        <v>46011.525082060187</v>
      </c>
      <c r="C3260" s="76" t="s">
        <v>569</v>
      </c>
      <c r="D3260" s="76" t="s">
        <v>902</v>
      </c>
      <c r="E3260" s="79" t="s">
        <v>1862</v>
      </c>
      <c r="F3260" s="79"/>
    </row>
    <row r="3261" spans="1:6">
      <c r="A3261" s="77">
        <f t="shared" ca="1" si="269"/>
        <v>46011</v>
      </c>
      <c r="B3261" s="80">
        <f t="shared" ca="1" si="271"/>
        <v>46011.535807060187</v>
      </c>
      <c r="C3261" s="76" t="s">
        <v>569</v>
      </c>
      <c r="D3261" s="76" t="s">
        <v>902</v>
      </c>
      <c r="E3261" s="79" t="s">
        <v>2404</v>
      </c>
      <c r="F3261" s="79"/>
    </row>
    <row r="3262" spans="1:6">
      <c r="A3262" s="77">
        <f t="shared" ca="1" si="269"/>
        <v>46011</v>
      </c>
      <c r="B3262" s="80">
        <f t="shared" ca="1" si="271"/>
        <v>46011.538191550928</v>
      </c>
      <c r="C3262" s="76" t="s">
        <v>569</v>
      </c>
      <c r="D3262" s="76" t="s">
        <v>902</v>
      </c>
      <c r="E3262" s="79" t="s">
        <v>1063</v>
      </c>
      <c r="F3262" s="79"/>
    </row>
    <row r="3263" spans="1:6">
      <c r="A3263" s="77">
        <f t="shared" ca="1" si="269"/>
        <v>46011</v>
      </c>
      <c r="B3263" s="80">
        <f t="shared" ca="1" si="271"/>
        <v>46011.544051273151</v>
      </c>
      <c r="C3263" s="76" t="s">
        <v>569</v>
      </c>
      <c r="D3263" s="76" t="s">
        <v>902</v>
      </c>
      <c r="E3263" s="79" t="s">
        <v>1583</v>
      </c>
      <c r="F3263" s="79"/>
    </row>
    <row r="3264" spans="1:6">
      <c r="A3264" s="77">
        <f t="shared" ref="A3264:A3289" ca="1" si="272">IF(C3264&lt;&gt;0,IF(A3264=0,TODAY(),A3264),)</f>
        <v>46011</v>
      </c>
      <c r="B3264" s="80">
        <f t="shared" ca="1" si="271"/>
        <v>46011.556669328704</v>
      </c>
      <c r="C3264" s="76" t="s">
        <v>569</v>
      </c>
      <c r="D3264" s="150" t="s">
        <v>1007</v>
      </c>
      <c r="E3264" s="79" t="s">
        <v>2405</v>
      </c>
      <c r="F3264" s="79"/>
    </row>
    <row r="3265" spans="1:7">
      <c r="A3265" s="77">
        <f t="shared" ca="1" si="272"/>
        <v>46011</v>
      </c>
      <c r="B3265" s="80">
        <f t="shared" ca="1" si="271"/>
        <v>46011.566027893517</v>
      </c>
      <c r="C3265" s="76" t="s">
        <v>569</v>
      </c>
      <c r="D3265" s="76" t="s">
        <v>902</v>
      </c>
      <c r="E3265" s="79" t="s">
        <v>1357</v>
      </c>
      <c r="F3265" s="79"/>
    </row>
    <row r="3266" spans="1:7">
      <c r="A3266" s="77">
        <f t="shared" ca="1" si="272"/>
        <v>46011</v>
      </c>
      <c r="B3266" s="80">
        <f t="shared" ca="1" si="271"/>
        <v>46011.571352430554</v>
      </c>
      <c r="C3266" s="76" t="s">
        <v>569</v>
      </c>
      <c r="D3266" s="76" t="s">
        <v>902</v>
      </c>
      <c r="E3266" s="79" t="s">
        <v>2378</v>
      </c>
      <c r="F3266" s="79"/>
    </row>
    <row r="3267" spans="1:7">
      <c r="A3267" s="77">
        <f t="shared" ca="1" si="272"/>
        <v>46011</v>
      </c>
      <c r="B3267" s="80">
        <f t="shared" ca="1" si="271"/>
        <v>46011.572588541669</v>
      </c>
      <c r="C3267" s="76" t="s">
        <v>569</v>
      </c>
      <c r="D3267" s="210" t="s">
        <v>922</v>
      </c>
      <c r="E3267" s="79"/>
      <c r="F3267" s="79"/>
    </row>
    <row r="3268" spans="1:7">
      <c r="A3268" s="77">
        <f t="shared" ca="1" si="272"/>
        <v>46011</v>
      </c>
      <c r="B3268" s="80">
        <f t="shared" ca="1" si="271"/>
        <v>46011.677351620368</v>
      </c>
      <c r="C3268" s="76" t="s">
        <v>572</v>
      </c>
      <c r="D3268" s="210" t="s">
        <v>909</v>
      </c>
      <c r="E3268" s="79"/>
      <c r="F3268" s="79"/>
    </row>
    <row r="3269" spans="1:7">
      <c r="A3269" s="77">
        <f t="shared" ca="1" si="272"/>
        <v>46011</v>
      </c>
      <c r="B3269" s="80">
        <f t="shared" ca="1" si="271"/>
        <v>46011.67829895833</v>
      </c>
      <c r="C3269" s="76" t="s">
        <v>572</v>
      </c>
      <c r="D3269" s="76" t="s">
        <v>902</v>
      </c>
      <c r="E3269" s="79" t="s">
        <v>2406</v>
      </c>
      <c r="F3269" s="79"/>
    </row>
    <row r="3270" spans="1:7">
      <c r="A3270" s="77">
        <f t="shared" ca="1" si="272"/>
        <v>46011</v>
      </c>
      <c r="B3270" s="80">
        <f t="shared" ca="1" si="271"/>
        <v>46011.680281828703</v>
      </c>
      <c r="C3270" s="76" t="s">
        <v>572</v>
      </c>
      <c r="D3270" s="76" t="s">
        <v>902</v>
      </c>
      <c r="E3270" s="79" t="s">
        <v>1573</v>
      </c>
      <c r="F3270" s="79"/>
    </row>
    <row r="3271" spans="1:7">
      <c r="A3271" s="77">
        <f t="shared" ca="1" si="272"/>
        <v>46011</v>
      </c>
      <c r="B3271" s="80">
        <f t="shared" ca="1" si="271"/>
        <v>46011.682623148146</v>
      </c>
      <c r="C3271" s="76" t="s">
        <v>572</v>
      </c>
      <c r="D3271" s="76" t="s">
        <v>902</v>
      </c>
      <c r="E3271" s="79" t="s">
        <v>2407</v>
      </c>
      <c r="F3271" s="79"/>
    </row>
    <row r="3272" spans="1:7">
      <c r="A3272" s="77">
        <f t="shared" ca="1" si="272"/>
        <v>46011</v>
      </c>
      <c r="B3272" s="80">
        <f t="shared" ca="1" si="271"/>
        <v>46011.686730208334</v>
      </c>
      <c r="C3272" s="76" t="s">
        <v>572</v>
      </c>
      <c r="D3272" s="76" t="s">
        <v>902</v>
      </c>
      <c r="E3272" s="79" t="s">
        <v>2408</v>
      </c>
      <c r="F3272" s="79"/>
      <c r="G3272" s="76" t="s">
        <v>2409</v>
      </c>
    </row>
    <row r="3273" spans="1:7">
      <c r="A3273" s="77">
        <f t="shared" ca="1" si="272"/>
        <v>46011</v>
      </c>
      <c r="B3273" s="80">
        <f t="shared" ca="1" si="271"/>
        <v>46011.691044791667</v>
      </c>
      <c r="C3273" s="76" t="s">
        <v>572</v>
      </c>
      <c r="D3273" s="76" t="s">
        <v>902</v>
      </c>
      <c r="E3273" s="79" t="s">
        <v>2410</v>
      </c>
      <c r="F3273" s="79"/>
    </row>
    <row r="3274" spans="1:7">
      <c r="A3274" s="77">
        <f t="shared" ca="1" si="272"/>
        <v>46011</v>
      </c>
      <c r="B3274" s="80">
        <f t="shared" ca="1" si="271"/>
        <v>46011.692850231484</v>
      </c>
      <c r="C3274" s="76" t="s">
        <v>572</v>
      </c>
      <c r="D3274" s="76" t="s">
        <v>902</v>
      </c>
      <c r="E3274" s="79" t="s">
        <v>1555</v>
      </c>
      <c r="F3274" s="79"/>
    </row>
    <row r="3275" spans="1:7">
      <c r="A3275" s="77">
        <f t="shared" ca="1" si="272"/>
        <v>46011</v>
      </c>
      <c r="B3275" s="80">
        <f t="shared" ca="1" si="271"/>
        <v>46011.693358796299</v>
      </c>
      <c r="C3275" s="76" t="s">
        <v>572</v>
      </c>
      <c r="D3275" s="76" t="s">
        <v>902</v>
      </c>
      <c r="E3275" s="79" t="s">
        <v>1521</v>
      </c>
      <c r="F3275" s="79"/>
    </row>
    <row r="3276" spans="1:7">
      <c r="A3276" s="77">
        <f t="shared" ca="1" si="272"/>
        <v>46011</v>
      </c>
      <c r="B3276" s="80">
        <f t="shared" ca="1" si="271"/>
        <v>46011.698937384259</v>
      </c>
      <c r="C3276" s="76" t="s">
        <v>572</v>
      </c>
      <c r="D3276" s="150" t="s">
        <v>1007</v>
      </c>
      <c r="E3276" s="79" t="s">
        <v>2411</v>
      </c>
      <c r="F3276" s="79"/>
    </row>
    <row r="3277" spans="1:7">
      <c r="A3277" s="77">
        <f t="shared" ca="1" si="272"/>
        <v>46011</v>
      </c>
      <c r="B3277" s="80">
        <f t="shared" ca="1" si="271"/>
        <v>46011.70345439815</v>
      </c>
      <c r="C3277" s="76" t="s">
        <v>572</v>
      </c>
      <c r="D3277" s="76" t="s">
        <v>902</v>
      </c>
      <c r="E3277" s="79" t="s">
        <v>1521</v>
      </c>
      <c r="F3277" s="79"/>
    </row>
    <row r="3278" spans="1:7">
      <c r="A3278" s="77">
        <f t="shared" ca="1" si="272"/>
        <v>46011</v>
      </c>
      <c r="B3278" s="80">
        <f t="shared" ca="1" si="271"/>
        <v>46011.704357175928</v>
      </c>
      <c r="C3278" s="76" t="s">
        <v>572</v>
      </c>
      <c r="D3278" s="76" t="s">
        <v>902</v>
      </c>
      <c r="E3278" s="79" t="s">
        <v>1063</v>
      </c>
      <c r="F3278" s="79"/>
    </row>
    <row r="3279" spans="1:7">
      <c r="A3279" s="77">
        <f t="shared" ca="1" si="272"/>
        <v>46011</v>
      </c>
      <c r="B3279" s="80">
        <f t="shared" ca="1" si="271"/>
        <v>46011.71188101852</v>
      </c>
      <c r="C3279" s="76" t="s">
        <v>572</v>
      </c>
      <c r="D3279" s="76" t="s">
        <v>902</v>
      </c>
      <c r="E3279" s="79" t="s">
        <v>2412</v>
      </c>
      <c r="F3279" s="79"/>
    </row>
    <row r="3280" spans="1:7">
      <c r="A3280" s="77">
        <f t="shared" ca="1" si="272"/>
        <v>46011</v>
      </c>
      <c r="B3280" s="80">
        <f t="shared" ca="1" si="271"/>
        <v>46011.714716898146</v>
      </c>
      <c r="C3280" s="76" t="s">
        <v>572</v>
      </c>
      <c r="D3280" s="76" t="s">
        <v>902</v>
      </c>
      <c r="E3280" s="79" t="s">
        <v>2413</v>
      </c>
      <c r="F3280" s="79"/>
    </row>
    <row r="3281" spans="1:7">
      <c r="A3281" s="77">
        <f t="shared" ca="1" si="272"/>
        <v>46011</v>
      </c>
      <c r="B3281" s="80">
        <f t="shared" ca="1" si="271"/>
        <v>46011.724505439815</v>
      </c>
      <c r="C3281" s="76" t="s">
        <v>572</v>
      </c>
      <c r="D3281" s="76" t="s">
        <v>902</v>
      </c>
      <c r="E3281" s="79" t="s">
        <v>2414</v>
      </c>
      <c r="F3281" s="79"/>
    </row>
    <row r="3282" spans="1:7">
      <c r="A3282" s="77">
        <f t="shared" ca="1" si="272"/>
        <v>46011</v>
      </c>
      <c r="B3282" s="80">
        <f t="shared" ca="1" si="271"/>
        <v>46011.727852314812</v>
      </c>
      <c r="C3282" s="76" t="s">
        <v>572</v>
      </c>
      <c r="D3282" s="76" t="s">
        <v>902</v>
      </c>
      <c r="E3282" s="79" t="s">
        <v>2020</v>
      </c>
      <c r="F3282" s="79"/>
    </row>
    <row r="3283" spans="1:7">
      <c r="A3283" s="77">
        <f t="shared" ca="1" si="272"/>
        <v>46011</v>
      </c>
      <c r="B3283" s="80">
        <f t="shared" ca="1" si="271"/>
        <v>46011.739928124996</v>
      </c>
      <c r="C3283" s="76" t="s">
        <v>572</v>
      </c>
      <c r="D3283" s="76" t="s">
        <v>902</v>
      </c>
      <c r="E3283" s="79" t="s">
        <v>961</v>
      </c>
      <c r="F3283" s="79"/>
    </row>
    <row r="3284" spans="1:7">
      <c r="A3284" s="77">
        <f t="shared" ca="1" si="272"/>
        <v>46011</v>
      </c>
      <c r="B3284" s="80">
        <f t="shared" ca="1" si="271"/>
        <v>46011.743215046299</v>
      </c>
      <c r="C3284" s="76" t="s">
        <v>572</v>
      </c>
      <c r="D3284" s="76" t="s">
        <v>902</v>
      </c>
      <c r="E3284" s="79" t="s">
        <v>1504</v>
      </c>
      <c r="F3284" s="79" t="s">
        <v>2415</v>
      </c>
    </row>
    <row r="3285" spans="1:7">
      <c r="A3285" s="77">
        <f t="shared" ca="1" si="272"/>
        <v>46011</v>
      </c>
      <c r="B3285" s="80">
        <f t="shared" ca="1" si="271"/>
        <v>46011.744092013891</v>
      </c>
      <c r="C3285" s="76" t="s">
        <v>572</v>
      </c>
      <c r="D3285" s="76" t="s">
        <v>902</v>
      </c>
      <c r="E3285" s="79" t="s">
        <v>2416</v>
      </c>
      <c r="F3285" s="79"/>
    </row>
    <row r="3286" spans="1:7">
      <c r="A3286" s="77">
        <f t="shared" ca="1" si="272"/>
        <v>46011</v>
      </c>
      <c r="B3286" s="80">
        <f t="shared" ca="1" si="271"/>
        <v>46011.748042708336</v>
      </c>
      <c r="C3286" s="76" t="s">
        <v>572</v>
      </c>
      <c r="D3286" s="76" t="s">
        <v>902</v>
      </c>
      <c r="E3286" s="79" t="s">
        <v>1249</v>
      </c>
      <c r="F3286" s="79"/>
    </row>
    <row r="3287" spans="1:7">
      <c r="A3287" s="77">
        <f t="shared" ca="1" si="272"/>
        <v>46011</v>
      </c>
      <c r="B3287" s="80">
        <f t="shared" ca="1" si="271"/>
        <v>46011.751173495373</v>
      </c>
      <c r="C3287" s="76" t="s">
        <v>572</v>
      </c>
      <c r="D3287" s="76" t="s">
        <v>902</v>
      </c>
      <c r="E3287" s="79" t="s">
        <v>1504</v>
      </c>
      <c r="F3287" s="79"/>
    </row>
    <row r="3288" spans="1:7">
      <c r="A3288" s="77">
        <f t="shared" ca="1" si="272"/>
        <v>46011</v>
      </c>
      <c r="B3288" s="80">
        <f t="shared" ca="1" si="271"/>
        <v>46011.756452083333</v>
      </c>
      <c r="C3288" s="76" t="s">
        <v>572</v>
      </c>
      <c r="D3288" s="76" t="s">
        <v>902</v>
      </c>
      <c r="E3288" s="79" t="s">
        <v>2417</v>
      </c>
      <c r="F3288" s="79"/>
    </row>
    <row r="3289" spans="1:7">
      <c r="A3289" s="77">
        <f t="shared" ca="1" si="272"/>
        <v>46011</v>
      </c>
      <c r="B3289" s="80">
        <f t="shared" ca="1" si="271"/>
        <v>46011.759826620371</v>
      </c>
      <c r="C3289" s="76" t="s">
        <v>572</v>
      </c>
      <c r="D3289" s="76" t="s">
        <v>902</v>
      </c>
      <c r="E3289" s="79" t="s">
        <v>2418</v>
      </c>
      <c r="F3289" s="79"/>
      <c r="G3289" s="76" t="s">
        <v>2297</v>
      </c>
    </row>
    <row r="3290" spans="1:7">
      <c r="A3290" s="77">
        <v>46011</v>
      </c>
      <c r="B3290" s="80">
        <f t="shared" ref="B3290:B3298" ca="1" si="273">IF(C3290&lt;&gt;0,IF(B3290=0,NOW(),B3290),)</f>
        <v>46011.770651967592</v>
      </c>
      <c r="C3290" s="76" t="s">
        <v>572</v>
      </c>
      <c r="D3290" s="76" t="s">
        <v>902</v>
      </c>
      <c r="E3290" s="79" t="s">
        <v>2000</v>
      </c>
      <c r="F3290" s="79"/>
    </row>
    <row r="3291" spans="1:7">
      <c r="A3291" s="77">
        <v>46011</v>
      </c>
      <c r="B3291" s="80">
        <f t="shared" ca="1" si="273"/>
        <v>46011.777712847223</v>
      </c>
      <c r="C3291" s="76" t="s">
        <v>572</v>
      </c>
      <c r="D3291" s="76" t="s">
        <v>902</v>
      </c>
      <c r="E3291" s="79" t="s">
        <v>2419</v>
      </c>
      <c r="F3291" s="79"/>
    </row>
    <row r="3292" spans="1:7">
      <c r="A3292" s="77">
        <v>46011</v>
      </c>
      <c r="B3292" s="80">
        <f t="shared" ca="1" si="273"/>
        <v>46011.781401504632</v>
      </c>
      <c r="C3292" s="76" t="s">
        <v>572</v>
      </c>
      <c r="D3292" s="76" t="s">
        <v>902</v>
      </c>
      <c r="E3292" s="79" t="s">
        <v>2420</v>
      </c>
      <c r="F3292" s="79"/>
    </row>
    <row r="3293" spans="1:7">
      <c r="A3293" s="77">
        <v>46011</v>
      </c>
      <c r="B3293" s="80">
        <f t="shared" ca="1" si="273"/>
        <v>46011.782846875001</v>
      </c>
      <c r="C3293" s="76" t="s">
        <v>572</v>
      </c>
      <c r="D3293" s="76" t="s">
        <v>902</v>
      </c>
      <c r="E3293" s="79" t="s">
        <v>2000</v>
      </c>
      <c r="F3293" s="79"/>
    </row>
    <row r="3294" spans="1:7">
      <c r="A3294" s="77">
        <v>46011</v>
      </c>
      <c r="B3294" s="80">
        <f t="shared" ca="1" si="273"/>
        <v>46011.785670370373</v>
      </c>
      <c r="C3294" s="76" t="s">
        <v>572</v>
      </c>
      <c r="D3294" s="76" t="s">
        <v>902</v>
      </c>
      <c r="E3294" s="79" t="s">
        <v>2413</v>
      </c>
      <c r="F3294" s="79"/>
    </row>
    <row r="3295" spans="1:7">
      <c r="A3295" s="77">
        <v>46011</v>
      </c>
      <c r="B3295" s="80">
        <f t="shared" ca="1" si="273"/>
        <v>46011.792523148149</v>
      </c>
      <c r="C3295" s="76" t="s">
        <v>572</v>
      </c>
      <c r="D3295" s="76" t="s">
        <v>902</v>
      </c>
      <c r="E3295" s="79" t="s">
        <v>2326</v>
      </c>
      <c r="F3295" s="79"/>
      <c r="G3295" s="76" t="s">
        <v>2297</v>
      </c>
    </row>
    <row r="3296" spans="1:7">
      <c r="A3296" s="77">
        <v>46011</v>
      </c>
      <c r="B3296" s="80">
        <f t="shared" ca="1" si="273"/>
        <v>46011.801492129627</v>
      </c>
      <c r="C3296" s="76" t="s">
        <v>572</v>
      </c>
      <c r="D3296" s="76" t="s">
        <v>902</v>
      </c>
      <c r="E3296" s="79" t="s">
        <v>2421</v>
      </c>
      <c r="F3296" s="79"/>
    </row>
    <row r="3297" spans="1:6">
      <c r="A3297" s="77">
        <v>46011</v>
      </c>
      <c r="B3297" s="80">
        <f t="shared" ca="1" si="273"/>
        <v>46011.803152430555</v>
      </c>
      <c r="C3297" s="76" t="s">
        <v>572</v>
      </c>
      <c r="D3297" s="76" t="s">
        <v>902</v>
      </c>
      <c r="E3297" s="79" t="s">
        <v>2422</v>
      </c>
      <c r="F3297" s="79"/>
    </row>
    <row r="3298" spans="1:6">
      <c r="A3298" s="77">
        <v>46011</v>
      </c>
      <c r="B3298" s="80">
        <f t="shared" ca="1" si="273"/>
        <v>46011.808452546298</v>
      </c>
      <c r="C3298" s="76" t="s">
        <v>572</v>
      </c>
      <c r="D3298" s="76" t="s">
        <v>902</v>
      </c>
      <c r="E3298" s="79" t="s">
        <v>2000</v>
      </c>
      <c r="F3298" s="79"/>
    </row>
    <row r="3299" spans="1:6">
      <c r="A3299" s="77">
        <v>46011</v>
      </c>
      <c r="B3299" s="80">
        <v>0.81736111111111109</v>
      </c>
      <c r="C3299" s="76" t="s">
        <v>572</v>
      </c>
      <c r="D3299" s="76" t="s">
        <v>902</v>
      </c>
      <c r="E3299" s="79" t="s">
        <v>1067</v>
      </c>
      <c r="F3299" s="79"/>
    </row>
    <row r="3300" spans="1:6">
      <c r="A3300" s="77">
        <v>46011</v>
      </c>
      <c r="B3300" s="80">
        <v>0.82152777777777775</v>
      </c>
      <c r="C3300" s="76" t="s">
        <v>572</v>
      </c>
      <c r="D3300" s="76" t="s">
        <v>902</v>
      </c>
      <c r="E3300" s="79" t="s">
        <v>2423</v>
      </c>
      <c r="F3300" s="79"/>
    </row>
    <row r="3301" spans="1:6">
      <c r="A3301" s="77">
        <f t="shared" ref="A3301:A3304" ca="1" si="274">IF(C3301&lt;&gt;0,IF(A3301=0,TODAY(),A3301),)</f>
        <v>46011</v>
      </c>
      <c r="B3301" s="80">
        <f t="shared" ref="B3301:B3304" ca="1" si="275">IF(C3301&lt;&gt;0,IF(B3301=0,NOW(),B3301),)</f>
        <v>46011.822689236113</v>
      </c>
      <c r="C3301" s="76" t="s">
        <v>572</v>
      </c>
      <c r="D3301" s="76" t="s">
        <v>902</v>
      </c>
      <c r="E3301" s="79" t="s">
        <v>1504</v>
      </c>
      <c r="F3301" s="79"/>
    </row>
    <row r="3302" spans="1:6">
      <c r="A3302" s="77">
        <f t="shared" ca="1" si="274"/>
        <v>46011</v>
      </c>
      <c r="B3302" s="80">
        <f t="shared" ca="1" si="275"/>
        <v>46011.82634201389</v>
      </c>
      <c r="C3302" s="76" t="s">
        <v>572</v>
      </c>
      <c r="D3302" s="76" t="s">
        <v>902</v>
      </c>
      <c r="E3302" s="79" t="s">
        <v>2424</v>
      </c>
      <c r="F3302" s="79"/>
    </row>
    <row r="3303" spans="1:6">
      <c r="A3303" s="77">
        <f t="shared" ca="1" si="274"/>
        <v>46011</v>
      </c>
      <c r="B3303" s="80">
        <f t="shared" ca="1" si="275"/>
        <v>46011.838148842595</v>
      </c>
      <c r="C3303" s="76" t="s">
        <v>572</v>
      </c>
      <c r="D3303" s="150" t="s">
        <v>1007</v>
      </c>
      <c r="E3303" s="79" t="s">
        <v>2425</v>
      </c>
      <c r="F3303" s="79"/>
    </row>
    <row r="3304" spans="1:6">
      <c r="A3304" s="77">
        <f t="shared" ca="1" si="274"/>
        <v>46011</v>
      </c>
      <c r="B3304" s="80">
        <f t="shared" ca="1" si="275"/>
        <v>46011.844957175927</v>
      </c>
      <c r="C3304" s="76" t="s">
        <v>572</v>
      </c>
      <c r="D3304" s="76" t="s">
        <v>902</v>
      </c>
      <c r="E3304" s="79" t="s">
        <v>2426</v>
      </c>
      <c r="F3304" s="79"/>
    </row>
    <row r="3305" spans="1:6">
      <c r="A3305" s="77">
        <f ca="1">IF(C3305&lt;&gt;0,IF(A3305=0,TODAY(),A3305),)</f>
        <v>46011</v>
      </c>
      <c r="B3305" s="80">
        <f ca="1">IF(C3305&lt;&gt;0,IF(B3305=0,NOW(),B3305),)</f>
        <v>46011.848168634257</v>
      </c>
      <c r="C3305" s="76" t="s">
        <v>572</v>
      </c>
      <c r="D3305" s="76" t="s">
        <v>902</v>
      </c>
      <c r="E3305" s="79" t="s">
        <v>2426</v>
      </c>
      <c r="F3305" s="79"/>
    </row>
    <row r="3306" spans="1:6">
      <c r="A3306" s="77">
        <f ca="1">IF(C3306&lt;&gt;0,IF(A3306=0,TODAY(),A3306),)</f>
        <v>46011</v>
      </c>
      <c r="B3306" s="80">
        <f ca="1">IF(C3306&lt;&gt;0,IF(B3306=0,NOW(),B3306),)</f>
        <v>46011.850120601855</v>
      </c>
      <c r="C3306" s="76" t="s">
        <v>572</v>
      </c>
      <c r="D3306" s="76" t="s">
        <v>902</v>
      </c>
      <c r="E3306" s="79" t="s">
        <v>1026</v>
      </c>
      <c r="F3306" s="79"/>
    </row>
    <row r="3307" spans="1:6">
      <c r="A3307" s="77">
        <f ca="1">IF(C3307&lt;&gt;0,IF(A3307=0,TODAY(),A3307),)</f>
        <v>46011</v>
      </c>
      <c r="B3307" s="80">
        <f ca="1">IF(C3307&lt;&gt;0,IF(B3307=0,NOW(),B3307),)</f>
        <v>46011.851272916669</v>
      </c>
      <c r="C3307" s="76" t="s">
        <v>572</v>
      </c>
      <c r="D3307" s="76" t="s">
        <v>902</v>
      </c>
      <c r="E3307" s="79" t="s">
        <v>2427</v>
      </c>
      <c r="F3307" s="79"/>
    </row>
    <row r="3308" spans="1:6">
      <c r="A3308" s="77">
        <f ca="1">IF(C3308&lt;&gt;0,IF(A3308=0,TODAY(),A3308),)</f>
        <v>46011</v>
      </c>
      <c r="B3308" s="80">
        <f ca="1">IF(C3308&lt;&gt;0,IF(B3308=0,NOW(),B3308),)</f>
        <v>46011.858013657409</v>
      </c>
      <c r="C3308" s="76" t="s">
        <v>572</v>
      </c>
      <c r="D3308" s="76" t="s">
        <v>902</v>
      </c>
      <c r="E3308" s="79" t="s">
        <v>2428</v>
      </c>
      <c r="F3308" s="79"/>
    </row>
    <row r="3309" spans="1:6">
      <c r="A3309" s="77">
        <f ca="1">IF(C3309&lt;&gt;0,IF(A3309=0,TODAY(),A3309),)</f>
        <v>46011</v>
      </c>
      <c r="B3309" s="80">
        <f ca="1">IF(C3309&lt;&gt;0,IF(B3309=0,NOW(),B3309),)</f>
        <v>46011.869791435187</v>
      </c>
      <c r="C3309" s="76" t="s">
        <v>572</v>
      </c>
      <c r="D3309" s="76" t="s">
        <v>902</v>
      </c>
      <c r="E3309" s="79" t="s">
        <v>961</v>
      </c>
      <c r="F3309" s="79"/>
    </row>
    <row r="3310" spans="1:6">
      <c r="A3310" s="77">
        <f t="shared" ref="A3310:A3322" ca="1" si="276">IF(C3310&lt;&gt;0,IF(A3310=0,TODAY(),A3310),)</f>
        <v>46011</v>
      </c>
      <c r="B3310" s="80">
        <f t="shared" ref="B3310:B3322" ca="1" si="277">IF(C3310&lt;&gt;0,IF(B3310=0,NOW(),B3310),)</f>
        <v>46011.871480439811</v>
      </c>
      <c r="C3310" s="76" t="s">
        <v>572</v>
      </c>
      <c r="D3310" s="76" t="s">
        <v>902</v>
      </c>
      <c r="E3310" s="79" t="s">
        <v>2429</v>
      </c>
      <c r="F3310" s="79"/>
    </row>
    <row r="3311" spans="1:6">
      <c r="A3311" s="77">
        <f t="shared" ca="1" si="276"/>
        <v>46011</v>
      </c>
      <c r="B3311" s="80">
        <f t="shared" ca="1" si="277"/>
        <v>46011.885898032408</v>
      </c>
      <c r="C3311" s="76" t="s">
        <v>572</v>
      </c>
      <c r="D3311" s="76" t="s">
        <v>902</v>
      </c>
      <c r="E3311" s="79" t="s">
        <v>2430</v>
      </c>
      <c r="F3311" s="79"/>
    </row>
    <row r="3312" spans="1:6">
      <c r="A3312" s="77">
        <f t="shared" ca="1" si="276"/>
        <v>46011</v>
      </c>
      <c r="B3312" s="80">
        <f t="shared" ca="1" si="277"/>
        <v>46011.892375925927</v>
      </c>
      <c r="C3312" s="76" t="s">
        <v>572</v>
      </c>
      <c r="D3312" s="76" t="s">
        <v>902</v>
      </c>
      <c r="E3312" s="79" t="s">
        <v>2431</v>
      </c>
      <c r="F3312" s="79"/>
    </row>
    <row r="3313" spans="1:6">
      <c r="A3313" s="77">
        <f t="shared" ca="1" si="276"/>
        <v>46011</v>
      </c>
      <c r="B3313" s="80">
        <f t="shared" ca="1" si="277"/>
        <v>46011.902272916668</v>
      </c>
      <c r="C3313" s="76" t="s">
        <v>572</v>
      </c>
      <c r="D3313" s="150" t="s">
        <v>1007</v>
      </c>
      <c r="E3313" s="79" t="s">
        <v>2432</v>
      </c>
      <c r="F3313" s="79"/>
    </row>
    <row r="3314" spans="1:6">
      <c r="A3314" s="77">
        <f ca="1">IF(C3314&lt;&gt;0,IF(A3314=0,TODAY(),A3314),)</f>
        <v>46011</v>
      </c>
      <c r="B3314" s="80">
        <v>0.92454861111111108</v>
      </c>
      <c r="C3314" s="76" t="s">
        <v>572</v>
      </c>
      <c r="D3314" s="210" t="s">
        <v>922</v>
      </c>
      <c r="E3314" s="79"/>
      <c r="F3314" s="79"/>
    </row>
    <row r="3315" spans="1:6">
      <c r="A3315" s="77">
        <f t="shared" ca="1" si="276"/>
        <v>46011</v>
      </c>
      <c r="B3315" s="80">
        <f t="shared" ca="1" si="277"/>
        <v>46011.941973379631</v>
      </c>
      <c r="C3315" s="76" t="s">
        <v>572</v>
      </c>
      <c r="D3315" s="210" t="s">
        <v>1098</v>
      </c>
      <c r="E3315" s="79"/>
      <c r="F3315" s="79"/>
    </row>
    <row r="3316" spans="1:6">
      <c r="A3316" s="77">
        <f t="shared" ca="1" si="276"/>
        <v>46012</v>
      </c>
      <c r="B3316" s="80">
        <f t="shared" ca="1" si="277"/>
        <v>46012.022299884258</v>
      </c>
      <c r="C3316" s="76" t="s">
        <v>575</v>
      </c>
      <c r="D3316" s="210" t="s">
        <v>906</v>
      </c>
      <c r="E3316" s="79"/>
      <c r="F3316" s="79"/>
    </row>
    <row r="3317" spans="1:6">
      <c r="A3317" s="77">
        <f t="shared" ca="1" si="276"/>
        <v>46012</v>
      </c>
      <c r="B3317" s="80">
        <f t="shared" ca="1" si="277"/>
        <v>46012.060915162037</v>
      </c>
      <c r="C3317" s="76" t="s">
        <v>575</v>
      </c>
      <c r="D3317" s="210" t="s">
        <v>909</v>
      </c>
      <c r="E3317" s="79"/>
      <c r="F3317" s="79"/>
    </row>
    <row r="3318" spans="1:6">
      <c r="A3318" s="77">
        <f t="shared" ca="1" si="276"/>
        <v>46012</v>
      </c>
      <c r="B3318" s="80">
        <f t="shared" ca="1" si="277"/>
        <v>46012.070726620368</v>
      </c>
      <c r="C3318" s="76" t="s">
        <v>575</v>
      </c>
      <c r="D3318" s="76" t="s">
        <v>902</v>
      </c>
      <c r="E3318" s="79" t="s">
        <v>2000</v>
      </c>
      <c r="F3318" s="79"/>
    </row>
    <row r="3319" spans="1:6">
      <c r="A3319" s="77">
        <f t="shared" ca="1" si="276"/>
        <v>46012</v>
      </c>
      <c r="B3319" s="80">
        <f t="shared" ca="1" si="277"/>
        <v>46012.071171759257</v>
      </c>
      <c r="C3319" s="76" t="s">
        <v>575</v>
      </c>
      <c r="D3319" s="76" t="s">
        <v>902</v>
      </c>
      <c r="E3319" s="79" t="s">
        <v>2000</v>
      </c>
      <c r="F3319" s="79"/>
    </row>
    <row r="3320" spans="1:6">
      <c r="A3320" s="77">
        <f t="shared" ca="1" si="276"/>
        <v>46012</v>
      </c>
      <c r="B3320" s="80">
        <f t="shared" ca="1" si="277"/>
        <v>46012.073759143517</v>
      </c>
      <c r="C3320" s="76" t="s">
        <v>575</v>
      </c>
      <c r="D3320" s="76" t="s">
        <v>902</v>
      </c>
      <c r="E3320" s="79" t="s">
        <v>1567</v>
      </c>
      <c r="F3320" s="79"/>
    </row>
    <row r="3321" spans="1:6">
      <c r="A3321" s="77">
        <f t="shared" ca="1" si="276"/>
        <v>46012</v>
      </c>
      <c r="B3321" s="80">
        <f t="shared" ca="1" si="277"/>
        <v>46012.080929050928</v>
      </c>
      <c r="C3321" s="76" t="s">
        <v>575</v>
      </c>
      <c r="D3321" s="76" t="s">
        <v>902</v>
      </c>
      <c r="E3321" s="79" t="s">
        <v>1567</v>
      </c>
      <c r="F3321" s="79"/>
    </row>
    <row r="3322" spans="1:6">
      <c r="A3322" s="77">
        <f t="shared" ca="1" si="276"/>
        <v>46012</v>
      </c>
      <c r="B3322" s="80">
        <f t="shared" ca="1" si="277"/>
        <v>46012.082260185183</v>
      </c>
      <c r="C3322" s="76" t="s">
        <v>575</v>
      </c>
      <c r="D3322" s="76" t="s">
        <v>902</v>
      </c>
      <c r="E3322" s="79" t="s">
        <v>1567</v>
      </c>
      <c r="F3322" s="79"/>
    </row>
    <row r="3323" spans="1:6">
      <c r="A3323" s="77">
        <f ca="1">IF(C3323&lt;&gt;0,IF(A3323=0,TODAY(),A3323),)</f>
        <v>46012</v>
      </c>
      <c r="B3323" s="80">
        <f ca="1">IF(C3323&lt;&gt;0,IF(B3323=0,NOW(),B3323),)</f>
        <v>46012.089041550928</v>
      </c>
      <c r="C3323" s="76" t="s">
        <v>575</v>
      </c>
      <c r="D3323" s="76" t="s">
        <v>902</v>
      </c>
      <c r="E3323" s="79" t="s">
        <v>2000</v>
      </c>
      <c r="F3323" s="79"/>
    </row>
    <row r="3324" spans="1:6">
      <c r="A3324" s="77">
        <f ca="1">IF(C3324&lt;&gt;0,IF(A3324=0,TODAY(),A3324),)</f>
        <v>46012</v>
      </c>
      <c r="B3324" s="80">
        <f ca="1">IF(C3324&lt;&gt;0,IF(B3324=0,NOW(),B3324),)</f>
        <v>46012.08941828704</v>
      </c>
      <c r="C3324" s="76" t="s">
        <v>575</v>
      </c>
      <c r="D3324" s="76" t="s">
        <v>902</v>
      </c>
      <c r="E3324" s="79" t="s">
        <v>2357</v>
      </c>
      <c r="F3324" s="79"/>
    </row>
    <row r="3325" spans="1:6">
      <c r="A3325" s="77">
        <f t="shared" ref="A3325:A3327" ca="1" si="278">IF(C3325&lt;&gt;0,IF(A3325=0,TODAY(),A3325),)</f>
        <v>46012</v>
      </c>
      <c r="B3325" s="80">
        <f t="shared" ref="B3325:B3327" ca="1" si="279">IF(C3325&lt;&gt;0,IF(B3325=0,NOW(),B3325),)</f>
        <v>46012.098760416666</v>
      </c>
      <c r="C3325" s="76" t="s">
        <v>575</v>
      </c>
      <c r="D3325" s="76" t="s">
        <v>902</v>
      </c>
      <c r="E3325" s="79" t="s">
        <v>2433</v>
      </c>
      <c r="F3325" s="79"/>
    </row>
    <row r="3326" spans="1:6">
      <c r="A3326" s="77">
        <f t="shared" ca="1" si="278"/>
        <v>46012</v>
      </c>
      <c r="B3326" s="80">
        <f t="shared" ca="1" si="279"/>
        <v>46012.106345138891</v>
      </c>
      <c r="C3326" s="76" t="s">
        <v>575</v>
      </c>
      <c r="D3326" s="76" t="s">
        <v>902</v>
      </c>
      <c r="E3326" s="79" t="s">
        <v>1567</v>
      </c>
      <c r="F3326" s="79"/>
    </row>
    <row r="3327" spans="1:6">
      <c r="A3327" s="77">
        <f t="shared" ca="1" si="278"/>
        <v>46012</v>
      </c>
      <c r="B3327" s="80">
        <f t="shared" ca="1" si="279"/>
        <v>46012.107538078701</v>
      </c>
      <c r="C3327" s="76" t="s">
        <v>575</v>
      </c>
      <c r="D3327" s="76" t="s">
        <v>902</v>
      </c>
      <c r="E3327" s="79" t="s">
        <v>1567</v>
      </c>
      <c r="F3327" s="79"/>
    </row>
    <row r="3328" spans="1:6">
      <c r="A3328" s="77">
        <f t="shared" ref="A3328:A3335" ca="1" si="280">IF(C3328&lt;&gt;0,IF(A3328=0,TODAY(),A3328),)</f>
        <v>46012</v>
      </c>
      <c r="B3328" s="80">
        <f t="shared" ref="B3328:B3335" ca="1" si="281">IF(C3328&lt;&gt;0,IF(B3328=0,NOW(),B3328),)</f>
        <v>46012.113387384263</v>
      </c>
      <c r="C3328" s="76" t="s">
        <v>575</v>
      </c>
      <c r="D3328" s="76" t="s">
        <v>902</v>
      </c>
      <c r="E3328" s="79" t="s">
        <v>1567</v>
      </c>
      <c r="F3328" s="79"/>
    </row>
    <row r="3329" spans="1:6">
      <c r="A3329" s="77">
        <f t="shared" ca="1" si="280"/>
        <v>46012</v>
      </c>
      <c r="B3329" s="80">
        <f t="shared" ca="1" si="281"/>
        <v>46012.114982175925</v>
      </c>
      <c r="C3329" s="76" t="s">
        <v>575</v>
      </c>
      <c r="D3329" s="76" t="s">
        <v>902</v>
      </c>
      <c r="E3329" s="79" t="s">
        <v>2000</v>
      </c>
      <c r="F3329" s="79"/>
    </row>
    <row r="3330" spans="1:6">
      <c r="A3330" s="77">
        <f t="shared" ca="1" si="280"/>
        <v>46012</v>
      </c>
      <c r="B3330" s="80">
        <f t="shared" ca="1" si="281"/>
        <v>46012.122006018515</v>
      </c>
      <c r="C3330" s="76" t="s">
        <v>575</v>
      </c>
      <c r="D3330" s="76" t="s">
        <v>902</v>
      </c>
      <c r="E3330" s="79" t="s">
        <v>2000</v>
      </c>
      <c r="F3330" s="79"/>
    </row>
    <row r="3331" spans="1:6">
      <c r="A3331" s="77">
        <f t="shared" ca="1" si="280"/>
        <v>46012</v>
      </c>
      <c r="B3331" s="80">
        <f t="shared" ca="1" si="281"/>
        <v>46012.124296064816</v>
      </c>
      <c r="C3331" s="76" t="s">
        <v>575</v>
      </c>
      <c r="D3331" s="76" t="s">
        <v>902</v>
      </c>
      <c r="E3331" s="79" t="s">
        <v>1567</v>
      </c>
      <c r="F3331" s="79"/>
    </row>
    <row r="3332" spans="1:6">
      <c r="A3332" s="77">
        <f t="shared" ca="1" si="280"/>
        <v>46012</v>
      </c>
      <c r="B3332" s="80">
        <f t="shared" ca="1" si="281"/>
        <v>46012.124430787037</v>
      </c>
      <c r="C3332" s="76" t="s">
        <v>575</v>
      </c>
      <c r="D3332" s="76" t="s">
        <v>902</v>
      </c>
      <c r="E3332" s="79" t="s">
        <v>2434</v>
      </c>
      <c r="F3332" s="79"/>
    </row>
    <row r="3333" spans="1:6">
      <c r="A3333" s="77">
        <f t="shared" ca="1" si="280"/>
        <v>46012</v>
      </c>
      <c r="B3333" s="80">
        <f t="shared" ca="1" si="281"/>
        <v>46012.125891898148</v>
      </c>
      <c r="C3333" s="76" t="s">
        <v>575</v>
      </c>
      <c r="D3333" s="76" t="s">
        <v>902</v>
      </c>
      <c r="E3333" s="79" t="s">
        <v>2435</v>
      </c>
      <c r="F3333" s="79"/>
    </row>
    <row r="3334" spans="1:6">
      <c r="A3334" s="77">
        <f t="shared" ca="1" si="280"/>
        <v>46012</v>
      </c>
      <c r="B3334" s="80">
        <f t="shared" ca="1" si="281"/>
        <v>46012.127942476851</v>
      </c>
      <c r="C3334" s="76" t="s">
        <v>575</v>
      </c>
      <c r="D3334" s="210" t="s">
        <v>922</v>
      </c>
      <c r="E3334" s="79" t="s">
        <v>2436</v>
      </c>
      <c r="F3334" s="79"/>
    </row>
    <row r="3335" spans="1:6">
      <c r="A3335" s="77">
        <f t="shared" ca="1" si="280"/>
        <v>46012</v>
      </c>
      <c r="B3335" s="80">
        <f t="shared" ca="1" si="281"/>
        <v>46012.150660300926</v>
      </c>
      <c r="C3335" s="76" t="s">
        <v>575</v>
      </c>
      <c r="D3335" s="210" t="s">
        <v>1098</v>
      </c>
      <c r="E3335" s="79"/>
      <c r="F3335" s="79"/>
    </row>
    <row r="3336" spans="1:6">
      <c r="A3336" s="77">
        <f ca="1">IF(C3336&lt;&gt;0,IF(A3336=0,TODAY(),A3336),)</f>
        <v>46012</v>
      </c>
      <c r="B3336" s="80">
        <f ca="1">IF(C3336&lt;&gt;0,IF(B3336=0,NOW(),B3336),)</f>
        <v>46012.233020833337</v>
      </c>
      <c r="C3336" s="76" t="s">
        <v>578</v>
      </c>
      <c r="D3336" s="210" t="s">
        <v>906</v>
      </c>
      <c r="E3336" s="79"/>
      <c r="F3336" s="79"/>
    </row>
    <row r="3337" spans="1:6">
      <c r="A3337" s="77">
        <f t="shared" ref="A3337:A3345" ca="1" si="282">IF(C3337&lt;&gt;0,IF(A3337=0,TODAY(),A3337),)</f>
        <v>46012</v>
      </c>
      <c r="B3337" s="80">
        <f t="shared" ref="B3337:B3345" ca="1" si="283">IF(C3337&lt;&gt;0,IF(B3337=0,NOW(),B3337),)</f>
        <v>46012.268908796294</v>
      </c>
      <c r="C3337" s="76" t="s">
        <v>578</v>
      </c>
      <c r="D3337" s="210" t="s">
        <v>909</v>
      </c>
      <c r="E3337" s="79"/>
      <c r="F3337" s="79"/>
    </row>
    <row r="3338" spans="1:6">
      <c r="A3338" s="77">
        <f t="shared" ca="1" si="282"/>
        <v>46012</v>
      </c>
      <c r="B3338" s="80">
        <f t="shared" ca="1" si="283"/>
        <v>46012.270223611114</v>
      </c>
      <c r="C3338" s="76" t="s">
        <v>578</v>
      </c>
      <c r="D3338" s="76" t="s">
        <v>902</v>
      </c>
      <c r="E3338" s="79" t="s">
        <v>1487</v>
      </c>
      <c r="F3338" s="79"/>
    </row>
    <row r="3339" spans="1:6">
      <c r="A3339" s="77">
        <f t="shared" ca="1" si="282"/>
        <v>46012</v>
      </c>
      <c r="B3339" s="80">
        <f t="shared" ca="1" si="283"/>
        <v>46012.275886111114</v>
      </c>
      <c r="C3339" s="76" t="s">
        <v>578</v>
      </c>
      <c r="D3339" s="76" t="s">
        <v>902</v>
      </c>
      <c r="E3339" s="79" t="s">
        <v>1487</v>
      </c>
      <c r="F3339" s="79"/>
    </row>
    <row r="3340" spans="1:6">
      <c r="A3340" s="77">
        <f t="shared" ca="1" si="282"/>
        <v>46012</v>
      </c>
      <c r="B3340" s="80">
        <f t="shared" ca="1" si="283"/>
        <v>46012.278065856481</v>
      </c>
      <c r="C3340" s="76" t="s">
        <v>578</v>
      </c>
      <c r="D3340" s="76" t="s">
        <v>902</v>
      </c>
      <c r="E3340" s="79" t="s">
        <v>1311</v>
      </c>
      <c r="F3340" s="79"/>
    </row>
    <row r="3341" spans="1:6">
      <c r="A3341" s="77">
        <f t="shared" ca="1" si="282"/>
        <v>46012</v>
      </c>
      <c r="B3341" s="80">
        <f t="shared" ca="1" si="283"/>
        <v>46012.27945011574</v>
      </c>
      <c r="C3341" s="76" t="s">
        <v>578</v>
      </c>
      <c r="D3341" s="76" t="s">
        <v>902</v>
      </c>
      <c r="E3341" s="79" t="s">
        <v>1311</v>
      </c>
      <c r="F3341" s="79"/>
    </row>
    <row r="3342" spans="1:6">
      <c r="A3342" s="77">
        <f t="shared" ca="1" si="282"/>
        <v>46012</v>
      </c>
      <c r="B3342" s="80">
        <f t="shared" ca="1" si="283"/>
        <v>46012.28152916667</v>
      </c>
      <c r="C3342" s="76" t="s">
        <v>578</v>
      </c>
      <c r="D3342" s="76" t="s">
        <v>902</v>
      </c>
      <c r="E3342" s="79" t="s">
        <v>1487</v>
      </c>
      <c r="F3342" s="79"/>
    </row>
    <row r="3343" spans="1:6">
      <c r="A3343" s="77">
        <f t="shared" ca="1" si="282"/>
        <v>46012</v>
      </c>
      <c r="B3343" s="80">
        <f t="shared" ca="1" si="283"/>
        <v>46012.281586805555</v>
      </c>
      <c r="C3343" s="76" t="s">
        <v>578</v>
      </c>
      <c r="D3343" s="76" t="s">
        <v>902</v>
      </c>
      <c r="E3343" s="79" t="s">
        <v>1311</v>
      </c>
      <c r="F3343" s="79"/>
    </row>
    <row r="3344" spans="1:6">
      <c r="A3344" s="77">
        <f t="shared" ca="1" si="282"/>
        <v>46012</v>
      </c>
      <c r="B3344" s="80">
        <f t="shared" ca="1" si="283"/>
        <v>46012.28854976852</v>
      </c>
      <c r="C3344" s="76" t="s">
        <v>578</v>
      </c>
      <c r="D3344" s="76" t="s">
        <v>902</v>
      </c>
      <c r="E3344" s="79" t="s">
        <v>1311</v>
      </c>
      <c r="F3344" s="79"/>
    </row>
    <row r="3345" spans="1:6">
      <c r="A3345" s="77">
        <f t="shared" ca="1" si="282"/>
        <v>46012</v>
      </c>
      <c r="B3345" s="80">
        <f t="shared" ca="1" si="283"/>
        <v>46012.288749884261</v>
      </c>
      <c r="C3345" s="76" t="s">
        <v>578</v>
      </c>
      <c r="D3345" s="76" t="s">
        <v>902</v>
      </c>
      <c r="E3345" s="79" t="s">
        <v>1045</v>
      </c>
      <c r="F3345" s="79"/>
    </row>
    <row r="3346" spans="1:6">
      <c r="A3346" s="77">
        <f t="shared" ref="A3346:A3352" ca="1" si="284">IF(C3346&lt;&gt;0,IF(A3346=0,TODAY(),A3346),)</f>
        <v>46012</v>
      </c>
      <c r="B3346" s="80">
        <f t="shared" ref="B3346:B3352" ca="1" si="285">IF(C3346&lt;&gt;0,IF(B3346=0,NOW(),B3346),)</f>
        <v>46012.291348379629</v>
      </c>
      <c r="C3346" s="76" t="s">
        <v>578</v>
      </c>
      <c r="D3346" s="76" t="s">
        <v>902</v>
      </c>
      <c r="E3346" s="79" t="s">
        <v>1311</v>
      </c>
      <c r="F3346" s="79"/>
    </row>
    <row r="3347" spans="1:6">
      <c r="A3347" s="77">
        <f t="shared" ca="1" si="284"/>
        <v>46012</v>
      </c>
      <c r="B3347" s="80">
        <f t="shared" ca="1" si="285"/>
        <v>46012.291920833333</v>
      </c>
      <c r="C3347" s="76" t="s">
        <v>578</v>
      </c>
      <c r="D3347" s="76" t="s">
        <v>902</v>
      </c>
      <c r="E3347" s="79" t="s">
        <v>1063</v>
      </c>
      <c r="F3347" s="79"/>
    </row>
    <row r="3348" spans="1:6">
      <c r="A3348" s="77">
        <f t="shared" ca="1" si="284"/>
        <v>46012</v>
      </c>
      <c r="B3348" s="80">
        <f t="shared" ca="1" si="285"/>
        <v>46012.294497685187</v>
      </c>
      <c r="C3348" s="76" t="s">
        <v>578</v>
      </c>
      <c r="D3348" s="150" t="s">
        <v>1059</v>
      </c>
      <c r="E3348" s="79" t="s">
        <v>2437</v>
      </c>
      <c r="F3348" s="79"/>
    </row>
    <row r="3349" spans="1:6">
      <c r="A3349" s="77">
        <f t="shared" ca="1" si="284"/>
        <v>46012</v>
      </c>
      <c r="B3349" s="80">
        <f t="shared" ca="1" si="285"/>
        <v>46012.306720717592</v>
      </c>
      <c r="C3349" s="76" t="s">
        <v>578</v>
      </c>
      <c r="D3349" s="76" t="s">
        <v>902</v>
      </c>
      <c r="E3349" s="79" t="s">
        <v>2387</v>
      </c>
      <c r="F3349" s="79"/>
    </row>
    <row r="3350" spans="1:6">
      <c r="A3350" s="77">
        <f t="shared" ca="1" si="284"/>
        <v>46012</v>
      </c>
      <c r="B3350" s="80">
        <f t="shared" ca="1" si="285"/>
        <v>46012.309527662037</v>
      </c>
      <c r="C3350" s="76" t="s">
        <v>578</v>
      </c>
      <c r="D3350" s="76" t="s">
        <v>902</v>
      </c>
      <c r="E3350" s="79" t="s">
        <v>2438</v>
      </c>
      <c r="F3350" s="79"/>
    </row>
    <row r="3351" spans="1:6">
      <c r="A3351" s="77">
        <f t="shared" ca="1" si="284"/>
        <v>46012</v>
      </c>
      <c r="B3351" s="80">
        <f t="shared" ca="1" si="285"/>
        <v>46012.311339467589</v>
      </c>
      <c r="C3351" s="76" t="s">
        <v>578</v>
      </c>
      <c r="D3351" s="76" t="s">
        <v>902</v>
      </c>
      <c r="E3351" s="79" t="s">
        <v>1535</v>
      </c>
      <c r="F3351" s="79"/>
    </row>
    <row r="3352" spans="1:6">
      <c r="A3352" s="77">
        <f t="shared" ca="1" si="284"/>
        <v>46012</v>
      </c>
      <c r="B3352" s="80">
        <f t="shared" ca="1" si="285"/>
        <v>46012.311661111111</v>
      </c>
      <c r="C3352" s="76" t="s">
        <v>578</v>
      </c>
      <c r="D3352" s="76" t="s">
        <v>902</v>
      </c>
      <c r="E3352" s="79" t="s">
        <v>1535</v>
      </c>
      <c r="F3352" s="79"/>
    </row>
    <row r="3353" spans="1:6">
      <c r="A3353" s="77">
        <f ca="1">IF(C3353&lt;&gt;0,IF(A3353=0,TODAY(),A3353),)</f>
        <v>46012</v>
      </c>
      <c r="B3353" s="80">
        <f ca="1">IF(C3353&lt;&gt;0,IF(B3353=0,NOW(),B3353),)</f>
        <v>46012.312335763891</v>
      </c>
      <c r="C3353" s="76" t="s">
        <v>578</v>
      </c>
      <c r="D3353" s="76" t="s">
        <v>902</v>
      </c>
      <c r="E3353" s="79" t="s">
        <v>1535</v>
      </c>
      <c r="F3353" s="79"/>
    </row>
    <row r="3354" spans="1:6">
      <c r="A3354" s="77">
        <f ca="1">IF(C3354&lt;&gt;0,IF(A3354=0,TODAY(),A3354),)</f>
        <v>46012</v>
      </c>
      <c r="B3354" s="80">
        <f ca="1">IF(C3354&lt;&gt;0,IF(B3354=0,NOW(),B3354),)</f>
        <v>46012.313053935184</v>
      </c>
      <c r="C3354" s="76" t="s">
        <v>578</v>
      </c>
      <c r="D3354" s="76" t="s">
        <v>902</v>
      </c>
      <c r="E3354" s="79" t="s">
        <v>2439</v>
      </c>
      <c r="F3354" s="79"/>
    </row>
    <row r="3355" spans="1:6">
      <c r="A3355" s="77">
        <f ca="1">IF(C3355&lt;&gt;0,IF(A3355=0,TODAY(),A3355),)</f>
        <v>46012</v>
      </c>
      <c r="B3355" s="80">
        <f ca="1">IF(C3355&lt;&gt;0,IF(B3355=0,NOW(),B3355),)</f>
        <v>46012.314348958331</v>
      </c>
      <c r="C3355" s="76" t="s">
        <v>578</v>
      </c>
      <c r="D3355" s="76" t="s">
        <v>902</v>
      </c>
      <c r="E3355" s="79" t="s">
        <v>1535</v>
      </c>
      <c r="F3355" s="79"/>
    </row>
    <row r="3356" spans="1:6">
      <c r="A3356" s="77">
        <f ca="1">IF(C3356&lt;&gt;0,IF(A3356=0,TODAY(),A3356),)</f>
        <v>46012</v>
      </c>
      <c r="B3356" s="80">
        <f ca="1">IF(C3356&lt;&gt;0,IF(B3356=0,NOW(),B3356),)</f>
        <v>46012.317306828707</v>
      </c>
      <c r="C3356" s="76" t="s">
        <v>578</v>
      </c>
      <c r="D3356" s="76" t="s">
        <v>902</v>
      </c>
      <c r="E3356" s="79" t="s">
        <v>2440</v>
      </c>
      <c r="F3356" s="79"/>
    </row>
    <row r="3357" spans="1:6">
      <c r="A3357" s="77">
        <f ca="1">IF(C3357&lt;&gt;0,IF(A3357=0,TODAY(),A3357),)</f>
        <v>46012</v>
      </c>
      <c r="B3357" s="80">
        <f ca="1">IF(C3357&lt;&gt;0,IF(B3357=0,NOW(),B3357),)</f>
        <v>46012.320079976853</v>
      </c>
      <c r="C3357" s="76" t="s">
        <v>578</v>
      </c>
      <c r="D3357" s="76" t="s">
        <v>902</v>
      </c>
      <c r="E3357" s="79" t="s">
        <v>1063</v>
      </c>
      <c r="F3357" s="79"/>
    </row>
    <row r="3358" spans="1:6">
      <c r="A3358" s="77">
        <f t="shared" ref="A3358:A3376" ca="1" si="286">IF(C3358&lt;&gt;0,IF(A3358=0,TODAY(),A3358),)</f>
        <v>46012</v>
      </c>
      <c r="B3358" s="80">
        <f t="shared" ref="B3358:B3376" ca="1" si="287">IF(C3358&lt;&gt;0,IF(B3358=0,NOW(),B3358),)</f>
        <v>46012.320545486109</v>
      </c>
      <c r="C3358" s="76" t="s">
        <v>578</v>
      </c>
      <c r="D3358" s="76" t="s">
        <v>902</v>
      </c>
      <c r="E3358" s="79" t="s">
        <v>1535</v>
      </c>
      <c r="F3358" s="79"/>
    </row>
    <row r="3359" spans="1:6">
      <c r="A3359" s="77">
        <f t="shared" ca="1" si="286"/>
        <v>46012</v>
      </c>
      <c r="B3359" s="80">
        <f t="shared" ca="1" si="287"/>
        <v>46012.32132314815</v>
      </c>
      <c r="C3359" s="76" t="s">
        <v>578</v>
      </c>
      <c r="D3359" s="76" t="s">
        <v>902</v>
      </c>
      <c r="E3359" s="79" t="s">
        <v>1063</v>
      </c>
      <c r="F3359" s="79"/>
    </row>
    <row r="3360" spans="1:6">
      <c r="A3360" s="77">
        <f t="shared" ca="1" si="286"/>
        <v>46012</v>
      </c>
      <c r="B3360" s="80">
        <f t="shared" ca="1" si="287"/>
        <v>46012.322196643516</v>
      </c>
      <c r="C3360" s="76" t="s">
        <v>578</v>
      </c>
      <c r="D3360" s="76" t="s">
        <v>902</v>
      </c>
      <c r="E3360" s="79" t="s">
        <v>2000</v>
      </c>
      <c r="F3360" s="79"/>
    </row>
    <row r="3361" spans="1:6">
      <c r="A3361" s="77">
        <f t="shared" ca="1" si="286"/>
        <v>46012</v>
      </c>
      <c r="B3361" s="80">
        <f t="shared" ca="1" si="287"/>
        <v>46012.323367129633</v>
      </c>
      <c r="C3361" s="76" t="s">
        <v>578</v>
      </c>
      <c r="D3361" s="76" t="s">
        <v>902</v>
      </c>
      <c r="E3361" s="79" t="s">
        <v>1535</v>
      </c>
      <c r="F3361" s="79"/>
    </row>
    <row r="3362" spans="1:6">
      <c r="A3362" s="77">
        <f t="shared" ca="1" si="286"/>
        <v>46012</v>
      </c>
      <c r="B3362" s="80">
        <f t="shared" ca="1" si="287"/>
        <v>46012.323429976852</v>
      </c>
      <c r="C3362" s="76" t="s">
        <v>578</v>
      </c>
      <c r="D3362" s="76" t="s">
        <v>902</v>
      </c>
      <c r="E3362" s="79" t="s">
        <v>1063</v>
      </c>
      <c r="F3362" s="79"/>
    </row>
    <row r="3363" spans="1:6">
      <c r="A3363" s="77">
        <f t="shared" ca="1" si="286"/>
        <v>46012</v>
      </c>
      <c r="B3363" s="80">
        <f t="shared" ca="1" si="287"/>
        <v>46012.324033680554</v>
      </c>
      <c r="C3363" s="76" t="s">
        <v>578</v>
      </c>
      <c r="D3363" s="76" t="s">
        <v>902</v>
      </c>
      <c r="E3363" s="79" t="s">
        <v>2000</v>
      </c>
      <c r="F3363" s="79"/>
    </row>
    <row r="3364" spans="1:6">
      <c r="A3364" s="77">
        <f t="shared" ca="1" si="286"/>
        <v>46012</v>
      </c>
      <c r="B3364" s="80">
        <f t="shared" ca="1" si="287"/>
        <v>46012.326230439816</v>
      </c>
      <c r="C3364" s="76" t="s">
        <v>578</v>
      </c>
      <c r="D3364" s="76" t="s">
        <v>902</v>
      </c>
      <c r="E3364" s="79" t="s">
        <v>1535</v>
      </c>
      <c r="F3364" s="79"/>
    </row>
    <row r="3365" spans="1:6">
      <c r="A3365" s="77">
        <f t="shared" ca="1" si="286"/>
        <v>46012</v>
      </c>
      <c r="B3365" s="80">
        <f t="shared" ca="1" si="287"/>
        <v>46012.326642708336</v>
      </c>
      <c r="C3365" s="76" t="s">
        <v>578</v>
      </c>
      <c r="D3365" s="76" t="s">
        <v>902</v>
      </c>
      <c r="E3365" s="79" t="s">
        <v>1063</v>
      </c>
      <c r="F3365" s="79"/>
    </row>
    <row r="3366" spans="1:6">
      <c r="A3366" s="77">
        <f t="shared" ca="1" si="286"/>
        <v>46012</v>
      </c>
      <c r="B3366" s="80">
        <f t="shared" ca="1" si="287"/>
        <v>46012.327965277778</v>
      </c>
      <c r="C3366" s="76" t="s">
        <v>578</v>
      </c>
      <c r="D3366" s="76" t="s">
        <v>902</v>
      </c>
      <c r="E3366" s="79" t="s">
        <v>1535</v>
      </c>
      <c r="F3366" s="79"/>
    </row>
    <row r="3367" spans="1:6">
      <c r="A3367" s="77">
        <f t="shared" ca="1" si="286"/>
        <v>46012</v>
      </c>
      <c r="B3367" s="80">
        <f t="shared" ca="1" si="287"/>
        <v>46012.32913460648</v>
      </c>
      <c r="C3367" s="76" t="s">
        <v>578</v>
      </c>
      <c r="D3367" s="76" t="s">
        <v>902</v>
      </c>
      <c r="E3367" s="79" t="s">
        <v>1535</v>
      </c>
      <c r="F3367" s="79"/>
    </row>
    <row r="3368" spans="1:6">
      <c r="A3368" s="77">
        <f t="shared" ca="1" si="286"/>
        <v>46012</v>
      </c>
      <c r="B3368" s="80">
        <f t="shared" ca="1" si="287"/>
        <v>46012.329964699071</v>
      </c>
      <c r="C3368" s="76" t="s">
        <v>578</v>
      </c>
      <c r="D3368" s="76" t="s">
        <v>902</v>
      </c>
      <c r="E3368" s="79" t="s">
        <v>2441</v>
      </c>
      <c r="F3368" s="79"/>
    </row>
    <row r="3369" spans="1:6">
      <c r="A3369" s="77">
        <f t="shared" ca="1" si="286"/>
        <v>46012</v>
      </c>
      <c r="B3369" s="80">
        <f t="shared" ca="1" si="287"/>
        <v>46012.334179513891</v>
      </c>
      <c r="C3369" s="76" t="s">
        <v>578</v>
      </c>
      <c r="D3369" s="76" t="s">
        <v>902</v>
      </c>
      <c r="E3369" s="79" t="s">
        <v>1775</v>
      </c>
      <c r="F3369" s="79"/>
    </row>
    <row r="3370" spans="1:6">
      <c r="A3370" s="77">
        <f t="shared" ca="1" si="286"/>
        <v>46012</v>
      </c>
      <c r="B3370" s="80">
        <f t="shared" ca="1" si="287"/>
        <v>46012.339527430559</v>
      </c>
      <c r="C3370" s="76" t="s">
        <v>578</v>
      </c>
      <c r="D3370" s="76" t="s">
        <v>902</v>
      </c>
      <c r="E3370" s="79" t="s">
        <v>1063</v>
      </c>
      <c r="F3370" s="79"/>
    </row>
    <row r="3371" spans="1:6">
      <c r="A3371" s="77">
        <f t="shared" ca="1" si="286"/>
        <v>46012</v>
      </c>
      <c r="B3371" s="80">
        <f t="shared" ca="1" si="287"/>
        <v>46012.339956828706</v>
      </c>
      <c r="C3371" s="76" t="s">
        <v>578</v>
      </c>
      <c r="D3371" s="76" t="s">
        <v>902</v>
      </c>
      <c r="E3371" s="79" t="s">
        <v>1063</v>
      </c>
      <c r="F3371" s="79"/>
    </row>
    <row r="3372" spans="1:6">
      <c r="A3372" s="77">
        <f t="shared" ca="1" si="286"/>
        <v>46012</v>
      </c>
      <c r="B3372" s="80">
        <f t="shared" ca="1" si="287"/>
        <v>46012.346373148146</v>
      </c>
      <c r="C3372" s="76" t="s">
        <v>578</v>
      </c>
      <c r="D3372" s="76" t="s">
        <v>902</v>
      </c>
      <c r="E3372" s="79" t="s">
        <v>2442</v>
      </c>
      <c r="F3372" s="79"/>
    </row>
    <row r="3373" spans="1:6">
      <c r="A3373" s="77">
        <f t="shared" ca="1" si="286"/>
        <v>46012</v>
      </c>
      <c r="B3373" s="80">
        <f t="shared" ca="1" si="287"/>
        <v>46012.348169675926</v>
      </c>
      <c r="C3373" s="76" t="s">
        <v>578</v>
      </c>
      <c r="D3373" s="210" t="s">
        <v>922</v>
      </c>
      <c r="E3373" s="79"/>
      <c r="F3373" s="79"/>
    </row>
    <row r="3374" spans="1:6">
      <c r="A3374" s="77">
        <f t="shared" ca="1" si="286"/>
        <v>46012</v>
      </c>
      <c r="B3374" s="80">
        <f t="shared" ca="1" si="287"/>
        <v>46012.377187152779</v>
      </c>
      <c r="C3374" s="76" t="s">
        <v>578</v>
      </c>
      <c r="D3374" s="210" t="s">
        <v>1098</v>
      </c>
      <c r="E3374" s="79"/>
      <c r="F3374" s="79"/>
    </row>
    <row r="3375" spans="1:6">
      <c r="A3375" s="77">
        <f t="shared" ca="1" si="286"/>
        <v>46012</v>
      </c>
      <c r="B3375" s="80">
        <f t="shared" ca="1" si="287"/>
        <v>46012.477656134259</v>
      </c>
      <c r="C3375" s="76" t="s">
        <v>583</v>
      </c>
      <c r="D3375" s="210" t="s">
        <v>906</v>
      </c>
      <c r="E3375" s="79"/>
      <c r="F3375" s="79"/>
    </row>
    <row r="3376" spans="1:6">
      <c r="A3376" s="77">
        <f t="shared" ca="1" si="286"/>
        <v>46012</v>
      </c>
      <c r="B3376" s="80">
        <f t="shared" ca="1" si="287"/>
        <v>46012.53331770833</v>
      </c>
      <c r="C3376" s="76" t="s">
        <v>583</v>
      </c>
      <c r="D3376" s="210" t="s">
        <v>909</v>
      </c>
      <c r="E3376" s="79"/>
      <c r="F3376" s="79"/>
    </row>
    <row r="3377" spans="1:7">
      <c r="A3377" s="77">
        <f t="shared" ref="A3377:A3414" ca="1" si="288">IF(C3377&lt;&gt;0,IF(A3377=0,TODAY(),A3377),)</f>
        <v>46012</v>
      </c>
      <c r="B3377" s="80">
        <f t="shared" ref="B3377:B3414" ca="1" si="289">IF(C3377&lt;&gt;0,IF(B3377=0,NOW(),B3377),)</f>
        <v>46012.538740046293</v>
      </c>
      <c r="C3377" s="76" t="s">
        <v>583</v>
      </c>
      <c r="D3377" s="76" t="s">
        <v>902</v>
      </c>
      <c r="E3377" s="79" t="s">
        <v>2284</v>
      </c>
      <c r="F3377" s="79"/>
    </row>
    <row r="3378" spans="1:7">
      <c r="A3378" s="77">
        <f t="shared" ca="1" si="288"/>
        <v>46012</v>
      </c>
      <c r="B3378" s="80">
        <f t="shared" ca="1" si="289"/>
        <v>46012.556939814815</v>
      </c>
      <c r="C3378" s="76" t="s">
        <v>583</v>
      </c>
      <c r="D3378" s="76" t="s">
        <v>902</v>
      </c>
      <c r="E3378" s="79" t="s">
        <v>1583</v>
      </c>
      <c r="F3378" s="79"/>
    </row>
    <row r="3379" spans="1:7">
      <c r="A3379" s="77">
        <f t="shared" ca="1" si="288"/>
        <v>46012</v>
      </c>
      <c r="B3379" s="80">
        <f t="shared" ca="1" si="289"/>
        <v>46012.571751620373</v>
      </c>
      <c r="C3379" s="76" t="s">
        <v>583</v>
      </c>
      <c r="D3379" s="150" t="s">
        <v>1007</v>
      </c>
      <c r="E3379" s="79" t="s">
        <v>2443</v>
      </c>
      <c r="F3379" s="79"/>
      <c r="G3379" s="76" t="s">
        <v>2444</v>
      </c>
    </row>
    <row r="3380" spans="1:7">
      <c r="A3380" s="77">
        <f t="shared" ca="1" si="288"/>
        <v>46012</v>
      </c>
      <c r="B3380" s="80">
        <f t="shared" ca="1" si="289"/>
        <v>46012.577409722224</v>
      </c>
      <c r="C3380" s="76" t="s">
        <v>583</v>
      </c>
      <c r="D3380" s="76" t="s">
        <v>902</v>
      </c>
      <c r="E3380" s="79" t="s">
        <v>2445</v>
      </c>
      <c r="F3380" s="79"/>
    </row>
    <row r="3381" spans="1:7">
      <c r="A3381" s="77">
        <f t="shared" ca="1" si="288"/>
        <v>46012</v>
      </c>
      <c r="B3381" s="80">
        <f t="shared" ca="1" si="289"/>
        <v>46012.57961458333</v>
      </c>
      <c r="C3381" s="76" t="s">
        <v>583</v>
      </c>
      <c r="D3381" s="76" t="s">
        <v>902</v>
      </c>
      <c r="E3381" s="79" t="s">
        <v>2446</v>
      </c>
      <c r="F3381" s="79"/>
    </row>
    <row r="3382" spans="1:7">
      <c r="A3382" s="77">
        <f t="shared" ca="1" si="288"/>
        <v>46012</v>
      </c>
      <c r="B3382" s="80">
        <f t="shared" ca="1" si="289"/>
        <v>46012.587514814812</v>
      </c>
      <c r="C3382" s="76" t="s">
        <v>583</v>
      </c>
      <c r="D3382" s="76" t="s">
        <v>902</v>
      </c>
      <c r="E3382" s="79" t="s">
        <v>2447</v>
      </c>
      <c r="F3382" s="79"/>
    </row>
    <row r="3383" spans="1:7">
      <c r="A3383" s="77">
        <f t="shared" ca="1" si="288"/>
        <v>46012</v>
      </c>
      <c r="B3383" s="80">
        <f t="shared" ca="1" si="289"/>
        <v>46012.587890393515</v>
      </c>
      <c r="C3383" s="76" t="s">
        <v>583</v>
      </c>
      <c r="D3383" s="76" t="s">
        <v>902</v>
      </c>
      <c r="E3383" s="79" t="s">
        <v>2448</v>
      </c>
      <c r="F3383" s="79"/>
    </row>
    <row r="3384" spans="1:7">
      <c r="A3384" s="77">
        <f t="shared" ca="1" si="288"/>
        <v>46012</v>
      </c>
      <c r="B3384" s="80">
        <f t="shared" ca="1" si="289"/>
        <v>46012.591919328705</v>
      </c>
      <c r="C3384" s="76" t="s">
        <v>583</v>
      </c>
      <c r="D3384" s="76" t="s">
        <v>902</v>
      </c>
      <c r="E3384" s="79" t="s">
        <v>2449</v>
      </c>
      <c r="F3384" s="79"/>
    </row>
    <row r="3385" spans="1:7">
      <c r="A3385" s="77">
        <f t="shared" ca="1" si="288"/>
        <v>46012</v>
      </c>
      <c r="B3385" s="80">
        <f t="shared" ca="1" si="289"/>
        <v>46012.597515972222</v>
      </c>
      <c r="C3385" s="76" t="s">
        <v>583</v>
      </c>
      <c r="D3385" s="76" t="s">
        <v>902</v>
      </c>
      <c r="E3385" s="79" t="s">
        <v>2450</v>
      </c>
      <c r="F3385" s="79"/>
    </row>
    <row r="3386" spans="1:7">
      <c r="A3386" s="77">
        <f t="shared" ca="1" si="288"/>
        <v>46012</v>
      </c>
      <c r="B3386" s="80">
        <f t="shared" ca="1" si="289"/>
        <v>46012.602533449077</v>
      </c>
      <c r="C3386" s="76" t="s">
        <v>583</v>
      </c>
      <c r="D3386" s="76" t="s">
        <v>902</v>
      </c>
      <c r="E3386" s="79" t="s">
        <v>1583</v>
      </c>
      <c r="F3386" s="79"/>
    </row>
    <row r="3387" spans="1:7">
      <c r="A3387" s="77">
        <f t="shared" ca="1" si="288"/>
        <v>46012</v>
      </c>
      <c r="B3387" s="80">
        <f t="shared" ca="1" si="289"/>
        <v>46012.603649652781</v>
      </c>
      <c r="C3387" s="76" t="s">
        <v>583</v>
      </c>
      <c r="D3387" s="150" t="s">
        <v>1007</v>
      </c>
      <c r="E3387" s="79" t="s">
        <v>2451</v>
      </c>
      <c r="F3387" s="79"/>
    </row>
    <row r="3388" spans="1:7">
      <c r="A3388" s="77">
        <f t="shared" ca="1" si="288"/>
        <v>46012</v>
      </c>
      <c r="B3388" s="80">
        <f t="shared" ca="1" si="289"/>
        <v>46012.604117939816</v>
      </c>
      <c r="C3388" s="76" t="s">
        <v>583</v>
      </c>
      <c r="D3388" s="76" t="s">
        <v>902</v>
      </c>
      <c r="E3388" s="79" t="s">
        <v>1429</v>
      </c>
      <c r="F3388" s="79"/>
    </row>
    <row r="3389" spans="1:7">
      <c r="A3389" s="77">
        <f t="shared" ca="1" si="288"/>
        <v>46012</v>
      </c>
      <c r="B3389" s="80">
        <f t="shared" ca="1" si="289"/>
        <v>46012.606142824072</v>
      </c>
      <c r="C3389" s="76" t="s">
        <v>583</v>
      </c>
      <c r="D3389" s="76" t="s">
        <v>902</v>
      </c>
      <c r="E3389" s="79" t="s">
        <v>1583</v>
      </c>
      <c r="F3389" s="79"/>
    </row>
    <row r="3390" spans="1:7">
      <c r="A3390" s="77">
        <f t="shared" ca="1" si="288"/>
        <v>46012</v>
      </c>
      <c r="B3390" s="80">
        <f t="shared" ca="1" si="289"/>
        <v>46012.6099181713</v>
      </c>
      <c r="C3390" s="76" t="s">
        <v>583</v>
      </c>
      <c r="D3390" s="76" t="s">
        <v>902</v>
      </c>
      <c r="E3390" s="79" t="s">
        <v>2452</v>
      </c>
      <c r="F3390" s="79"/>
    </row>
    <row r="3391" spans="1:7">
      <c r="A3391" s="77">
        <f t="shared" ca="1" si="288"/>
        <v>46012</v>
      </c>
      <c r="B3391" s="80">
        <f t="shared" ca="1" si="289"/>
        <v>46012.614954282406</v>
      </c>
      <c r="C3391" s="76" t="s">
        <v>583</v>
      </c>
      <c r="D3391" s="150" t="s">
        <v>1007</v>
      </c>
      <c r="E3391" s="79" t="s">
        <v>2453</v>
      </c>
      <c r="F3391" s="79"/>
    </row>
    <row r="3392" spans="1:7">
      <c r="A3392" s="77">
        <f t="shared" ca="1" si="288"/>
        <v>46012</v>
      </c>
      <c r="B3392" s="80">
        <f t="shared" ca="1" si="289"/>
        <v>46012.618273611108</v>
      </c>
      <c r="C3392" s="76" t="s">
        <v>583</v>
      </c>
      <c r="D3392" s="76" t="s">
        <v>902</v>
      </c>
      <c r="E3392" s="79" t="s">
        <v>1583</v>
      </c>
      <c r="F3392" s="79"/>
    </row>
    <row r="3393" spans="1:6">
      <c r="A3393" s="77">
        <f t="shared" ca="1" si="288"/>
        <v>46012</v>
      </c>
      <c r="B3393" s="80">
        <f t="shared" ca="1" si="289"/>
        <v>46012.624304513891</v>
      </c>
      <c r="C3393" s="76" t="s">
        <v>583</v>
      </c>
      <c r="D3393" s="150" t="s">
        <v>1007</v>
      </c>
      <c r="E3393" s="79" t="s">
        <v>2454</v>
      </c>
      <c r="F3393" s="79"/>
    </row>
    <row r="3394" spans="1:6">
      <c r="A3394" s="77">
        <f t="shared" ca="1" si="288"/>
        <v>46012</v>
      </c>
      <c r="B3394" s="80">
        <f t="shared" ca="1" si="289"/>
        <v>46012.629171759261</v>
      </c>
      <c r="C3394" s="76" t="s">
        <v>583</v>
      </c>
      <c r="D3394" s="76" t="s">
        <v>902</v>
      </c>
      <c r="E3394" s="79" t="s">
        <v>2455</v>
      </c>
      <c r="F3394" s="79"/>
    </row>
    <row r="3395" spans="1:6">
      <c r="A3395" s="77">
        <f t="shared" ca="1" si="288"/>
        <v>46012</v>
      </c>
      <c r="B3395" s="80">
        <f t="shared" ca="1" si="289"/>
        <v>46012.632547685185</v>
      </c>
      <c r="C3395" s="76" t="s">
        <v>583</v>
      </c>
      <c r="D3395" s="76" t="s">
        <v>902</v>
      </c>
      <c r="E3395" s="79" t="s">
        <v>2455</v>
      </c>
      <c r="F3395" s="79"/>
    </row>
    <row r="3396" spans="1:6">
      <c r="A3396" s="77">
        <f t="shared" ca="1" si="288"/>
        <v>46012</v>
      </c>
      <c r="B3396" s="80">
        <f t="shared" ca="1" si="289"/>
        <v>46012.633534837965</v>
      </c>
      <c r="C3396" s="76" t="s">
        <v>583</v>
      </c>
      <c r="D3396" s="76" t="s">
        <v>902</v>
      </c>
      <c r="E3396" s="79" t="s">
        <v>2456</v>
      </c>
      <c r="F3396" s="79"/>
    </row>
    <row r="3397" spans="1:6">
      <c r="A3397" s="77">
        <f t="shared" ca="1" si="288"/>
        <v>46012</v>
      </c>
      <c r="B3397" s="80">
        <f t="shared" ca="1" si="289"/>
        <v>46012.643634375003</v>
      </c>
      <c r="C3397" s="76" t="s">
        <v>583</v>
      </c>
      <c r="D3397" s="76" t="s">
        <v>902</v>
      </c>
      <c r="E3397" s="79" t="s">
        <v>1504</v>
      </c>
      <c r="F3397" s="79"/>
    </row>
    <row r="3398" spans="1:6">
      <c r="A3398" s="77">
        <f t="shared" ca="1" si="288"/>
        <v>46012</v>
      </c>
      <c r="B3398" s="80">
        <f t="shared" ca="1" si="289"/>
        <v>46012.645405208335</v>
      </c>
      <c r="C3398" s="76" t="s">
        <v>583</v>
      </c>
      <c r="D3398" s="76" t="s">
        <v>902</v>
      </c>
      <c r="E3398" s="79" t="s">
        <v>1504</v>
      </c>
      <c r="F3398" s="79"/>
    </row>
    <row r="3399" spans="1:6">
      <c r="A3399" s="77">
        <f t="shared" ca="1" si="288"/>
        <v>46012</v>
      </c>
      <c r="B3399" s="80">
        <f t="shared" ca="1" si="289"/>
        <v>46012.656725231478</v>
      </c>
      <c r="C3399" s="76" t="s">
        <v>583</v>
      </c>
      <c r="D3399" s="76" t="s">
        <v>902</v>
      </c>
      <c r="E3399" s="79" t="s">
        <v>2284</v>
      </c>
      <c r="F3399" s="79"/>
    </row>
    <row r="3400" spans="1:6">
      <c r="A3400" s="77">
        <f t="shared" ca="1" si="288"/>
        <v>46012</v>
      </c>
      <c r="B3400" s="80">
        <f t="shared" ca="1" si="289"/>
        <v>46012.659468287035</v>
      </c>
      <c r="C3400" s="76" t="s">
        <v>583</v>
      </c>
      <c r="D3400" s="76" t="s">
        <v>902</v>
      </c>
      <c r="E3400" s="79" t="s">
        <v>2457</v>
      </c>
      <c r="F3400" s="79"/>
    </row>
    <row r="3401" spans="1:6">
      <c r="A3401" s="77">
        <f t="shared" ca="1" si="288"/>
        <v>46012</v>
      </c>
      <c r="B3401" s="80">
        <f t="shared" ca="1" si="289"/>
        <v>46012.662456712962</v>
      </c>
      <c r="C3401" s="76" t="s">
        <v>583</v>
      </c>
      <c r="D3401" s="76" t="s">
        <v>902</v>
      </c>
      <c r="E3401" s="79" t="s">
        <v>2458</v>
      </c>
      <c r="F3401" s="79"/>
    </row>
    <row r="3402" spans="1:6">
      <c r="A3402" s="77">
        <f t="shared" ca="1" si="288"/>
        <v>46012</v>
      </c>
      <c r="B3402" s="80">
        <f t="shared" ca="1" si="289"/>
        <v>46012.680753472225</v>
      </c>
      <c r="C3402" s="76" t="s">
        <v>583</v>
      </c>
      <c r="D3402" s="76" t="s">
        <v>902</v>
      </c>
      <c r="E3402" s="79" t="s">
        <v>2459</v>
      </c>
      <c r="F3402" s="79"/>
    </row>
    <row r="3403" spans="1:6">
      <c r="A3403" s="77">
        <f t="shared" ca="1" si="288"/>
        <v>46012</v>
      </c>
      <c r="B3403" s="80">
        <f t="shared" ca="1" si="289"/>
        <v>46012.681800231483</v>
      </c>
      <c r="C3403" s="76" t="s">
        <v>583</v>
      </c>
      <c r="D3403" s="76" t="s">
        <v>902</v>
      </c>
      <c r="E3403" s="79" t="s">
        <v>2460</v>
      </c>
      <c r="F3403" s="79"/>
    </row>
    <row r="3404" spans="1:6">
      <c r="A3404" s="77">
        <f t="shared" ca="1" si="288"/>
        <v>46012</v>
      </c>
      <c r="B3404" s="80">
        <f t="shared" ca="1" si="289"/>
        <v>46012.687417129629</v>
      </c>
      <c r="C3404" s="76" t="s">
        <v>583</v>
      </c>
      <c r="D3404" s="76" t="s">
        <v>902</v>
      </c>
      <c r="E3404" s="79" t="s">
        <v>2461</v>
      </c>
      <c r="F3404" s="79"/>
    </row>
    <row r="3405" spans="1:6">
      <c r="A3405" s="77">
        <f t="shared" ca="1" si="288"/>
        <v>46012</v>
      </c>
      <c r="B3405" s="80">
        <f t="shared" ca="1" si="289"/>
        <v>46012.692550694446</v>
      </c>
      <c r="C3405" s="76" t="s">
        <v>583</v>
      </c>
      <c r="D3405" s="76" t="s">
        <v>902</v>
      </c>
      <c r="E3405" s="79" t="s">
        <v>2461</v>
      </c>
      <c r="F3405" s="79"/>
    </row>
    <row r="3406" spans="1:6">
      <c r="A3406" s="77">
        <f t="shared" ca="1" si="288"/>
        <v>46012</v>
      </c>
      <c r="B3406" s="80">
        <f t="shared" ca="1" si="289"/>
        <v>46012.696451157404</v>
      </c>
      <c r="C3406" s="76" t="s">
        <v>583</v>
      </c>
      <c r="D3406" s="76" t="s">
        <v>902</v>
      </c>
      <c r="E3406" s="79" t="s">
        <v>2462</v>
      </c>
      <c r="F3406" s="79"/>
    </row>
    <row r="3407" spans="1:6">
      <c r="A3407" s="77">
        <f t="shared" ca="1" si="288"/>
        <v>46012</v>
      </c>
      <c r="B3407" s="80">
        <f t="shared" ca="1" si="289"/>
        <v>46012.706529976851</v>
      </c>
      <c r="C3407" s="76" t="s">
        <v>583</v>
      </c>
      <c r="D3407" s="76" t="s">
        <v>902</v>
      </c>
      <c r="E3407" s="79" t="s">
        <v>2000</v>
      </c>
      <c r="F3407" s="79"/>
    </row>
    <row r="3408" spans="1:6">
      <c r="A3408" s="77">
        <f t="shared" ca="1" si="288"/>
        <v>46012</v>
      </c>
      <c r="B3408" s="80">
        <f t="shared" ca="1" si="289"/>
        <v>46012.710787152777</v>
      </c>
      <c r="C3408" s="76" t="s">
        <v>583</v>
      </c>
      <c r="D3408" s="76" t="s">
        <v>902</v>
      </c>
      <c r="E3408" s="79" t="s">
        <v>932</v>
      </c>
      <c r="F3408" s="79"/>
    </row>
    <row r="3409" spans="1:6">
      <c r="A3409" s="77">
        <f t="shared" ca="1" si="288"/>
        <v>46012</v>
      </c>
      <c r="B3409" s="80">
        <f t="shared" ca="1" si="289"/>
        <v>46012.71408622685</v>
      </c>
      <c r="C3409" s="76" t="s">
        <v>583</v>
      </c>
      <c r="D3409" s="76" t="s">
        <v>902</v>
      </c>
      <c r="E3409" s="79" t="s">
        <v>2463</v>
      </c>
      <c r="F3409" s="79"/>
    </row>
    <row r="3410" spans="1:6">
      <c r="A3410" s="77">
        <f t="shared" ca="1" si="288"/>
        <v>46012</v>
      </c>
      <c r="B3410" s="80">
        <f t="shared" ca="1" si="289"/>
        <v>46012.717080092596</v>
      </c>
      <c r="C3410" s="76" t="s">
        <v>583</v>
      </c>
      <c r="D3410" s="76" t="s">
        <v>902</v>
      </c>
      <c r="E3410" s="79" t="s">
        <v>2450</v>
      </c>
      <c r="F3410" s="79"/>
    </row>
    <row r="3411" spans="1:6">
      <c r="A3411" s="77">
        <f t="shared" ca="1" si="288"/>
        <v>46012</v>
      </c>
      <c r="B3411" s="80">
        <f t="shared" ca="1" si="289"/>
        <v>46012.719058101851</v>
      </c>
      <c r="C3411" s="76" t="s">
        <v>583</v>
      </c>
      <c r="D3411" s="76" t="s">
        <v>902</v>
      </c>
      <c r="E3411" s="79" t="s">
        <v>932</v>
      </c>
      <c r="F3411" s="79"/>
    </row>
    <row r="3412" spans="1:6">
      <c r="A3412" s="77">
        <f t="shared" ca="1" si="288"/>
        <v>46012</v>
      </c>
      <c r="B3412" s="80">
        <f t="shared" ca="1" si="289"/>
        <v>46012.724976851852</v>
      </c>
      <c r="C3412" s="76" t="s">
        <v>583</v>
      </c>
      <c r="D3412" s="76" t="s">
        <v>902</v>
      </c>
      <c r="E3412" s="79" t="s">
        <v>2464</v>
      </c>
      <c r="F3412" s="79"/>
    </row>
    <row r="3413" spans="1:6">
      <c r="A3413" s="77">
        <f t="shared" ca="1" si="288"/>
        <v>46012</v>
      </c>
      <c r="B3413" s="80">
        <f t="shared" ca="1" si="289"/>
        <v>46012.737602430556</v>
      </c>
      <c r="C3413" s="76" t="s">
        <v>583</v>
      </c>
      <c r="D3413" s="210" t="s">
        <v>922</v>
      </c>
      <c r="E3413" s="79"/>
      <c r="F3413" s="79"/>
    </row>
    <row r="3414" spans="1:6">
      <c r="A3414" s="77">
        <f t="shared" ca="1" si="288"/>
        <v>46012</v>
      </c>
      <c r="B3414" s="80">
        <f t="shared" ca="1" si="289"/>
        <v>46012.740151157406</v>
      </c>
      <c r="C3414" s="76" t="s">
        <v>583</v>
      </c>
      <c r="D3414" s="210" t="s">
        <v>1098</v>
      </c>
      <c r="E3414" s="79" t="s">
        <v>2465</v>
      </c>
      <c r="F3414" s="79"/>
    </row>
    <row r="3415" spans="1:6">
      <c r="A3415" s="77">
        <f t="shared" ref="A3415:A3426" ca="1" si="290">IF(C3415&lt;&gt;0,IF(A3415=0,TODAY(),A3415),)</f>
        <v>46012</v>
      </c>
      <c r="B3415" s="80">
        <f t="shared" ref="B3415:B3426" ca="1" si="291">IF(C3415&lt;&gt;0,IF(B3415=0,NOW(),B3415),)</f>
        <v>46012.787897800925</v>
      </c>
      <c r="C3415" s="76" t="s">
        <v>586</v>
      </c>
      <c r="D3415" s="210" t="s">
        <v>906</v>
      </c>
      <c r="E3415" s="79"/>
      <c r="F3415" s="79"/>
    </row>
    <row r="3416" spans="1:6">
      <c r="A3416" s="77">
        <f t="shared" ca="1" si="290"/>
        <v>46012</v>
      </c>
      <c r="B3416" s="80">
        <v>46012.800393518519</v>
      </c>
      <c r="C3416" s="76" t="s">
        <v>586</v>
      </c>
      <c r="D3416" s="210" t="s">
        <v>909</v>
      </c>
      <c r="E3416" s="79"/>
      <c r="F3416" s="79"/>
    </row>
    <row r="3417" spans="1:6">
      <c r="A3417" s="77">
        <f t="shared" ca="1" si="290"/>
        <v>46012</v>
      </c>
      <c r="B3417" s="80">
        <f t="shared" ca="1" si="291"/>
        <v>46012.811931018521</v>
      </c>
      <c r="C3417" s="76" t="s">
        <v>586</v>
      </c>
      <c r="D3417" s="76" t="s">
        <v>902</v>
      </c>
      <c r="E3417" s="79" t="s">
        <v>1001</v>
      </c>
      <c r="F3417" s="79"/>
    </row>
    <row r="3418" spans="1:6">
      <c r="A3418" s="77">
        <f t="shared" ca="1" si="290"/>
        <v>46012</v>
      </c>
      <c r="B3418" s="80">
        <f t="shared" ca="1" si="291"/>
        <v>46012.830611921294</v>
      </c>
      <c r="C3418" s="76" t="s">
        <v>586</v>
      </c>
      <c r="D3418" s="76" t="s">
        <v>902</v>
      </c>
      <c r="E3418" s="79" t="s">
        <v>2466</v>
      </c>
      <c r="F3418" s="79"/>
    </row>
    <row r="3419" spans="1:6">
      <c r="A3419" s="77">
        <f t="shared" ca="1" si="290"/>
        <v>46012</v>
      </c>
      <c r="B3419" s="80">
        <f t="shared" ca="1" si="291"/>
        <v>46012.830695833334</v>
      </c>
      <c r="C3419" s="76" t="s">
        <v>586</v>
      </c>
      <c r="D3419" s="76" t="s">
        <v>902</v>
      </c>
      <c r="E3419" s="79" t="s">
        <v>1828</v>
      </c>
      <c r="F3419" s="79"/>
    </row>
    <row r="3420" spans="1:6">
      <c r="A3420" s="77">
        <f t="shared" ca="1" si="290"/>
        <v>46012</v>
      </c>
      <c r="B3420" s="80">
        <f t="shared" ca="1" si="291"/>
        <v>46012.832597337961</v>
      </c>
      <c r="C3420" s="76" t="s">
        <v>586</v>
      </c>
      <c r="D3420" s="150" t="s">
        <v>1007</v>
      </c>
      <c r="E3420" s="79" t="s">
        <v>2467</v>
      </c>
      <c r="F3420" s="79"/>
    </row>
    <row r="3421" spans="1:6">
      <c r="A3421" s="77">
        <f t="shared" ca="1" si="290"/>
        <v>46012</v>
      </c>
      <c r="B3421" s="80">
        <f t="shared" ca="1" si="291"/>
        <v>46012.834245370374</v>
      </c>
      <c r="C3421" s="76" t="s">
        <v>586</v>
      </c>
      <c r="D3421" s="150" t="s">
        <v>1007</v>
      </c>
      <c r="E3421" s="79" t="s">
        <v>2468</v>
      </c>
      <c r="F3421" s="79"/>
    </row>
    <row r="3422" spans="1:6">
      <c r="A3422" s="77">
        <f t="shared" ca="1" si="290"/>
        <v>46012</v>
      </c>
      <c r="B3422" s="80">
        <f t="shared" ca="1" si="291"/>
        <v>46012.842717245374</v>
      </c>
      <c r="C3422" s="76" t="s">
        <v>586</v>
      </c>
      <c r="D3422" s="76" t="s">
        <v>902</v>
      </c>
      <c r="E3422" s="79" t="s">
        <v>2294</v>
      </c>
      <c r="F3422" s="79"/>
    </row>
    <row r="3423" spans="1:6">
      <c r="A3423" s="77">
        <f t="shared" ca="1" si="290"/>
        <v>46012</v>
      </c>
      <c r="B3423" s="80">
        <f t="shared" ca="1" si="291"/>
        <v>46012.859355208333</v>
      </c>
      <c r="C3423" s="76" t="s">
        <v>586</v>
      </c>
      <c r="D3423" s="76" t="s">
        <v>902</v>
      </c>
      <c r="E3423" s="79" t="s">
        <v>1828</v>
      </c>
      <c r="F3423" s="79"/>
    </row>
    <row r="3424" spans="1:6">
      <c r="A3424" s="77">
        <f t="shared" ca="1" si="290"/>
        <v>46012</v>
      </c>
      <c r="B3424" s="80">
        <v>46012.86074074074</v>
      </c>
      <c r="C3424" s="76" t="s">
        <v>586</v>
      </c>
      <c r="D3424" s="150" t="s">
        <v>1007</v>
      </c>
      <c r="E3424" s="79" t="s">
        <v>2469</v>
      </c>
      <c r="F3424" s="79"/>
    </row>
    <row r="3425" spans="1:6">
      <c r="A3425" s="77">
        <f t="shared" ca="1" si="290"/>
        <v>46012</v>
      </c>
      <c r="B3425" s="80">
        <f t="shared" ca="1" si="291"/>
        <v>46012.884181828704</v>
      </c>
      <c r="C3425" s="76" t="s">
        <v>586</v>
      </c>
      <c r="D3425" s="76" t="s">
        <v>902</v>
      </c>
      <c r="E3425" s="79" t="s">
        <v>1001</v>
      </c>
      <c r="F3425" s="79"/>
    </row>
    <row r="3426" spans="1:6">
      <c r="A3426" s="77">
        <f t="shared" ca="1" si="290"/>
        <v>46012</v>
      </c>
      <c r="B3426" s="80">
        <f t="shared" ca="1" si="291"/>
        <v>46012.885682638887</v>
      </c>
      <c r="C3426" s="76" t="s">
        <v>586</v>
      </c>
      <c r="D3426" s="76" t="s">
        <v>902</v>
      </c>
      <c r="E3426" s="79" t="s">
        <v>2071</v>
      </c>
      <c r="F3426" s="79"/>
    </row>
    <row r="3427" spans="1:6">
      <c r="A3427" s="77">
        <f ca="1">IF(C3427&lt;&gt;0,IF(A3427=0,TODAY(),A3427),)</f>
        <v>46012</v>
      </c>
      <c r="B3427" s="80">
        <f ca="1">IF(C3427&lt;&gt;0,IF(B3427=0,NOW(),B3427),)</f>
        <v>46012.899266203705</v>
      </c>
      <c r="C3427" s="76" t="s">
        <v>586</v>
      </c>
      <c r="D3427" s="76" t="s">
        <v>902</v>
      </c>
      <c r="E3427" s="79" t="s">
        <v>1429</v>
      </c>
      <c r="F3427" s="79"/>
    </row>
    <row r="3428" spans="1:6">
      <c r="A3428" s="77">
        <f ca="1">IF(C3428&lt;&gt;0,IF(A3428=0,TODAY(),A3428),)</f>
        <v>46012</v>
      </c>
      <c r="B3428" s="80">
        <f ca="1">IF(C3428&lt;&gt;0,IF(B3428=0,NOW(),B3428),)</f>
        <v>46012.911111805559</v>
      </c>
      <c r="C3428" s="76" t="s">
        <v>586</v>
      </c>
      <c r="D3428" s="76" t="s">
        <v>902</v>
      </c>
      <c r="E3428" s="79" t="s">
        <v>1001</v>
      </c>
      <c r="F3428" s="79"/>
    </row>
    <row r="3429" spans="1:6">
      <c r="A3429" s="77">
        <f t="shared" ref="A3429:A3435" ca="1" si="292">IF(C3429&lt;&gt;0,IF(A3429=0,TODAY(),A3429),)</f>
        <v>46012</v>
      </c>
      <c r="B3429" s="80">
        <f t="shared" ref="B3429:B3435" ca="1" si="293">IF(C3429&lt;&gt;0,IF(B3429=0,NOW(),B3429),)</f>
        <v>46012.938034722225</v>
      </c>
      <c r="C3429" s="76" t="s">
        <v>586</v>
      </c>
      <c r="D3429" s="76" t="s">
        <v>902</v>
      </c>
      <c r="E3429" s="79" t="s">
        <v>1429</v>
      </c>
      <c r="F3429" s="79"/>
    </row>
    <row r="3430" spans="1:6">
      <c r="A3430" s="77">
        <f t="shared" ca="1" si="292"/>
        <v>46012</v>
      </c>
      <c r="B3430" s="80">
        <f t="shared" ca="1" si="293"/>
        <v>46012.941371064815</v>
      </c>
      <c r="C3430" s="76" t="s">
        <v>586</v>
      </c>
      <c r="D3430" s="76" t="s">
        <v>902</v>
      </c>
      <c r="E3430" s="79" t="s">
        <v>2470</v>
      </c>
      <c r="F3430" s="79"/>
    </row>
    <row r="3431" spans="1:6">
      <c r="A3431" s="77">
        <f t="shared" ca="1" si="292"/>
        <v>46012</v>
      </c>
      <c r="B3431" s="80">
        <f t="shared" ca="1" si="293"/>
        <v>46012.948608101855</v>
      </c>
      <c r="C3431" s="76" t="s">
        <v>586</v>
      </c>
      <c r="D3431" s="76" t="s">
        <v>902</v>
      </c>
      <c r="E3431" s="79" t="s">
        <v>1505</v>
      </c>
      <c r="F3431" s="79"/>
    </row>
    <row r="3432" spans="1:6">
      <c r="A3432" s="77">
        <f t="shared" ca="1" si="292"/>
        <v>46012</v>
      </c>
      <c r="B3432" s="80">
        <f t="shared" ca="1" si="293"/>
        <v>46012.954591203707</v>
      </c>
      <c r="C3432" s="76" t="s">
        <v>586</v>
      </c>
      <c r="D3432" s="76" t="s">
        <v>902</v>
      </c>
      <c r="E3432" s="79" t="s">
        <v>2001</v>
      </c>
      <c r="F3432" s="79"/>
    </row>
    <row r="3433" spans="1:6">
      <c r="A3433" s="77">
        <f t="shared" ca="1" si="292"/>
        <v>46012</v>
      </c>
      <c r="B3433" s="80">
        <f t="shared" ca="1" si="293"/>
        <v>46012.97374050926</v>
      </c>
      <c r="C3433" s="76" t="s">
        <v>586</v>
      </c>
      <c r="D3433" s="76" t="s">
        <v>902</v>
      </c>
      <c r="E3433" s="79" t="s">
        <v>2471</v>
      </c>
      <c r="F3433" s="79"/>
    </row>
    <row r="3434" spans="1:6">
      <c r="A3434" s="77">
        <f t="shared" ca="1" si="292"/>
        <v>46012</v>
      </c>
      <c r="B3434" s="80">
        <f t="shared" ca="1" si="293"/>
        <v>46012.977487152777</v>
      </c>
      <c r="C3434" s="76" t="s">
        <v>586</v>
      </c>
      <c r="D3434" s="76" t="s">
        <v>902</v>
      </c>
      <c r="E3434" s="79" t="s">
        <v>1001</v>
      </c>
      <c r="F3434" s="79"/>
    </row>
    <row r="3435" spans="1:6">
      <c r="A3435" s="77">
        <f t="shared" ca="1" si="292"/>
        <v>46012</v>
      </c>
      <c r="B3435" s="80">
        <f t="shared" ca="1" si="293"/>
        <v>46012.97751365741</v>
      </c>
      <c r="C3435" s="76" t="s">
        <v>586</v>
      </c>
      <c r="D3435" s="76" t="s">
        <v>902</v>
      </c>
      <c r="E3435" s="79" t="s">
        <v>1001</v>
      </c>
      <c r="F3435" s="79"/>
    </row>
    <row r="3436" spans="1:6">
      <c r="A3436" s="77">
        <f t="shared" ref="A3436:A3445" ca="1" si="294">IF(C3436&lt;&gt;0,IF(A3436=0,TODAY(),A3436),)</f>
        <v>46012</v>
      </c>
      <c r="B3436" s="80">
        <f t="shared" ref="B3436:B3445" ca="1" si="295">IF(C3436&lt;&gt;0,IF(B3436=0,NOW(),B3436),)</f>
        <v>46012.992907291664</v>
      </c>
      <c r="C3436" s="76" t="s">
        <v>586</v>
      </c>
      <c r="D3436" s="76" t="s">
        <v>902</v>
      </c>
      <c r="E3436" s="79" t="s">
        <v>2000</v>
      </c>
      <c r="F3436" s="79"/>
    </row>
    <row r="3437" spans="1:6">
      <c r="A3437" s="77">
        <f t="shared" ca="1" si="294"/>
        <v>46012</v>
      </c>
      <c r="B3437" s="80">
        <f t="shared" ca="1" si="295"/>
        <v>46012.993875925924</v>
      </c>
      <c r="C3437" s="76" t="s">
        <v>586</v>
      </c>
      <c r="D3437" s="210" t="s">
        <v>922</v>
      </c>
      <c r="E3437" s="79"/>
      <c r="F3437" s="79"/>
    </row>
    <row r="3438" spans="1:6">
      <c r="A3438" s="77">
        <f t="shared" ca="1" si="294"/>
        <v>46012</v>
      </c>
      <c r="B3438" s="80">
        <f t="shared" ca="1" si="295"/>
        <v>46012.996351620372</v>
      </c>
      <c r="C3438" s="76" t="s">
        <v>586</v>
      </c>
      <c r="D3438" s="210" t="s">
        <v>1098</v>
      </c>
      <c r="E3438" s="79" t="s">
        <v>2465</v>
      </c>
      <c r="F3438" s="79"/>
    </row>
    <row r="3439" spans="1:6">
      <c r="A3439" s="77">
        <f t="shared" ca="1" si="294"/>
        <v>46013</v>
      </c>
      <c r="B3439" s="80">
        <f t="shared" ca="1" si="295"/>
        <v>46013.063841435185</v>
      </c>
      <c r="C3439" s="76" t="s">
        <v>589</v>
      </c>
      <c r="D3439" s="210" t="s">
        <v>906</v>
      </c>
      <c r="E3439" s="79"/>
      <c r="F3439" s="79"/>
    </row>
    <row r="3440" spans="1:6">
      <c r="A3440" s="77">
        <f t="shared" ca="1" si="294"/>
        <v>46013</v>
      </c>
      <c r="B3440" s="80">
        <f t="shared" ca="1" si="295"/>
        <v>46013.06676134259</v>
      </c>
      <c r="C3440" s="76" t="s">
        <v>589</v>
      </c>
      <c r="D3440" s="210" t="s">
        <v>909</v>
      </c>
      <c r="E3440" s="79"/>
      <c r="F3440" s="79"/>
    </row>
    <row r="3441" spans="1:6">
      <c r="A3441" s="77">
        <f t="shared" ca="1" si="294"/>
        <v>46013</v>
      </c>
      <c r="B3441" s="80">
        <f t="shared" ca="1" si="295"/>
        <v>46013.071259953707</v>
      </c>
      <c r="C3441" s="76" t="s">
        <v>589</v>
      </c>
      <c r="D3441" s="76" t="s">
        <v>902</v>
      </c>
      <c r="E3441" s="79" t="s">
        <v>1535</v>
      </c>
      <c r="F3441" s="79"/>
    </row>
    <row r="3442" spans="1:6">
      <c r="A3442" s="77">
        <f t="shared" ca="1" si="294"/>
        <v>46013</v>
      </c>
      <c r="B3442" s="80">
        <f t="shared" ca="1" si="295"/>
        <v>46013.080311458332</v>
      </c>
      <c r="C3442" s="76" t="s">
        <v>589</v>
      </c>
      <c r="D3442" s="76" t="s">
        <v>902</v>
      </c>
      <c r="E3442" s="79" t="s">
        <v>1505</v>
      </c>
      <c r="F3442" s="79"/>
    </row>
    <row r="3443" spans="1:6">
      <c r="A3443" s="77">
        <f t="shared" ca="1" si="294"/>
        <v>46013</v>
      </c>
      <c r="B3443" s="80">
        <f t="shared" ca="1" si="295"/>
        <v>46013.09143414352</v>
      </c>
      <c r="C3443" s="76" t="s">
        <v>589</v>
      </c>
      <c r="D3443" s="76" t="s">
        <v>902</v>
      </c>
      <c r="E3443" s="79" t="s">
        <v>2072</v>
      </c>
      <c r="F3443" s="79"/>
    </row>
    <row r="3444" spans="1:6">
      <c r="A3444" s="77">
        <f t="shared" ca="1" si="294"/>
        <v>46013</v>
      </c>
      <c r="B3444" s="80">
        <f t="shared" ca="1" si="295"/>
        <v>46013.101641550929</v>
      </c>
      <c r="C3444" s="76" t="s">
        <v>589</v>
      </c>
      <c r="D3444" s="76" t="s">
        <v>902</v>
      </c>
      <c r="E3444" s="79" t="s">
        <v>2472</v>
      </c>
      <c r="F3444" s="79"/>
    </row>
    <row r="3445" spans="1:6">
      <c r="A3445" s="77">
        <f t="shared" ca="1" si="294"/>
        <v>46013</v>
      </c>
      <c r="B3445" s="80">
        <f t="shared" ca="1" si="295"/>
        <v>46013.105554282411</v>
      </c>
      <c r="C3445" s="76" t="s">
        <v>589</v>
      </c>
      <c r="D3445" s="76" t="s">
        <v>902</v>
      </c>
      <c r="E3445" s="79" t="s">
        <v>2473</v>
      </c>
      <c r="F3445" s="79"/>
    </row>
    <row r="3446" spans="1:6">
      <c r="A3446" s="77">
        <f t="shared" ref="A3446:A3453" ca="1" si="296">IF(C3446&lt;&gt;0,IF(A3446=0,TODAY(),A3446),)</f>
        <v>46013</v>
      </c>
      <c r="B3446" s="80">
        <f t="shared" ref="B3446:B3453" ca="1" si="297">IF(C3446&lt;&gt;0,IF(B3446=0,NOW(),B3446),)</f>
        <v>46013.105582870368</v>
      </c>
      <c r="C3446" s="76" t="s">
        <v>589</v>
      </c>
      <c r="D3446" s="76" t="s">
        <v>902</v>
      </c>
      <c r="E3446" s="79" t="s">
        <v>2474</v>
      </c>
      <c r="F3446" s="79"/>
    </row>
    <row r="3447" spans="1:6">
      <c r="A3447" s="77">
        <f t="shared" ca="1" si="296"/>
        <v>46013</v>
      </c>
      <c r="B3447" s="80">
        <f t="shared" ca="1" si="297"/>
        <v>46013.105926273151</v>
      </c>
      <c r="C3447" s="76" t="s">
        <v>589</v>
      </c>
      <c r="D3447" s="76" t="s">
        <v>902</v>
      </c>
      <c r="E3447" s="79" t="s">
        <v>2475</v>
      </c>
      <c r="F3447" s="79"/>
    </row>
    <row r="3448" spans="1:6">
      <c r="A3448" s="77">
        <f t="shared" ca="1" si="296"/>
        <v>46013</v>
      </c>
      <c r="B3448" s="80">
        <f t="shared" ca="1" si="297"/>
        <v>46013.107273032409</v>
      </c>
      <c r="C3448" s="76" t="s">
        <v>589</v>
      </c>
      <c r="D3448" s="76" t="s">
        <v>902</v>
      </c>
      <c r="E3448" s="79" t="s">
        <v>2476</v>
      </c>
      <c r="F3448" s="79"/>
    </row>
    <row r="3449" spans="1:6">
      <c r="A3449" s="77">
        <f t="shared" ca="1" si="296"/>
        <v>46013</v>
      </c>
      <c r="B3449" s="80">
        <f t="shared" ca="1" si="297"/>
        <v>46013.109020023148</v>
      </c>
      <c r="C3449" s="76" t="s">
        <v>589</v>
      </c>
      <c r="D3449" s="76" t="s">
        <v>902</v>
      </c>
      <c r="E3449" s="79" t="s">
        <v>2477</v>
      </c>
      <c r="F3449" s="79"/>
    </row>
    <row r="3450" spans="1:6">
      <c r="A3450" s="77">
        <f t="shared" ca="1" si="296"/>
        <v>46013</v>
      </c>
      <c r="B3450" s="80">
        <f t="shared" ca="1" si="297"/>
        <v>46013.13251747685</v>
      </c>
      <c r="C3450" s="76" t="s">
        <v>589</v>
      </c>
      <c r="D3450" s="76" t="s">
        <v>902</v>
      </c>
      <c r="E3450" s="79" t="s">
        <v>2478</v>
      </c>
      <c r="F3450" s="79"/>
    </row>
    <row r="3451" spans="1:6">
      <c r="A3451" s="77">
        <f t="shared" ca="1" si="296"/>
        <v>46013</v>
      </c>
      <c r="B3451" s="80">
        <f t="shared" ca="1" si="297"/>
        <v>46013.141399189815</v>
      </c>
      <c r="C3451" s="76" t="s">
        <v>589</v>
      </c>
      <c r="D3451" s="76" t="s">
        <v>902</v>
      </c>
      <c r="E3451" s="79" t="s">
        <v>2475</v>
      </c>
      <c r="F3451" s="79"/>
    </row>
    <row r="3452" spans="1:6">
      <c r="A3452" s="77">
        <f t="shared" ca="1" si="296"/>
        <v>46013</v>
      </c>
      <c r="B3452" s="80">
        <f t="shared" ca="1" si="297"/>
        <v>46013.145250925925</v>
      </c>
      <c r="C3452" s="76" t="s">
        <v>589</v>
      </c>
      <c r="D3452" s="76" t="s">
        <v>902</v>
      </c>
      <c r="E3452" s="79" t="s">
        <v>2479</v>
      </c>
      <c r="F3452" s="79"/>
    </row>
    <row r="3453" spans="1:6">
      <c r="A3453" s="77">
        <f t="shared" ca="1" si="296"/>
        <v>46013</v>
      </c>
      <c r="B3453" s="80">
        <f t="shared" ca="1" si="297"/>
        <v>46013.146222569441</v>
      </c>
      <c r="C3453" s="76" t="s">
        <v>589</v>
      </c>
      <c r="D3453" s="76" t="s">
        <v>902</v>
      </c>
      <c r="E3453" s="79" t="s">
        <v>2480</v>
      </c>
      <c r="F3453" s="79"/>
    </row>
    <row r="3454" spans="1:6">
      <c r="A3454" s="77">
        <f t="shared" ref="A3454:A3464" ca="1" si="298">IF(C3454&lt;&gt;0,IF(A3454=0,TODAY(),A3454),)</f>
        <v>46013</v>
      </c>
      <c r="B3454" s="80">
        <f t="shared" ref="B3454:B3464" ca="1" si="299">IF(C3454&lt;&gt;0,IF(B3454=0,NOW(),B3454),)</f>
        <v>46013.154985416666</v>
      </c>
      <c r="C3454" s="76" t="s">
        <v>589</v>
      </c>
      <c r="D3454" s="76" t="s">
        <v>902</v>
      </c>
      <c r="E3454" s="79" t="s">
        <v>2000</v>
      </c>
      <c r="F3454" s="79"/>
    </row>
    <row r="3455" spans="1:6">
      <c r="A3455" s="77">
        <f t="shared" ca="1" si="298"/>
        <v>46013</v>
      </c>
      <c r="B3455" s="80">
        <f t="shared" ca="1" si="299"/>
        <v>46013.156895601853</v>
      </c>
      <c r="C3455" s="76" t="s">
        <v>589</v>
      </c>
      <c r="D3455" s="76" t="s">
        <v>902</v>
      </c>
      <c r="E3455" s="79" t="s">
        <v>2481</v>
      </c>
      <c r="F3455" s="79"/>
    </row>
    <row r="3456" spans="1:6">
      <c r="A3456" s="77">
        <f t="shared" ca="1" si="298"/>
        <v>46013</v>
      </c>
      <c r="B3456" s="80">
        <f t="shared" ca="1" si="299"/>
        <v>46013.158822569443</v>
      </c>
      <c r="C3456" s="76" t="s">
        <v>589</v>
      </c>
      <c r="D3456" s="76" t="s">
        <v>902</v>
      </c>
      <c r="E3456" s="79" t="s">
        <v>2482</v>
      </c>
      <c r="F3456" s="79"/>
    </row>
    <row r="3457" spans="1:7">
      <c r="A3457" s="77">
        <f t="shared" ca="1" si="298"/>
        <v>46013</v>
      </c>
      <c r="B3457" s="80">
        <f t="shared" ca="1" si="299"/>
        <v>46013.163708796295</v>
      </c>
      <c r="C3457" s="76" t="s">
        <v>589</v>
      </c>
      <c r="D3457" s="76" t="s">
        <v>902</v>
      </c>
      <c r="E3457" s="79" t="s">
        <v>2282</v>
      </c>
      <c r="F3457" s="79"/>
    </row>
    <row r="3458" spans="1:7">
      <c r="A3458" s="77">
        <f t="shared" ca="1" si="298"/>
        <v>46013</v>
      </c>
      <c r="B3458" s="80">
        <f t="shared" ca="1" si="299"/>
        <v>46013.164083680553</v>
      </c>
      <c r="C3458" s="76" t="s">
        <v>589</v>
      </c>
      <c r="D3458" s="76" t="s">
        <v>902</v>
      </c>
      <c r="E3458" s="79" t="s">
        <v>932</v>
      </c>
      <c r="F3458" s="79"/>
    </row>
    <row r="3459" spans="1:7">
      <c r="A3459" s="77">
        <f t="shared" ca="1" si="298"/>
        <v>46013</v>
      </c>
      <c r="B3459" s="80">
        <f t="shared" ca="1" si="299"/>
        <v>46013.181457407409</v>
      </c>
      <c r="C3459" s="76" t="s">
        <v>589</v>
      </c>
      <c r="D3459" s="76" t="s">
        <v>902</v>
      </c>
      <c r="E3459" s="79" t="s">
        <v>2483</v>
      </c>
      <c r="F3459" s="79"/>
      <c r="G3459" s="76" t="s">
        <v>2484</v>
      </c>
    </row>
    <row r="3460" spans="1:7">
      <c r="A3460" s="77">
        <f t="shared" ca="1" si="298"/>
        <v>46013</v>
      </c>
      <c r="B3460" s="80">
        <f t="shared" ca="1" si="299"/>
        <v>46013.189975694448</v>
      </c>
      <c r="C3460" s="76" t="s">
        <v>589</v>
      </c>
      <c r="D3460" s="76" t="s">
        <v>902</v>
      </c>
      <c r="E3460" s="79" t="s">
        <v>2282</v>
      </c>
      <c r="F3460" s="79"/>
    </row>
    <row r="3461" spans="1:7">
      <c r="A3461" s="77">
        <f t="shared" ca="1" si="298"/>
        <v>46013</v>
      </c>
      <c r="B3461" s="80">
        <f t="shared" ca="1" si="299"/>
        <v>46013.191090046297</v>
      </c>
      <c r="C3461" s="76" t="s">
        <v>589</v>
      </c>
      <c r="D3461" s="76" t="s">
        <v>902</v>
      </c>
      <c r="E3461" s="79" t="s">
        <v>2476</v>
      </c>
      <c r="F3461" s="79"/>
    </row>
    <row r="3462" spans="1:7">
      <c r="A3462" s="77">
        <f t="shared" ca="1" si="298"/>
        <v>46013</v>
      </c>
      <c r="B3462" s="80">
        <f t="shared" ca="1" si="299"/>
        <v>46013.194072916667</v>
      </c>
      <c r="C3462" s="76" t="s">
        <v>589</v>
      </c>
      <c r="D3462" s="210" t="s">
        <v>922</v>
      </c>
      <c r="E3462" s="79"/>
      <c r="F3462" s="79"/>
    </row>
    <row r="3463" spans="1:7">
      <c r="A3463" s="77">
        <f t="shared" ca="1" si="298"/>
        <v>46013</v>
      </c>
      <c r="B3463" s="80">
        <f t="shared" ca="1" si="299"/>
        <v>46013.198270370369</v>
      </c>
      <c r="C3463" s="76" t="s">
        <v>589</v>
      </c>
      <c r="D3463" s="210" t="s">
        <v>1098</v>
      </c>
      <c r="E3463" s="79"/>
      <c r="F3463" s="79"/>
      <c r="G3463" s="76" t="s">
        <v>2485</v>
      </c>
    </row>
    <row r="3464" spans="1:7">
      <c r="A3464" s="77">
        <f t="shared" ca="1" si="298"/>
        <v>46013</v>
      </c>
      <c r="B3464" s="80">
        <f t="shared" ca="1" si="299"/>
        <v>46013.400791319444</v>
      </c>
      <c r="C3464" s="76" t="s">
        <v>593</v>
      </c>
      <c r="D3464" s="210" t="s">
        <v>906</v>
      </c>
      <c r="E3464" s="79"/>
      <c r="F3464" s="79"/>
    </row>
    <row r="3465" spans="1:7">
      <c r="A3465" s="77">
        <f ca="1">IF(C3465&lt;&gt;0,IF(A3465=0,TODAY(),A3465),)</f>
        <v>46013</v>
      </c>
      <c r="B3465" s="80">
        <f ca="1">IF(C3465&lt;&gt;0,IF(B3465=0,NOW(),B3465),)</f>
        <v>46013.406946064817</v>
      </c>
      <c r="C3465" s="76" t="s">
        <v>593</v>
      </c>
      <c r="D3465" s="210" t="s">
        <v>922</v>
      </c>
      <c r="E3465" s="79"/>
      <c r="F3465" s="79"/>
    </row>
    <row r="3466" spans="1:7">
      <c r="A3466" s="77">
        <f t="shared" ref="A3466:A3481" ca="1" si="300">IF(C3466&lt;&gt;0,IF(A3466=0,TODAY(),A3466),)</f>
        <v>46013</v>
      </c>
      <c r="B3466" s="80">
        <f t="shared" ref="B3466:B3481" ca="1" si="301">IF(C3466&lt;&gt;0,IF(B3466=0,NOW(),B3466),)</f>
        <v>46013.410756481484</v>
      </c>
      <c r="C3466" s="76" t="s">
        <v>593</v>
      </c>
      <c r="D3466" s="76" t="s">
        <v>902</v>
      </c>
      <c r="E3466" s="79" t="s">
        <v>2486</v>
      </c>
      <c r="F3466" s="79"/>
    </row>
    <row r="3467" spans="1:7">
      <c r="A3467" s="77">
        <f t="shared" ca="1" si="300"/>
        <v>46013</v>
      </c>
      <c r="B3467" s="80">
        <f t="shared" ca="1" si="301"/>
        <v>46013.414573726855</v>
      </c>
      <c r="C3467" s="76" t="s">
        <v>593</v>
      </c>
      <c r="D3467" s="76" t="s">
        <v>902</v>
      </c>
      <c r="E3467" s="79" t="s">
        <v>2487</v>
      </c>
      <c r="F3467" s="79"/>
    </row>
    <row r="3468" spans="1:7">
      <c r="A3468" s="77">
        <f t="shared" ca="1" si="300"/>
        <v>46013</v>
      </c>
      <c r="B3468" s="80">
        <f t="shared" ca="1" si="301"/>
        <v>46013.418174652776</v>
      </c>
      <c r="C3468" s="76" t="s">
        <v>593</v>
      </c>
      <c r="D3468" s="76" t="s">
        <v>902</v>
      </c>
      <c r="E3468" s="79" t="s">
        <v>2488</v>
      </c>
      <c r="F3468" s="79"/>
    </row>
    <row r="3469" spans="1:7">
      <c r="A3469" s="77">
        <f t="shared" ca="1" si="300"/>
        <v>46013</v>
      </c>
      <c r="B3469" s="80">
        <f t="shared" ca="1" si="301"/>
        <v>46013.41840185185</v>
      </c>
      <c r="C3469" s="76" t="s">
        <v>593</v>
      </c>
      <c r="D3469" s="76" t="s">
        <v>902</v>
      </c>
      <c r="E3469" s="79" t="s">
        <v>1063</v>
      </c>
      <c r="F3469" s="79"/>
    </row>
    <row r="3470" spans="1:7">
      <c r="A3470" s="77">
        <f t="shared" ca="1" si="300"/>
        <v>46013</v>
      </c>
      <c r="B3470" s="80">
        <f t="shared" ca="1" si="301"/>
        <v>46013.428815740743</v>
      </c>
      <c r="C3470" s="76" t="s">
        <v>593</v>
      </c>
      <c r="D3470" s="76" t="s">
        <v>902</v>
      </c>
      <c r="E3470" s="79" t="s">
        <v>1063</v>
      </c>
      <c r="F3470" s="79"/>
    </row>
    <row r="3471" spans="1:7">
      <c r="A3471" s="77">
        <f t="shared" ca="1" si="300"/>
        <v>46013</v>
      </c>
      <c r="B3471" s="80">
        <f t="shared" ca="1" si="301"/>
        <v>46013.430137731484</v>
      </c>
      <c r="C3471" s="76" t="s">
        <v>593</v>
      </c>
      <c r="D3471" s="76" t="s">
        <v>902</v>
      </c>
      <c r="E3471" s="79" t="s">
        <v>1853</v>
      </c>
      <c r="F3471" s="79"/>
    </row>
    <row r="3472" spans="1:7">
      <c r="A3472" s="77">
        <f t="shared" ca="1" si="300"/>
        <v>46013</v>
      </c>
      <c r="B3472" s="80">
        <f t="shared" ca="1" si="301"/>
        <v>46013.4344724537</v>
      </c>
      <c r="C3472" s="76" t="s">
        <v>593</v>
      </c>
      <c r="D3472" s="76" t="s">
        <v>902</v>
      </c>
      <c r="E3472" s="79" t="s">
        <v>2489</v>
      </c>
      <c r="F3472" s="79"/>
    </row>
    <row r="3473" spans="1:6">
      <c r="A3473" s="77">
        <f t="shared" ca="1" si="300"/>
        <v>46013</v>
      </c>
      <c r="B3473" s="80">
        <f t="shared" ca="1" si="301"/>
        <v>46013.443462384261</v>
      </c>
      <c r="C3473" s="76" t="s">
        <v>593</v>
      </c>
      <c r="D3473" s="76" t="s">
        <v>902</v>
      </c>
      <c r="E3473" s="79" t="s">
        <v>2490</v>
      </c>
      <c r="F3473" s="79"/>
    </row>
    <row r="3474" spans="1:6">
      <c r="A3474" s="77">
        <f t="shared" ca="1" si="300"/>
        <v>46013</v>
      </c>
      <c r="B3474" s="80">
        <f t="shared" ca="1" si="301"/>
        <v>46013.452304629631</v>
      </c>
      <c r="C3474" s="76" t="s">
        <v>593</v>
      </c>
      <c r="D3474" s="76" t="s">
        <v>902</v>
      </c>
      <c r="E3474" s="79" t="s">
        <v>2491</v>
      </c>
      <c r="F3474" s="79"/>
    </row>
    <row r="3475" spans="1:6">
      <c r="A3475" s="77">
        <f t="shared" ca="1" si="300"/>
        <v>46013</v>
      </c>
      <c r="B3475" s="80">
        <f t="shared" ca="1" si="301"/>
        <v>46013.453531828702</v>
      </c>
      <c r="C3475" s="76" t="s">
        <v>593</v>
      </c>
      <c r="D3475" s="76" t="s">
        <v>902</v>
      </c>
      <c r="E3475" s="79" t="s">
        <v>2492</v>
      </c>
      <c r="F3475" s="79"/>
    </row>
    <row r="3476" spans="1:6">
      <c r="A3476" s="77">
        <f t="shared" ca="1" si="300"/>
        <v>46013</v>
      </c>
      <c r="B3476" s="80">
        <f t="shared" ca="1" si="301"/>
        <v>46013.456935532406</v>
      </c>
      <c r="C3476" s="76" t="s">
        <v>593</v>
      </c>
      <c r="D3476" s="76" t="s">
        <v>902</v>
      </c>
      <c r="E3476" s="79" t="s">
        <v>2493</v>
      </c>
      <c r="F3476" s="79"/>
    </row>
    <row r="3477" spans="1:6">
      <c r="A3477" s="77">
        <f t="shared" ca="1" si="300"/>
        <v>46013</v>
      </c>
      <c r="B3477" s="80">
        <f t="shared" ca="1" si="301"/>
        <v>46013.460344328705</v>
      </c>
      <c r="C3477" s="76" t="s">
        <v>593</v>
      </c>
      <c r="D3477" s="76" t="s">
        <v>902</v>
      </c>
      <c r="E3477" s="79" t="s">
        <v>2494</v>
      </c>
      <c r="F3477" s="79"/>
    </row>
    <row r="3478" spans="1:6">
      <c r="A3478" s="77">
        <f t="shared" ca="1" si="300"/>
        <v>46013</v>
      </c>
      <c r="B3478" s="80">
        <f t="shared" ca="1" si="301"/>
        <v>46013.462022800923</v>
      </c>
      <c r="C3478" s="76" t="s">
        <v>593</v>
      </c>
      <c r="D3478" s="76" t="s">
        <v>902</v>
      </c>
      <c r="E3478" s="79" t="s">
        <v>1853</v>
      </c>
      <c r="F3478" s="79"/>
    </row>
    <row r="3479" spans="1:6">
      <c r="A3479" s="77">
        <f t="shared" ca="1" si="300"/>
        <v>46013</v>
      </c>
      <c r="B3479" s="80">
        <f t="shared" ca="1" si="301"/>
        <v>46013.466014467595</v>
      </c>
      <c r="C3479" s="76" t="s">
        <v>593</v>
      </c>
      <c r="D3479" s="76" t="s">
        <v>902</v>
      </c>
      <c r="E3479" s="79" t="s">
        <v>2495</v>
      </c>
      <c r="F3479" s="79"/>
    </row>
    <row r="3480" spans="1:6">
      <c r="A3480" s="77">
        <f t="shared" ca="1" si="300"/>
        <v>46013</v>
      </c>
      <c r="B3480" s="80">
        <f t="shared" ca="1" si="301"/>
        <v>46013.469304398146</v>
      </c>
      <c r="C3480" s="76" t="s">
        <v>593</v>
      </c>
      <c r="D3480" s="76" t="s">
        <v>902</v>
      </c>
      <c r="E3480" s="79" t="s">
        <v>2496</v>
      </c>
      <c r="F3480" s="79"/>
    </row>
    <row r="3481" spans="1:6">
      <c r="A3481" s="77">
        <f t="shared" ca="1" si="300"/>
        <v>46013</v>
      </c>
      <c r="B3481" s="80">
        <f t="shared" ca="1" si="301"/>
        <v>46013.47000335648</v>
      </c>
      <c r="C3481" s="76" t="s">
        <v>593</v>
      </c>
      <c r="D3481" s="76" t="s">
        <v>902</v>
      </c>
      <c r="E3481" s="79" t="s">
        <v>1555</v>
      </c>
      <c r="F3481" s="79"/>
    </row>
    <row r="3482" spans="1:6">
      <c r="A3482" s="77">
        <f ca="1">IF(C3482&lt;&gt;0,IF(A3482=0,TODAY(),A3482),)</f>
        <v>46013</v>
      </c>
      <c r="B3482" s="80">
        <f ca="1">IF(C3482&lt;&gt;0,IF(B3482=0,NOW(),B3482),)</f>
        <v>46013.474683912034</v>
      </c>
      <c r="C3482" s="76" t="s">
        <v>593</v>
      </c>
      <c r="D3482" s="150" t="s">
        <v>1007</v>
      </c>
      <c r="E3482" s="79" t="s">
        <v>2496</v>
      </c>
      <c r="F3482" s="79"/>
    </row>
    <row r="3483" spans="1:6">
      <c r="A3483" s="77">
        <f ca="1">IF(C3483&lt;&gt;0,IF(A3483=0,TODAY(),A3483),)</f>
        <v>46013</v>
      </c>
      <c r="B3483" s="80">
        <f ca="1">IF(C3483&lt;&gt;0,IF(B3483=0,NOW(),B3483),)</f>
        <v>46013.476578472226</v>
      </c>
      <c r="C3483" s="76" t="s">
        <v>593</v>
      </c>
      <c r="D3483" s="76" t="s">
        <v>902</v>
      </c>
      <c r="E3483" s="79" t="s">
        <v>2497</v>
      </c>
      <c r="F3483" s="79"/>
    </row>
    <row r="3484" spans="1:6">
      <c r="A3484" s="77">
        <f ca="1">IF(C3484&lt;&gt;0,IF(A3484=0,TODAY(),A3484),)</f>
        <v>46013</v>
      </c>
      <c r="B3484" s="80">
        <f ca="1">IF(C3484&lt;&gt;0,IF(B3484=0,NOW(),B3484),)</f>
        <v>46013.477729861108</v>
      </c>
      <c r="C3484" s="76" t="s">
        <v>593</v>
      </c>
      <c r="D3484" s="76" t="s">
        <v>902</v>
      </c>
      <c r="E3484" s="79" t="s">
        <v>2496</v>
      </c>
      <c r="F3484" s="79"/>
    </row>
    <row r="3485" spans="1:6">
      <c r="A3485" s="77">
        <f ca="1">IF(C3485&lt;&gt;0,IF(A3485=0,TODAY(),A3485),)</f>
        <v>46013</v>
      </c>
      <c r="B3485" s="80">
        <f ca="1">IF(C3485&lt;&gt;0,IF(B3485=0,NOW(),B3485),)</f>
        <v>46013.479222106478</v>
      </c>
      <c r="C3485" s="76" t="s">
        <v>593</v>
      </c>
      <c r="D3485" s="76" t="s">
        <v>902</v>
      </c>
      <c r="E3485" s="79" t="s">
        <v>2496</v>
      </c>
      <c r="F3485" s="79"/>
    </row>
    <row r="3486" spans="1:6">
      <c r="A3486" s="77">
        <f ca="1">IF(C3486&lt;&gt;0,IF(A3486=0,TODAY(),A3486),)</f>
        <v>46013</v>
      </c>
      <c r="B3486" s="80">
        <f ca="1">IF(C3486&lt;&gt;0,IF(B3486=0,NOW(),B3486),)</f>
        <v>46013.480695138889</v>
      </c>
      <c r="C3486" s="76" t="s">
        <v>593</v>
      </c>
      <c r="D3486" s="76" t="s">
        <v>902</v>
      </c>
      <c r="E3486" s="79" t="s">
        <v>1424</v>
      </c>
      <c r="F3486" s="79"/>
    </row>
    <row r="3487" spans="1:6">
      <c r="A3487" s="77">
        <f ca="1">IF(C3488&lt;&gt;0,IF(A3487=0,TODAY(),A3487),)</f>
        <v>46013</v>
      </c>
      <c r="B3487" s="80">
        <f ca="1">IF(C3488&lt;&gt;0,IF(B3487=0,NOW(),B3487),)</f>
        <v>46013.504552430553</v>
      </c>
      <c r="C3487" s="76" t="s">
        <v>593</v>
      </c>
      <c r="D3487" s="76" t="s">
        <v>902</v>
      </c>
      <c r="E3487" s="79" t="s">
        <v>2498</v>
      </c>
      <c r="F3487" s="79"/>
    </row>
    <row r="3488" spans="1:6">
      <c r="A3488" s="77">
        <f t="shared" ref="A3488:A3493" ca="1" si="302">IF(C3488&lt;&gt;0,IF(A3488=0,TODAY(),A3488),)</f>
        <v>46013</v>
      </c>
      <c r="B3488" s="80">
        <f t="shared" ref="B3488:B3493" ca="1" si="303">IF(C3488&lt;&gt;0,IF(B3488=0,NOW(),B3488),)</f>
        <v>46013.519730902779</v>
      </c>
      <c r="C3488" s="76" t="s">
        <v>593</v>
      </c>
      <c r="D3488" s="76" t="s">
        <v>902</v>
      </c>
      <c r="E3488" s="79" t="s">
        <v>2499</v>
      </c>
      <c r="F3488" s="79"/>
    </row>
    <row r="3489" spans="1:7">
      <c r="A3489" s="77">
        <f t="shared" ca="1" si="302"/>
        <v>46013</v>
      </c>
      <c r="B3489" s="80">
        <f t="shared" ca="1" si="303"/>
        <v>46013.521770486113</v>
      </c>
      <c r="C3489" s="76" t="s">
        <v>593</v>
      </c>
      <c r="D3489" s="210" t="s">
        <v>922</v>
      </c>
      <c r="E3489" s="79"/>
      <c r="F3489" s="79"/>
      <c r="G3489" s="76" t="s">
        <v>2500</v>
      </c>
    </row>
    <row r="3490" spans="1:7">
      <c r="A3490" s="77">
        <f t="shared" ca="1" si="302"/>
        <v>46013</v>
      </c>
      <c r="B3490" s="80">
        <f t="shared" ca="1" si="303"/>
        <v>46013.526530902775</v>
      </c>
      <c r="C3490" s="76" t="s">
        <v>593</v>
      </c>
      <c r="D3490" s="210" t="s">
        <v>1098</v>
      </c>
      <c r="E3490" s="79"/>
      <c r="F3490" s="79"/>
      <c r="G3490" s="76" t="s">
        <v>2287</v>
      </c>
    </row>
    <row r="3491" spans="1:7">
      <c r="A3491" s="77">
        <f t="shared" ca="1" si="302"/>
        <v>46016</v>
      </c>
      <c r="B3491" s="80">
        <f t="shared" ca="1" si="303"/>
        <v>46016.193713541667</v>
      </c>
      <c r="C3491" s="76" t="s">
        <v>596</v>
      </c>
      <c r="D3491" s="210" t="s">
        <v>906</v>
      </c>
      <c r="E3491" s="79"/>
      <c r="F3491" s="79"/>
    </row>
    <row r="3492" spans="1:7">
      <c r="A3492" s="77">
        <f t="shared" ca="1" si="302"/>
        <v>46016</v>
      </c>
      <c r="B3492" s="80">
        <f t="shared" ca="1" si="303"/>
        <v>46016.255186574075</v>
      </c>
      <c r="C3492" s="76" t="s">
        <v>596</v>
      </c>
      <c r="D3492" s="76" t="s">
        <v>902</v>
      </c>
      <c r="E3492" s="79" t="s">
        <v>2501</v>
      </c>
      <c r="F3492" s="79"/>
    </row>
    <row r="3493" spans="1:7">
      <c r="A3493" s="77">
        <f t="shared" ca="1" si="302"/>
        <v>46016</v>
      </c>
      <c r="B3493" s="80">
        <f t="shared" ca="1" si="303"/>
        <v>46016.265708449071</v>
      </c>
      <c r="C3493" s="76" t="s">
        <v>596</v>
      </c>
      <c r="D3493" s="210" t="s">
        <v>909</v>
      </c>
      <c r="E3493" s="79"/>
      <c r="F3493" s="79"/>
    </row>
    <row r="3494" spans="1:7">
      <c r="A3494" s="77">
        <f t="shared" ref="A3494:A3505" ca="1" si="304">IF(C3494&lt;&gt;0,IF(A3494=0,TODAY(),A3494),)</f>
        <v>46016</v>
      </c>
      <c r="B3494" s="80">
        <f t="shared" ref="B3494:B3505" ca="1" si="305">IF(C3494&lt;&gt;0,IF(B3494=0,NOW(),B3494),)</f>
        <v>46016.26916423611</v>
      </c>
      <c r="C3494" s="76" t="s">
        <v>596</v>
      </c>
      <c r="D3494" s="76" t="s">
        <v>902</v>
      </c>
      <c r="E3494" s="79" t="s">
        <v>2502</v>
      </c>
      <c r="F3494" s="79"/>
    </row>
    <row r="3495" spans="1:7">
      <c r="A3495" s="77">
        <f t="shared" ca="1" si="304"/>
        <v>46016</v>
      </c>
      <c r="B3495" s="80">
        <f t="shared" ca="1" si="305"/>
        <v>46016.28148229167</v>
      </c>
      <c r="C3495" s="76" t="s">
        <v>596</v>
      </c>
      <c r="D3495" s="76" t="s">
        <v>902</v>
      </c>
      <c r="E3495" s="79" t="s">
        <v>2503</v>
      </c>
      <c r="F3495" s="79"/>
    </row>
    <row r="3496" spans="1:7">
      <c r="A3496" s="77">
        <f t="shared" ca="1" si="304"/>
        <v>46016</v>
      </c>
      <c r="B3496" s="80">
        <f t="shared" ca="1" si="305"/>
        <v>46016.293468402779</v>
      </c>
      <c r="C3496" s="76" t="s">
        <v>596</v>
      </c>
      <c r="D3496" s="76" t="s">
        <v>902</v>
      </c>
      <c r="E3496" s="79" t="s">
        <v>1001</v>
      </c>
      <c r="F3496" s="79"/>
    </row>
    <row r="3497" spans="1:7">
      <c r="A3497" s="77">
        <f t="shared" ca="1" si="304"/>
        <v>46016</v>
      </c>
      <c r="B3497" s="80">
        <f t="shared" ca="1" si="305"/>
        <v>46016.294319560184</v>
      </c>
      <c r="C3497" s="76" t="s">
        <v>596</v>
      </c>
      <c r="D3497" s="76" t="s">
        <v>902</v>
      </c>
      <c r="E3497" s="79" t="s">
        <v>2504</v>
      </c>
      <c r="F3497" s="79"/>
    </row>
    <row r="3498" spans="1:7">
      <c r="A3498" s="77">
        <f t="shared" ca="1" si="304"/>
        <v>46016</v>
      </c>
      <c r="B3498" s="80">
        <f t="shared" ca="1" si="305"/>
        <v>46016.306958333334</v>
      </c>
      <c r="C3498" s="76" t="s">
        <v>596</v>
      </c>
      <c r="D3498" s="76" t="s">
        <v>902</v>
      </c>
      <c r="E3498" s="79" t="s">
        <v>2505</v>
      </c>
      <c r="F3498" s="79"/>
    </row>
    <row r="3499" spans="1:7">
      <c r="A3499" s="77">
        <f t="shared" ca="1" si="304"/>
        <v>46016</v>
      </c>
      <c r="B3499" s="80">
        <f t="shared" ca="1" si="305"/>
        <v>46016.311107175927</v>
      </c>
      <c r="C3499" s="76" t="s">
        <v>596</v>
      </c>
      <c r="D3499" s="76" t="s">
        <v>902</v>
      </c>
      <c r="E3499" s="79" t="s">
        <v>2504</v>
      </c>
      <c r="F3499" s="79"/>
    </row>
    <row r="3500" spans="1:7">
      <c r="A3500" s="77">
        <f t="shared" ca="1" si="304"/>
        <v>46016</v>
      </c>
      <c r="B3500" s="80">
        <f t="shared" ca="1" si="305"/>
        <v>46016.313671875003</v>
      </c>
      <c r="C3500" s="76" t="s">
        <v>596</v>
      </c>
      <c r="D3500" s="76" t="s">
        <v>902</v>
      </c>
      <c r="E3500" s="79" t="s">
        <v>2506</v>
      </c>
      <c r="F3500" s="79"/>
    </row>
    <row r="3501" spans="1:7">
      <c r="A3501" s="77">
        <f t="shared" ca="1" si="304"/>
        <v>46016</v>
      </c>
      <c r="B3501" s="80">
        <f t="shared" ca="1" si="305"/>
        <v>46016.316106365739</v>
      </c>
      <c r="C3501" s="76" t="s">
        <v>596</v>
      </c>
      <c r="D3501" s="76" t="s">
        <v>902</v>
      </c>
      <c r="E3501" s="79" t="s">
        <v>2507</v>
      </c>
      <c r="F3501" s="79"/>
    </row>
    <row r="3502" spans="1:7">
      <c r="A3502" s="77">
        <f t="shared" ca="1" si="304"/>
        <v>46016</v>
      </c>
      <c r="B3502" s="80">
        <f t="shared" ca="1" si="305"/>
        <v>46016.337961342593</v>
      </c>
      <c r="C3502" s="76" t="s">
        <v>596</v>
      </c>
      <c r="D3502" s="76" t="s">
        <v>902</v>
      </c>
      <c r="E3502" s="79" t="s">
        <v>1001</v>
      </c>
      <c r="F3502" s="79"/>
    </row>
    <row r="3503" spans="1:7">
      <c r="A3503" s="77">
        <f t="shared" ca="1" si="304"/>
        <v>46016</v>
      </c>
      <c r="B3503" s="80">
        <f t="shared" ca="1" si="305"/>
        <v>46016.339057754631</v>
      </c>
      <c r="C3503" s="76" t="s">
        <v>596</v>
      </c>
      <c r="D3503" s="76" t="s">
        <v>902</v>
      </c>
      <c r="E3503" s="79" t="s">
        <v>2318</v>
      </c>
      <c r="F3503" s="79"/>
    </row>
    <row r="3504" spans="1:7">
      <c r="A3504" s="77">
        <f t="shared" ca="1" si="304"/>
        <v>46016</v>
      </c>
      <c r="B3504" s="80">
        <f t="shared" ca="1" si="305"/>
        <v>46016.340315162037</v>
      </c>
      <c r="C3504" s="76" t="s">
        <v>596</v>
      </c>
      <c r="D3504" s="76" t="s">
        <v>902</v>
      </c>
      <c r="E3504" s="79" t="s">
        <v>2508</v>
      </c>
      <c r="F3504" s="79"/>
    </row>
    <row r="3505" spans="1:7">
      <c r="A3505" s="77">
        <f t="shared" ca="1" si="304"/>
        <v>46016</v>
      </c>
      <c r="B3505" s="80">
        <f t="shared" ca="1" si="305"/>
        <v>46016.350369907406</v>
      </c>
      <c r="C3505" s="76" t="s">
        <v>596</v>
      </c>
      <c r="D3505" s="76" t="s">
        <v>902</v>
      </c>
      <c r="E3505" s="79" t="s">
        <v>2505</v>
      </c>
      <c r="F3505" s="79"/>
    </row>
    <row r="3506" spans="1:7">
      <c r="A3506" s="77">
        <f t="shared" ref="A3506:A3510" ca="1" si="306">IF(C3506&lt;&gt;0,IF(A3506=0,TODAY(),A3506),)</f>
        <v>46016</v>
      </c>
      <c r="B3506" s="80">
        <f t="shared" ref="B3506:B3520" ca="1" si="307">IF(C3506&lt;&gt;0,IF(B3506=0,NOW(),B3506),)</f>
        <v>46016.3735787037</v>
      </c>
      <c r="C3506" s="76" t="s">
        <v>596</v>
      </c>
      <c r="D3506" s="76" t="s">
        <v>902</v>
      </c>
      <c r="E3506" s="79" t="s">
        <v>1505</v>
      </c>
      <c r="F3506" s="79"/>
    </row>
    <row r="3507" spans="1:7">
      <c r="A3507" s="77">
        <f t="shared" ca="1" si="306"/>
        <v>46016</v>
      </c>
      <c r="B3507" s="80">
        <f t="shared" ca="1" si="307"/>
        <v>46016.376104282404</v>
      </c>
      <c r="C3507" s="76" t="s">
        <v>596</v>
      </c>
      <c r="D3507" s="76" t="s">
        <v>902</v>
      </c>
      <c r="E3507" s="79" t="s">
        <v>1505</v>
      </c>
      <c r="F3507" s="79"/>
    </row>
    <row r="3508" spans="1:7">
      <c r="A3508" s="77">
        <f t="shared" ca="1" si="306"/>
        <v>46016</v>
      </c>
      <c r="B3508" s="80">
        <f t="shared" ca="1" si="307"/>
        <v>46016.383805671299</v>
      </c>
      <c r="C3508" s="76" t="s">
        <v>596</v>
      </c>
      <c r="D3508" s="76" t="s">
        <v>902</v>
      </c>
      <c r="E3508" s="79" t="s">
        <v>2504</v>
      </c>
      <c r="F3508" s="79"/>
    </row>
    <row r="3509" spans="1:7">
      <c r="A3509" s="77">
        <f t="shared" ca="1" si="306"/>
        <v>46016</v>
      </c>
      <c r="B3509" s="80">
        <f t="shared" ca="1" si="307"/>
        <v>46016.391406134258</v>
      </c>
      <c r="C3509" s="76" t="s">
        <v>596</v>
      </c>
      <c r="D3509" s="76" t="s">
        <v>902</v>
      </c>
      <c r="E3509" s="79" t="s">
        <v>2000</v>
      </c>
      <c r="F3509" s="79"/>
    </row>
    <row r="3510" spans="1:7">
      <c r="A3510" s="77">
        <f t="shared" ca="1" si="306"/>
        <v>46016</v>
      </c>
      <c r="B3510" s="80">
        <f t="shared" ca="1" si="307"/>
        <v>46016.392630092596</v>
      </c>
      <c r="C3510" s="76" t="s">
        <v>596</v>
      </c>
      <c r="D3510" s="76" t="s">
        <v>902</v>
      </c>
      <c r="E3510" s="79" t="s">
        <v>2000</v>
      </c>
      <c r="F3510" s="79"/>
    </row>
    <row r="3511" spans="1:7">
      <c r="A3511" s="77">
        <f t="shared" ref="A3511:A3520" ca="1" si="308">IF(C3511&lt;&gt;0,IF(A3511=0,TODAY(),A3511),)</f>
        <v>46016</v>
      </c>
      <c r="B3511" s="80">
        <f t="shared" ca="1" si="307"/>
        <v>46016.395526851855</v>
      </c>
      <c r="C3511" s="76" t="s">
        <v>596</v>
      </c>
      <c r="D3511" s="76" t="s">
        <v>902</v>
      </c>
      <c r="E3511" s="79" t="s">
        <v>1505</v>
      </c>
      <c r="F3511" s="79"/>
    </row>
    <row r="3512" spans="1:7">
      <c r="A3512" s="77">
        <f t="shared" ca="1" si="308"/>
        <v>46016</v>
      </c>
      <c r="B3512" s="80">
        <f t="shared" ca="1" si="307"/>
        <v>46016.396177893519</v>
      </c>
      <c r="C3512" s="76" t="s">
        <v>596</v>
      </c>
      <c r="D3512" s="76" t="s">
        <v>902</v>
      </c>
      <c r="E3512" s="79" t="s">
        <v>2000</v>
      </c>
      <c r="F3512" s="79"/>
      <c r="G3512" s="76" t="s">
        <v>2509</v>
      </c>
    </row>
    <row r="3513" spans="1:7">
      <c r="A3513" s="77">
        <f t="shared" ca="1" si="308"/>
        <v>46016</v>
      </c>
      <c r="B3513" s="80">
        <f t="shared" ca="1" si="307"/>
        <v>46016.401100347219</v>
      </c>
      <c r="C3513" s="76" t="s">
        <v>596</v>
      </c>
      <c r="D3513" s="76" t="s">
        <v>902</v>
      </c>
      <c r="E3513" s="79" t="s">
        <v>2000</v>
      </c>
      <c r="F3513" s="79"/>
    </row>
    <row r="3514" spans="1:7">
      <c r="A3514" s="77">
        <f t="shared" ca="1" si="308"/>
        <v>46016</v>
      </c>
      <c r="B3514" s="80">
        <f t="shared" ca="1" si="307"/>
        <v>46016.40182939815</v>
      </c>
      <c r="C3514" s="76" t="s">
        <v>596</v>
      </c>
      <c r="D3514" s="210" t="s">
        <v>922</v>
      </c>
      <c r="E3514" s="79"/>
      <c r="F3514" s="79"/>
    </row>
    <row r="3515" spans="1:7">
      <c r="A3515" s="77">
        <f t="shared" ca="1" si="308"/>
        <v>46016</v>
      </c>
      <c r="B3515" s="80">
        <f t="shared" ca="1" si="307"/>
        <v>46016.410022569442</v>
      </c>
      <c r="C3515" s="76" t="s">
        <v>596</v>
      </c>
      <c r="D3515" s="210" t="s">
        <v>1098</v>
      </c>
      <c r="E3515" s="79"/>
      <c r="F3515" s="79"/>
    </row>
    <row r="3516" spans="1:7">
      <c r="A3516" s="77">
        <f t="shared" ca="1" si="308"/>
        <v>46016</v>
      </c>
      <c r="B3516" s="80">
        <f t="shared" ca="1" si="307"/>
        <v>46016.470379282408</v>
      </c>
      <c r="C3516" s="76" t="s">
        <v>599</v>
      </c>
      <c r="D3516" s="210" t="s">
        <v>906</v>
      </c>
      <c r="E3516" s="79"/>
      <c r="F3516" s="79"/>
      <c r="G3516" s="76" t="s">
        <v>2485</v>
      </c>
    </row>
    <row r="3517" spans="1:7">
      <c r="A3517" s="77">
        <f t="shared" ca="1" si="308"/>
        <v>46016</v>
      </c>
      <c r="B3517" s="80">
        <f t="shared" ca="1" si="307"/>
        <v>46016.472424884261</v>
      </c>
      <c r="C3517" s="76" t="s">
        <v>599</v>
      </c>
      <c r="D3517" s="210" t="s">
        <v>909</v>
      </c>
      <c r="E3517" s="79"/>
      <c r="F3517" s="79"/>
    </row>
    <row r="3518" spans="1:7">
      <c r="A3518" s="77">
        <f t="shared" ca="1" si="308"/>
        <v>46016</v>
      </c>
      <c r="B3518" s="80">
        <f t="shared" ca="1" si="307"/>
        <v>46016.47685648148</v>
      </c>
      <c r="C3518" s="76" t="s">
        <v>599</v>
      </c>
      <c r="D3518" s="76" t="s">
        <v>902</v>
      </c>
      <c r="E3518" s="79" t="s">
        <v>2000</v>
      </c>
      <c r="F3518" s="79"/>
    </row>
    <row r="3519" spans="1:7">
      <c r="A3519" s="77">
        <f t="shared" ca="1" si="308"/>
        <v>46016</v>
      </c>
      <c r="B3519" s="80">
        <f t="shared" ca="1" si="307"/>
        <v>46016.478174537035</v>
      </c>
      <c r="C3519" s="76" t="s">
        <v>599</v>
      </c>
      <c r="D3519" s="76" t="s">
        <v>902</v>
      </c>
      <c r="E3519" s="79" t="s">
        <v>1784</v>
      </c>
      <c r="F3519" s="79"/>
    </row>
    <row r="3520" spans="1:7">
      <c r="A3520" s="77">
        <f t="shared" ca="1" si="308"/>
        <v>46016</v>
      </c>
      <c r="B3520" s="80">
        <f t="shared" ca="1" si="307"/>
        <v>46016.479295949073</v>
      </c>
      <c r="C3520" s="76" t="s">
        <v>599</v>
      </c>
      <c r="D3520" s="76" t="s">
        <v>902</v>
      </c>
      <c r="E3520" s="79" t="s">
        <v>1784</v>
      </c>
      <c r="F3520" s="79"/>
    </row>
    <row r="3521" spans="1:6">
      <c r="A3521" s="77">
        <f t="shared" ref="A3521:A3549" ca="1" si="309">IF(C3521&lt;&gt;0,IF(A3521=0,TODAY(),A3521),)</f>
        <v>46016</v>
      </c>
      <c r="B3521" s="80">
        <f t="shared" ref="B3521:B3535" ca="1" si="310">IF(C3521&lt;&gt;0,IF(B3521=0,NOW(),B3521),)</f>
        <v>46016.489258449074</v>
      </c>
      <c r="C3521" s="76" t="s">
        <v>599</v>
      </c>
      <c r="D3521" s="76" t="s">
        <v>902</v>
      </c>
      <c r="E3521" s="79" t="s">
        <v>1424</v>
      </c>
      <c r="F3521" s="79"/>
    </row>
    <row r="3522" spans="1:6">
      <c r="A3522" s="77">
        <f t="shared" ca="1" si="309"/>
        <v>46016</v>
      </c>
      <c r="B3522" s="80">
        <f t="shared" ca="1" si="310"/>
        <v>46016.497144444445</v>
      </c>
      <c r="C3522" s="76" t="s">
        <v>599</v>
      </c>
      <c r="D3522" s="76" t="s">
        <v>902</v>
      </c>
      <c r="E3522" s="79" t="s">
        <v>2000</v>
      </c>
      <c r="F3522" s="79"/>
    </row>
    <row r="3523" spans="1:6">
      <c r="A3523" s="77">
        <f t="shared" ca="1" si="309"/>
        <v>46016</v>
      </c>
      <c r="B3523" s="80">
        <f t="shared" ca="1" si="310"/>
        <v>46016.502698958335</v>
      </c>
      <c r="C3523" s="76" t="s">
        <v>599</v>
      </c>
      <c r="D3523" s="76" t="s">
        <v>902</v>
      </c>
      <c r="E3523" s="79" t="s">
        <v>2510</v>
      </c>
      <c r="F3523" s="79"/>
    </row>
    <row r="3524" spans="1:6">
      <c r="A3524" s="77">
        <f t="shared" ca="1" si="309"/>
        <v>46016</v>
      </c>
      <c r="B3524" s="80">
        <f t="shared" ca="1" si="310"/>
        <v>46016.506070254633</v>
      </c>
      <c r="C3524" s="76" t="s">
        <v>599</v>
      </c>
      <c r="D3524" s="76" t="s">
        <v>902</v>
      </c>
      <c r="E3524" s="79" t="s">
        <v>2000</v>
      </c>
      <c r="F3524" s="79"/>
    </row>
    <row r="3525" spans="1:6">
      <c r="A3525" s="77">
        <f t="shared" ca="1" si="309"/>
        <v>46016</v>
      </c>
      <c r="B3525" s="80">
        <f t="shared" ca="1" si="310"/>
        <v>46016.51037152778</v>
      </c>
      <c r="C3525" s="76" t="s">
        <v>599</v>
      </c>
      <c r="D3525" s="76" t="s">
        <v>902</v>
      </c>
      <c r="E3525" s="79" t="s">
        <v>2510</v>
      </c>
      <c r="F3525" s="79"/>
    </row>
    <row r="3526" spans="1:6">
      <c r="A3526" s="77">
        <f t="shared" ca="1" si="309"/>
        <v>46016</v>
      </c>
      <c r="B3526" s="80">
        <f t="shared" ca="1" si="310"/>
        <v>46016.511696064816</v>
      </c>
      <c r="C3526" s="76" t="s">
        <v>599</v>
      </c>
      <c r="D3526" s="76" t="s">
        <v>902</v>
      </c>
      <c r="E3526" s="79" t="s">
        <v>2511</v>
      </c>
      <c r="F3526" s="79"/>
    </row>
    <row r="3527" spans="1:6">
      <c r="A3527" s="77">
        <f t="shared" ca="1" si="309"/>
        <v>46016</v>
      </c>
      <c r="B3527" s="80">
        <f t="shared" ca="1" si="310"/>
        <v>46016.514488310182</v>
      </c>
      <c r="C3527" s="76" t="s">
        <v>599</v>
      </c>
      <c r="D3527" s="76" t="s">
        <v>902</v>
      </c>
      <c r="E3527" s="79" t="s">
        <v>932</v>
      </c>
      <c r="F3527" s="79"/>
    </row>
    <row r="3528" spans="1:6">
      <c r="A3528" s="77">
        <f t="shared" ca="1" si="309"/>
        <v>46016</v>
      </c>
      <c r="B3528" s="80">
        <f t="shared" ca="1" si="310"/>
        <v>46016.521697916665</v>
      </c>
      <c r="C3528" s="76" t="s">
        <v>599</v>
      </c>
      <c r="D3528" s="76" t="s">
        <v>902</v>
      </c>
      <c r="E3528" s="79" t="s">
        <v>1784</v>
      </c>
      <c r="F3528" s="79"/>
    </row>
    <row r="3529" spans="1:6">
      <c r="A3529" s="77">
        <f t="shared" ca="1" si="309"/>
        <v>46016</v>
      </c>
      <c r="B3529" s="80">
        <f t="shared" ca="1" si="310"/>
        <v>46016.522749537035</v>
      </c>
      <c r="C3529" s="76" t="s">
        <v>599</v>
      </c>
      <c r="D3529" s="76" t="s">
        <v>902</v>
      </c>
      <c r="E3529" s="79" t="s">
        <v>932</v>
      </c>
      <c r="F3529" s="79"/>
    </row>
    <row r="3530" spans="1:6">
      <c r="A3530" s="77">
        <f t="shared" ca="1" si="309"/>
        <v>46016</v>
      </c>
      <c r="B3530" s="80">
        <f t="shared" ca="1" si="310"/>
        <v>46016.529486226849</v>
      </c>
      <c r="C3530" s="76" t="s">
        <v>599</v>
      </c>
      <c r="D3530" s="76" t="s">
        <v>902</v>
      </c>
      <c r="E3530" s="79" t="s">
        <v>2512</v>
      </c>
      <c r="F3530" s="79"/>
    </row>
    <row r="3531" spans="1:6">
      <c r="A3531" s="77">
        <f t="shared" ca="1" si="309"/>
        <v>46016</v>
      </c>
      <c r="B3531" s="80">
        <f t="shared" ca="1" si="310"/>
        <v>46016.531389814816</v>
      </c>
      <c r="C3531" s="76" t="s">
        <v>599</v>
      </c>
      <c r="D3531" s="76" t="s">
        <v>902</v>
      </c>
      <c r="E3531" s="79" t="s">
        <v>2513</v>
      </c>
      <c r="F3531" s="79"/>
    </row>
    <row r="3532" spans="1:6">
      <c r="A3532" s="77">
        <f t="shared" ca="1" si="309"/>
        <v>46016</v>
      </c>
      <c r="B3532" s="80">
        <f t="shared" ca="1" si="310"/>
        <v>46016.537821296297</v>
      </c>
      <c r="C3532" s="76" t="s">
        <v>599</v>
      </c>
      <c r="D3532" s="76" t="s">
        <v>902</v>
      </c>
      <c r="E3532" s="79" t="s">
        <v>932</v>
      </c>
      <c r="F3532" s="79"/>
    </row>
    <row r="3533" spans="1:6">
      <c r="A3533" s="77">
        <f t="shared" ca="1" si="309"/>
        <v>46016</v>
      </c>
      <c r="B3533" s="80">
        <f t="shared" ca="1" si="310"/>
        <v>46016.53868622685</v>
      </c>
      <c r="C3533" s="76" t="s">
        <v>599</v>
      </c>
      <c r="D3533" s="76" t="s">
        <v>902</v>
      </c>
      <c r="E3533" s="79" t="s">
        <v>1429</v>
      </c>
      <c r="F3533" s="79"/>
    </row>
    <row r="3534" spans="1:6">
      <c r="A3534" s="77">
        <f t="shared" ca="1" si="309"/>
        <v>46016</v>
      </c>
      <c r="B3534" s="80">
        <f t="shared" ca="1" si="310"/>
        <v>46016.542930671298</v>
      </c>
      <c r="C3534" s="76" t="s">
        <v>599</v>
      </c>
      <c r="D3534" s="76" t="s">
        <v>902</v>
      </c>
      <c r="E3534" s="29" t="s">
        <v>2510</v>
      </c>
      <c r="F3534" s="79"/>
    </row>
    <row r="3535" spans="1:6">
      <c r="A3535" s="77">
        <f t="shared" ca="1" si="309"/>
        <v>46016</v>
      </c>
      <c r="B3535" s="80">
        <f t="shared" ca="1" si="310"/>
        <v>46016.544207523148</v>
      </c>
      <c r="C3535" s="76" t="s">
        <v>599</v>
      </c>
      <c r="D3535" s="76" t="s">
        <v>902</v>
      </c>
      <c r="E3535" s="90" t="s">
        <v>2514</v>
      </c>
      <c r="F3535" s="79"/>
    </row>
    <row r="3536" spans="1:6">
      <c r="A3536" s="77">
        <f t="shared" ca="1" si="309"/>
        <v>46016</v>
      </c>
      <c r="B3536" s="80">
        <v>0.58472222222222225</v>
      </c>
      <c r="C3536" s="76" t="s">
        <v>599</v>
      </c>
      <c r="D3536" s="210" t="s">
        <v>1098</v>
      </c>
      <c r="E3536" s="90"/>
      <c r="F3536" s="79"/>
    </row>
    <row r="3537" spans="1:6">
      <c r="A3537" s="77">
        <f t="shared" ca="1" si="309"/>
        <v>46016</v>
      </c>
      <c r="B3537" s="80">
        <v>0.61250000000000004</v>
      </c>
      <c r="C3537" s="76" t="s">
        <v>599</v>
      </c>
      <c r="D3537" s="210" t="s">
        <v>906</v>
      </c>
      <c r="E3537" s="90"/>
      <c r="F3537" s="79"/>
    </row>
    <row r="3538" spans="1:6">
      <c r="A3538" s="77">
        <f t="shared" ca="1" si="309"/>
        <v>46016</v>
      </c>
      <c r="B3538" s="80">
        <f t="shared" ref="B3538:B3549" ca="1" si="311">IF(C3538&lt;&gt;0,IF(B3538=0,NOW(),B3538),)</f>
        <v>46016.655532291668</v>
      </c>
      <c r="C3538" s="76" t="s">
        <v>599</v>
      </c>
      <c r="D3538" s="210" t="s">
        <v>909</v>
      </c>
      <c r="E3538" s="90"/>
      <c r="F3538" s="79"/>
    </row>
    <row r="3539" spans="1:6">
      <c r="A3539" s="77">
        <f t="shared" ca="1" si="309"/>
        <v>46016</v>
      </c>
      <c r="B3539" s="80">
        <f t="shared" ca="1" si="311"/>
        <v>46016.673970949072</v>
      </c>
      <c r="C3539" s="76" t="s">
        <v>599</v>
      </c>
      <c r="D3539" s="76" t="s">
        <v>902</v>
      </c>
      <c r="E3539" s="90" t="s">
        <v>942</v>
      </c>
      <c r="F3539" s="79"/>
    </row>
    <row r="3540" spans="1:6">
      <c r="A3540" s="77">
        <f t="shared" ca="1" si="309"/>
        <v>46016</v>
      </c>
      <c r="B3540" s="80">
        <f t="shared" ca="1" si="311"/>
        <v>46016.676492129627</v>
      </c>
      <c r="C3540" s="76" t="s">
        <v>599</v>
      </c>
      <c r="D3540" s="76" t="s">
        <v>902</v>
      </c>
      <c r="E3540" s="90" t="s">
        <v>1505</v>
      </c>
      <c r="F3540" s="79"/>
    </row>
    <row r="3541" spans="1:6">
      <c r="A3541" s="77">
        <f t="shared" ca="1" si="309"/>
        <v>46016</v>
      </c>
      <c r="B3541" s="80">
        <f t="shared" ca="1" si="311"/>
        <v>46016.677609837963</v>
      </c>
      <c r="C3541" s="76" t="s">
        <v>599</v>
      </c>
      <c r="D3541" s="76" t="s">
        <v>902</v>
      </c>
      <c r="E3541" s="90" t="s">
        <v>2349</v>
      </c>
      <c r="F3541" s="79"/>
    </row>
    <row r="3542" spans="1:6">
      <c r="A3542" s="77">
        <f t="shared" ca="1" si="309"/>
        <v>46016</v>
      </c>
      <c r="B3542" s="80">
        <f t="shared" ca="1" si="311"/>
        <v>46016.736437500003</v>
      </c>
      <c r="C3542" s="76" t="s">
        <v>599</v>
      </c>
      <c r="D3542" s="76" t="s">
        <v>902</v>
      </c>
      <c r="E3542" s="90" t="s">
        <v>1583</v>
      </c>
      <c r="F3542" s="79"/>
    </row>
    <row r="3543" spans="1:6">
      <c r="A3543" s="77">
        <f t="shared" ca="1" si="309"/>
        <v>46016</v>
      </c>
      <c r="B3543" s="80">
        <f t="shared" ca="1" si="311"/>
        <v>46016.740747800926</v>
      </c>
      <c r="C3543" s="76" t="s">
        <v>599</v>
      </c>
      <c r="D3543" s="150" t="s">
        <v>1007</v>
      </c>
      <c r="E3543" s="90" t="s">
        <v>2515</v>
      </c>
      <c r="F3543" s="79"/>
    </row>
    <row r="3544" spans="1:6">
      <c r="A3544" s="77">
        <f t="shared" ca="1" si="309"/>
        <v>46016</v>
      </c>
      <c r="B3544" s="80">
        <f t="shared" ca="1" si="311"/>
        <v>46016.743053356484</v>
      </c>
      <c r="C3544" s="76" t="s">
        <v>599</v>
      </c>
      <c r="D3544" s="150" t="s">
        <v>1070</v>
      </c>
      <c r="E3544" s="90"/>
      <c r="F3544" s="79"/>
    </row>
    <row r="3545" spans="1:6">
      <c r="A3545" s="77">
        <f t="shared" ca="1" si="309"/>
        <v>46016</v>
      </c>
      <c r="B3545" s="80">
        <f t="shared" ca="1" si="311"/>
        <v>46016.743899189816</v>
      </c>
      <c r="C3545" s="76" t="s">
        <v>599</v>
      </c>
      <c r="D3545" s="210" t="s">
        <v>922</v>
      </c>
      <c r="E3545" s="90"/>
      <c r="F3545" s="79"/>
    </row>
    <row r="3546" spans="1:6">
      <c r="A3546" s="77">
        <f t="shared" ca="1" si="309"/>
        <v>46016</v>
      </c>
      <c r="B3546" s="80">
        <f t="shared" ca="1" si="311"/>
        <v>46016.749100231478</v>
      </c>
      <c r="C3546" s="76" t="s">
        <v>599</v>
      </c>
      <c r="D3546" s="210" t="s">
        <v>1098</v>
      </c>
      <c r="E3546" s="90" t="s">
        <v>2516</v>
      </c>
      <c r="F3546" s="79"/>
    </row>
    <row r="3547" spans="1:6">
      <c r="A3547" s="77">
        <f t="shared" ca="1" si="309"/>
        <v>46016</v>
      </c>
      <c r="B3547" s="80">
        <f t="shared" ca="1" si="311"/>
        <v>46016.788440972225</v>
      </c>
      <c r="C3547" s="76" t="s">
        <v>601</v>
      </c>
      <c r="D3547" s="210" t="s">
        <v>906</v>
      </c>
      <c r="E3547" s="79" t="s">
        <v>2517</v>
      </c>
      <c r="F3547" s="79"/>
    </row>
    <row r="3548" spans="1:6">
      <c r="A3548" s="77">
        <f t="shared" ca="1" si="309"/>
        <v>46016</v>
      </c>
      <c r="B3548" s="80">
        <f t="shared" ca="1" si="311"/>
        <v>46016.795923726851</v>
      </c>
      <c r="C3548" s="76" t="s">
        <v>601</v>
      </c>
      <c r="D3548" s="210" t="s">
        <v>909</v>
      </c>
      <c r="E3548" s="79"/>
      <c r="F3548" s="79"/>
    </row>
    <row r="3549" spans="1:6">
      <c r="A3549" s="77">
        <f t="shared" ca="1" si="309"/>
        <v>46016</v>
      </c>
      <c r="B3549" s="80">
        <f t="shared" ca="1" si="311"/>
        <v>46016.799311458337</v>
      </c>
      <c r="C3549" s="76" t="s">
        <v>601</v>
      </c>
      <c r="D3549" s="76" t="s">
        <v>902</v>
      </c>
      <c r="E3549" s="79" t="s">
        <v>2071</v>
      </c>
      <c r="F3549" s="79"/>
    </row>
    <row r="3550" spans="1:6">
      <c r="A3550" s="77">
        <f t="shared" ref="A3550:A3560" ca="1" si="312">IF(C3550&lt;&gt;0,IF(A3550=0,TODAY(),A3550),)</f>
        <v>46016</v>
      </c>
      <c r="B3550" s="80">
        <f t="shared" ref="B3550:B3560" ca="1" si="313">IF(C3550&lt;&gt;0,IF(B3550=0,NOW(),B3550),)</f>
        <v>46016.802190393515</v>
      </c>
      <c r="C3550" s="76" t="s">
        <v>601</v>
      </c>
      <c r="D3550" s="76" t="s">
        <v>902</v>
      </c>
      <c r="E3550" s="79" t="s">
        <v>2507</v>
      </c>
      <c r="F3550" s="79"/>
    </row>
    <row r="3551" spans="1:6">
      <c r="A3551" s="77">
        <f t="shared" ca="1" si="312"/>
        <v>46016</v>
      </c>
      <c r="B3551" s="80">
        <f t="shared" ca="1" si="313"/>
        <v>46016.803924884262</v>
      </c>
      <c r="C3551" s="76" t="s">
        <v>601</v>
      </c>
      <c r="D3551" s="76" t="s">
        <v>902</v>
      </c>
      <c r="E3551" s="79" t="s">
        <v>913</v>
      </c>
      <c r="F3551" s="79"/>
    </row>
    <row r="3552" spans="1:6">
      <c r="A3552" s="77">
        <f t="shared" ca="1" si="312"/>
        <v>46016</v>
      </c>
      <c r="B3552" s="80">
        <f t="shared" ca="1" si="313"/>
        <v>46016.80570138889</v>
      </c>
      <c r="C3552" s="76" t="s">
        <v>601</v>
      </c>
      <c r="D3552" s="76" t="s">
        <v>902</v>
      </c>
      <c r="E3552" s="79" t="s">
        <v>2357</v>
      </c>
      <c r="F3552" s="79"/>
    </row>
    <row r="3553" spans="1:7">
      <c r="A3553" s="77">
        <f t="shared" ca="1" si="312"/>
        <v>46016</v>
      </c>
      <c r="B3553" s="80">
        <f t="shared" ca="1" si="313"/>
        <v>46016.806961458336</v>
      </c>
      <c r="C3553" s="76" t="s">
        <v>601</v>
      </c>
      <c r="D3553" s="76" t="s">
        <v>902</v>
      </c>
      <c r="E3553" s="79" t="s">
        <v>2282</v>
      </c>
      <c r="F3553" s="79"/>
    </row>
    <row r="3554" spans="1:7">
      <c r="A3554" s="77">
        <f t="shared" ca="1" si="312"/>
        <v>46016</v>
      </c>
      <c r="B3554" s="80">
        <f t="shared" ca="1" si="313"/>
        <v>46016.808171412034</v>
      </c>
      <c r="C3554" s="76" t="s">
        <v>601</v>
      </c>
      <c r="D3554" s="76" t="s">
        <v>902</v>
      </c>
      <c r="E3554" s="79" t="s">
        <v>2000</v>
      </c>
      <c r="F3554" s="79"/>
    </row>
    <row r="3555" spans="1:7">
      <c r="A3555" s="77">
        <f t="shared" ca="1" si="312"/>
        <v>46016</v>
      </c>
      <c r="B3555" s="80">
        <f t="shared" ca="1" si="313"/>
        <v>46016.810299652781</v>
      </c>
      <c r="C3555" s="76" t="s">
        <v>601</v>
      </c>
      <c r="D3555" s="76" t="s">
        <v>902</v>
      </c>
      <c r="E3555" s="79" t="s">
        <v>2518</v>
      </c>
      <c r="F3555" s="79"/>
    </row>
    <row r="3556" spans="1:7">
      <c r="A3556" s="77">
        <f t="shared" ca="1" si="312"/>
        <v>46016</v>
      </c>
      <c r="B3556" s="80">
        <f t="shared" ca="1" si="313"/>
        <v>46016.814068634259</v>
      </c>
      <c r="C3556" s="76" t="s">
        <v>601</v>
      </c>
      <c r="D3556" s="76" t="s">
        <v>902</v>
      </c>
      <c r="E3556" s="79" t="s">
        <v>2519</v>
      </c>
      <c r="F3556" s="79"/>
    </row>
    <row r="3557" spans="1:7">
      <c r="A3557" s="77">
        <f t="shared" ca="1" si="312"/>
        <v>46016</v>
      </c>
      <c r="B3557" s="80">
        <f t="shared" ca="1" si="313"/>
        <v>46016.816273032404</v>
      </c>
      <c r="C3557" s="76" t="s">
        <v>601</v>
      </c>
      <c r="D3557" s="76" t="s">
        <v>902</v>
      </c>
      <c r="E3557" s="79" t="s">
        <v>2000</v>
      </c>
      <c r="F3557" s="79"/>
      <c r="G3557" s="76" t="s">
        <v>2520</v>
      </c>
    </row>
    <row r="3558" spans="1:7">
      <c r="A3558" s="77">
        <f t="shared" ca="1" si="312"/>
        <v>46016</v>
      </c>
      <c r="B3558" s="80">
        <f t="shared" ca="1" si="313"/>
        <v>46016.816781712965</v>
      </c>
      <c r="C3558" s="76" t="s">
        <v>601</v>
      </c>
      <c r="D3558" s="76" t="s">
        <v>902</v>
      </c>
      <c r="E3558" s="79" t="s">
        <v>2000</v>
      </c>
      <c r="F3558" s="79"/>
    </row>
    <row r="3559" spans="1:7">
      <c r="A3559" s="77">
        <f t="shared" ca="1" si="312"/>
        <v>46016</v>
      </c>
      <c r="B3559" s="80">
        <f t="shared" ca="1" si="313"/>
        <v>46016.82017175926</v>
      </c>
      <c r="C3559" s="76" t="s">
        <v>601</v>
      </c>
      <c r="D3559" s="76" t="s">
        <v>902</v>
      </c>
      <c r="E3559" s="79" t="s">
        <v>2000</v>
      </c>
      <c r="F3559" s="79"/>
    </row>
    <row r="3560" spans="1:7">
      <c r="A3560" s="77">
        <f t="shared" ca="1" si="312"/>
        <v>46016</v>
      </c>
      <c r="B3560" s="80">
        <f t="shared" ca="1" si="313"/>
        <v>46016.823378703702</v>
      </c>
      <c r="C3560" s="76" t="s">
        <v>601</v>
      </c>
      <c r="D3560" s="76" t="s">
        <v>902</v>
      </c>
      <c r="E3560" s="79" t="s">
        <v>2521</v>
      </c>
      <c r="F3560" s="79"/>
    </row>
    <row r="3561" spans="1:7">
      <c r="A3561" s="77">
        <f t="shared" ref="A3561:A3567" ca="1" si="314">IF(C3561&lt;&gt;0,IF(A3561=0,TODAY(),A3561),)</f>
        <v>46016</v>
      </c>
      <c r="B3561" s="80">
        <f t="shared" ref="B3561:B3567" ca="1" si="315">IF(C3561&lt;&gt;0,IF(B3561=0,NOW(),B3561),)</f>
        <v>46016.825648379629</v>
      </c>
      <c r="C3561" s="76" t="s">
        <v>601</v>
      </c>
      <c r="D3561" s="76" t="s">
        <v>902</v>
      </c>
      <c r="E3561" s="79" t="s">
        <v>2282</v>
      </c>
      <c r="F3561" s="79"/>
    </row>
    <row r="3562" spans="1:7">
      <c r="A3562" s="77">
        <f t="shared" ca="1" si="314"/>
        <v>46016</v>
      </c>
      <c r="B3562" s="80">
        <f t="shared" ca="1" si="315"/>
        <v>46016.828504745368</v>
      </c>
      <c r="C3562" s="76" t="s">
        <v>601</v>
      </c>
      <c r="D3562" s="76" t="s">
        <v>902</v>
      </c>
      <c r="E3562" s="79" t="s">
        <v>2522</v>
      </c>
      <c r="F3562" s="79"/>
    </row>
    <row r="3563" spans="1:7">
      <c r="A3563" s="77">
        <f t="shared" ca="1" si="314"/>
        <v>46016</v>
      </c>
      <c r="B3563" s="80">
        <f t="shared" ca="1" si="315"/>
        <v>46016.846172569443</v>
      </c>
      <c r="C3563" s="76" t="s">
        <v>601</v>
      </c>
      <c r="D3563" s="76" t="s">
        <v>902</v>
      </c>
      <c r="E3563" s="79" t="s">
        <v>1948</v>
      </c>
      <c r="F3563" s="79"/>
    </row>
    <row r="3564" spans="1:7">
      <c r="A3564" s="77">
        <f t="shared" ca="1" si="314"/>
        <v>46016</v>
      </c>
      <c r="B3564" s="80">
        <f t="shared" ca="1" si="315"/>
        <v>46016.848559606478</v>
      </c>
      <c r="C3564" s="76" t="s">
        <v>601</v>
      </c>
      <c r="D3564" s="76" t="s">
        <v>902</v>
      </c>
      <c r="E3564" s="79" t="s">
        <v>2523</v>
      </c>
      <c r="F3564" s="79"/>
    </row>
    <row r="3565" spans="1:7">
      <c r="A3565" s="77">
        <f t="shared" ca="1" si="314"/>
        <v>46016</v>
      </c>
      <c r="B3565" s="80">
        <f t="shared" ca="1" si="315"/>
        <v>46016.890927199071</v>
      </c>
      <c r="C3565" s="76" t="s">
        <v>601</v>
      </c>
      <c r="D3565" s="76" t="s">
        <v>902</v>
      </c>
      <c r="E3565" s="79" t="s">
        <v>2524</v>
      </c>
      <c r="F3565" s="79"/>
    </row>
    <row r="3566" spans="1:7">
      <c r="A3566" s="77">
        <f t="shared" ca="1" si="314"/>
        <v>46016</v>
      </c>
      <c r="B3566" s="80">
        <f t="shared" ca="1" si="315"/>
        <v>46016.893294907408</v>
      </c>
      <c r="C3566" s="76" t="s">
        <v>601</v>
      </c>
      <c r="D3566" s="76" t="s">
        <v>902</v>
      </c>
      <c r="E3566" s="79" t="s">
        <v>1948</v>
      </c>
      <c r="F3566" s="79"/>
    </row>
    <row r="3567" spans="1:7">
      <c r="A3567" s="77">
        <f t="shared" ca="1" si="314"/>
        <v>46016</v>
      </c>
      <c r="B3567" s="80">
        <f t="shared" ca="1" si="315"/>
        <v>46016.896660532409</v>
      </c>
      <c r="C3567" s="76" t="s">
        <v>601</v>
      </c>
      <c r="D3567" s="76" t="s">
        <v>902</v>
      </c>
      <c r="E3567" s="79" t="s">
        <v>2357</v>
      </c>
      <c r="F3567" s="79"/>
    </row>
    <row r="3568" spans="1:7">
      <c r="A3568" s="77">
        <f t="shared" ref="A3568:A3572" ca="1" si="316">IF(C3568&lt;&gt;0,IF(A3568=0,TODAY(),A3568),)</f>
        <v>46016</v>
      </c>
      <c r="B3568" s="80">
        <f t="shared" ref="B3568:B3572" ca="1" si="317">IF(C3568&lt;&gt;0,IF(B3568=0,NOW(),B3568),)</f>
        <v>46016.902260648145</v>
      </c>
      <c r="C3568" s="76" t="s">
        <v>601</v>
      </c>
      <c r="D3568" s="76" t="s">
        <v>902</v>
      </c>
      <c r="E3568" s="79" t="s">
        <v>2525</v>
      </c>
      <c r="F3568" s="79"/>
    </row>
    <row r="3569" spans="1:6">
      <c r="A3569" s="77">
        <f t="shared" ca="1" si="316"/>
        <v>46016</v>
      </c>
      <c r="B3569" s="80">
        <f t="shared" ca="1" si="317"/>
        <v>46016.903032870374</v>
      </c>
      <c r="C3569" s="76" t="s">
        <v>601</v>
      </c>
      <c r="D3569" s="76" t="s">
        <v>902</v>
      </c>
      <c r="E3569" s="79" t="s">
        <v>2282</v>
      </c>
      <c r="F3569" s="79"/>
    </row>
    <row r="3570" spans="1:6">
      <c r="A3570" s="77">
        <f t="shared" ca="1" si="316"/>
        <v>46016</v>
      </c>
      <c r="B3570" s="80">
        <f t="shared" ca="1" si="317"/>
        <v>46016.906646643518</v>
      </c>
      <c r="C3570" s="76" t="s">
        <v>601</v>
      </c>
      <c r="D3570" s="76" t="s">
        <v>902</v>
      </c>
      <c r="E3570" s="79" t="s">
        <v>2526</v>
      </c>
      <c r="F3570" s="79"/>
    </row>
    <row r="3571" spans="1:6">
      <c r="A3571" s="77">
        <f t="shared" ca="1" si="316"/>
        <v>46016</v>
      </c>
      <c r="B3571" s="80">
        <f t="shared" ca="1" si="317"/>
        <v>46016.931155092592</v>
      </c>
      <c r="C3571" s="76" t="s">
        <v>601</v>
      </c>
      <c r="D3571" s="150" t="s">
        <v>1007</v>
      </c>
      <c r="E3571" s="79" t="s">
        <v>2527</v>
      </c>
      <c r="F3571" s="79"/>
    </row>
    <row r="3572" spans="1:6">
      <c r="A3572" s="77">
        <f t="shared" ca="1" si="316"/>
        <v>46016</v>
      </c>
      <c r="B3572" s="80">
        <f t="shared" ca="1" si="317"/>
        <v>46016.933163194444</v>
      </c>
      <c r="C3572" s="76" t="s">
        <v>601</v>
      </c>
      <c r="D3572" s="76" t="s">
        <v>902</v>
      </c>
      <c r="E3572" s="79" t="s">
        <v>1711</v>
      </c>
      <c r="F3572" s="79"/>
    </row>
    <row r="3573" spans="1:6">
      <c r="A3573" s="77">
        <f t="shared" ref="A3573:A3576" ca="1" si="318">IF(C3573&lt;&gt;0,IF(A3573=0,TODAY(),A3573),)</f>
        <v>46016</v>
      </c>
      <c r="B3573" s="80">
        <f t="shared" ref="B3573:B3576" ca="1" si="319">IF(C3573&lt;&gt;0,IF(B3573=0,NOW(),B3573),)</f>
        <v>46016.939541666667</v>
      </c>
      <c r="C3573" s="76" t="s">
        <v>601</v>
      </c>
      <c r="D3573" s="76" t="s">
        <v>902</v>
      </c>
      <c r="E3573" s="79" t="s">
        <v>2528</v>
      </c>
      <c r="F3573" s="79"/>
    </row>
    <row r="3574" spans="1:6">
      <c r="A3574" s="77">
        <f t="shared" ca="1" si="318"/>
        <v>46016</v>
      </c>
      <c r="B3574" s="80">
        <f t="shared" ca="1" si="319"/>
        <v>46016.943060069447</v>
      </c>
      <c r="C3574" s="76" t="s">
        <v>601</v>
      </c>
      <c r="D3574" s="76" t="s">
        <v>902</v>
      </c>
      <c r="E3574" s="79" t="s">
        <v>2529</v>
      </c>
      <c r="F3574" s="79"/>
    </row>
    <row r="3575" spans="1:6">
      <c r="A3575" s="77">
        <f t="shared" ca="1" si="318"/>
        <v>46016</v>
      </c>
      <c r="B3575" s="80">
        <f t="shared" ca="1" si="319"/>
        <v>46016.951027546296</v>
      </c>
      <c r="C3575" s="76" t="s">
        <v>601</v>
      </c>
      <c r="D3575" s="76" t="s">
        <v>902</v>
      </c>
      <c r="E3575" s="79" t="s">
        <v>2530</v>
      </c>
      <c r="F3575" s="79"/>
    </row>
    <row r="3576" spans="1:6">
      <c r="A3576" s="77">
        <f t="shared" ca="1" si="318"/>
        <v>46016</v>
      </c>
      <c r="B3576" s="80">
        <f t="shared" ca="1" si="319"/>
        <v>46016.951857060187</v>
      </c>
      <c r="C3576" s="76" t="s">
        <v>601</v>
      </c>
      <c r="D3576" s="76" t="s">
        <v>902</v>
      </c>
      <c r="E3576" s="79" t="s">
        <v>2297</v>
      </c>
      <c r="F3576" s="79"/>
    </row>
    <row r="3577" spans="1:6">
      <c r="A3577" s="77">
        <f t="shared" ref="A3577:A3578" ca="1" si="320">IF(C3577&lt;&gt;0,IF(A3577=0,TODAY(),A3577),)</f>
        <v>46016</v>
      </c>
      <c r="B3577" s="80">
        <f t="shared" ref="B3577:B3578" ca="1" si="321">IF(C3577&lt;&gt;0,IF(B3577=0,NOW(),B3577),)</f>
        <v>46016.953085648151</v>
      </c>
      <c r="C3577" s="76" t="s">
        <v>601</v>
      </c>
      <c r="D3577" s="76" t="s">
        <v>902</v>
      </c>
      <c r="E3577" s="79" t="s">
        <v>2531</v>
      </c>
      <c r="F3577" s="79"/>
    </row>
    <row r="3578" spans="1:6">
      <c r="A3578" s="77">
        <f t="shared" ca="1" si="320"/>
        <v>46016</v>
      </c>
      <c r="B3578" s="80">
        <f t="shared" ca="1" si="321"/>
        <v>46016.953567245371</v>
      </c>
      <c r="C3578" s="76" t="s">
        <v>601</v>
      </c>
      <c r="D3578" s="76" t="s">
        <v>902</v>
      </c>
      <c r="E3578" s="79" t="s">
        <v>2529</v>
      </c>
      <c r="F3578" s="79"/>
    </row>
    <row r="3579" spans="1:6">
      <c r="A3579" s="77">
        <f t="shared" ref="A3579:A3585" ca="1" si="322">IF(C3579&lt;&gt;0,IF(A3579=0,TODAY(),A3579),)</f>
        <v>46016</v>
      </c>
      <c r="B3579" s="80">
        <f t="shared" ref="B3579:B3585" ca="1" si="323">IF(C3579&lt;&gt;0,IF(B3579=0,NOW(),B3579),)</f>
        <v>46016.956084722224</v>
      </c>
      <c r="C3579" s="76" t="s">
        <v>601</v>
      </c>
      <c r="D3579" s="76" t="s">
        <v>902</v>
      </c>
      <c r="E3579" s="79" t="s">
        <v>2529</v>
      </c>
      <c r="F3579" s="79"/>
    </row>
    <row r="3580" spans="1:6">
      <c r="A3580" s="77">
        <f t="shared" ca="1" si="322"/>
        <v>46016</v>
      </c>
      <c r="B3580" s="80">
        <f t="shared" ca="1" si="323"/>
        <v>46016.961343981478</v>
      </c>
      <c r="C3580" s="76" t="s">
        <v>601</v>
      </c>
      <c r="D3580" s="76" t="s">
        <v>902</v>
      </c>
      <c r="E3580" s="79" t="s">
        <v>2532</v>
      </c>
      <c r="F3580" s="79"/>
    </row>
    <row r="3581" spans="1:6">
      <c r="A3581" s="77">
        <f t="shared" ca="1" si="322"/>
        <v>46016</v>
      </c>
      <c r="B3581" s="80">
        <f t="shared" ca="1" si="323"/>
        <v>46016.965610879626</v>
      </c>
      <c r="C3581" s="76" t="s">
        <v>601</v>
      </c>
      <c r="D3581" s="76" t="s">
        <v>902</v>
      </c>
      <c r="E3581" s="79" t="s">
        <v>2387</v>
      </c>
      <c r="F3581" s="79"/>
    </row>
    <row r="3582" spans="1:6">
      <c r="A3582" s="77">
        <f t="shared" ca="1" si="322"/>
        <v>46016</v>
      </c>
      <c r="B3582" s="80">
        <f t="shared" ca="1" si="323"/>
        <v>46016.988240046296</v>
      </c>
      <c r="C3582" s="76" t="s">
        <v>601</v>
      </c>
      <c r="D3582" s="76" t="s">
        <v>902</v>
      </c>
      <c r="E3582" s="79" t="s">
        <v>2533</v>
      </c>
      <c r="F3582" s="79"/>
    </row>
    <row r="3583" spans="1:6">
      <c r="A3583" s="77">
        <f t="shared" ca="1" si="322"/>
        <v>46017</v>
      </c>
      <c r="B3583" s="80">
        <f t="shared" ca="1" si="323"/>
        <v>46017.002626504633</v>
      </c>
      <c r="C3583" s="76" t="s">
        <v>601</v>
      </c>
      <c r="D3583" s="76" t="s">
        <v>902</v>
      </c>
      <c r="E3583" s="79" t="s">
        <v>2282</v>
      </c>
      <c r="F3583" s="79"/>
    </row>
    <row r="3584" spans="1:6">
      <c r="A3584" s="77">
        <f t="shared" ca="1" si="322"/>
        <v>46017</v>
      </c>
      <c r="B3584" s="80">
        <f t="shared" ca="1" si="323"/>
        <v>46017.007568287037</v>
      </c>
      <c r="C3584" s="76" t="s">
        <v>601</v>
      </c>
      <c r="D3584" s="76" t="s">
        <v>902</v>
      </c>
      <c r="E3584" s="79" t="s">
        <v>1788</v>
      </c>
      <c r="F3584" s="79"/>
    </row>
    <row r="3585" spans="1:6">
      <c r="A3585" s="77">
        <f t="shared" ca="1" si="322"/>
        <v>46017</v>
      </c>
      <c r="B3585" s="80">
        <f t="shared" ca="1" si="323"/>
        <v>46017.009585648149</v>
      </c>
      <c r="C3585" s="76" t="s">
        <v>601</v>
      </c>
      <c r="D3585" s="76" t="s">
        <v>902</v>
      </c>
      <c r="E3585" s="79" t="s">
        <v>1992</v>
      </c>
      <c r="F3585" s="79"/>
    </row>
    <row r="3586" spans="1:6">
      <c r="A3586" s="77">
        <f t="shared" ref="A3586:A3591" ca="1" si="324">IF(C3586&lt;&gt;0,IF(A3586=0,TODAY(),A3586),)</f>
        <v>46017</v>
      </c>
      <c r="B3586" s="80">
        <f t="shared" ref="B3586:B3591" ca="1" si="325">IF(C3586&lt;&gt;0,IF(B3586=0,NOW(),B3586),)</f>
        <v>46017.009883564817</v>
      </c>
      <c r="C3586" s="76" t="s">
        <v>601</v>
      </c>
      <c r="D3586" s="76" t="s">
        <v>902</v>
      </c>
      <c r="E3586" s="79" t="s">
        <v>1001</v>
      </c>
      <c r="F3586" s="79"/>
    </row>
    <row r="3587" spans="1:6">
      <c r="A3587" s="77">
        <f t="shared" ca="1" si="324"/>
        <v>46017</v>
      </c>
      <c r="B3587" s="80">
        <f t="shared" ca="1" si="325"/>
        <v>46017.023247569443</v>
      </c>
      <c r="C3587" s="76" t="s">
        <v>601</v>
      </c>
      <c r="D3587" s="76" t="s">
        <v>902</v>
      </c>
      <c r="E3587" s="79" t="s">
        <v>1001</v>
      </c>
      <c r="F3587" s="79"/>
    </row>
    <row r="3588" spans="1:6">
      <c r="A3588" s="77">
        <f t="shared" ca="1" si="324"/>
        <v>46017</v>
      </c>
      <c r="B3588" s="80">
        <f t="shared" ca="1" si="325"/>
        <v>46017.032517129628</v>
      </c>
      <c r="C3588" s="76" t="s">
        <v>601</v>
      </c>
      <c r="D3588" s="150" t="s">
        <v>1007</v>
      </c>
      <c r="E3588" s="79" t="s">
        <v>2534</v>
      </c>
      <c r="F3588" s="79"/>
    </row>
    <row r="3589" spans="1:6">
      <c r="A3589" s="77">
        <f t="shared" ca="1" si="324"/>
        <v>46017</v>
      </c>
      <c r="B3589" s="80">
        <f t="shared" ca="1" si="325"/>
        <v>46017.038893750003</v>
      </c>
      <c r="C3589" s="76" t="s">
        <v>601</v>
      </c>
      <c r="D3589" s="76" t="s">
        <v>902</v>
      </c>
      <c r="E3589" s="79" t="s">
        <v>2535</v>
      </c>
      <c r="F3589" s="79"/>
    </row>
    <row r="3590" spans="1:6">
      <c r="A3590" s="77">
        <f t="shared" ca="1" si="324"/>
        <v>46017</v>
      </c>
      <c r="B3590" s="80">
        <f t="shared" ca="1" si="325"/>
        <v>46017.039677199071</v>
      </c>
      <c r="C3590" s="76" t="s">
        <v>601</v>
      </c>
      <c r="D3590" s="76" t="s">
        <v>902</v>
      </c>
      <c r="E3590" s="79" t="s">
        <v>2282</v>
      </c>
      <c r="F3590" s="79"/>
    </row>
    <row r="3591" spans="1:6">
      <c r="A3591" s="77">
        <f t="shared" ca="1" si="324"/>
        <v>46017</v>
      </c>
      <c r="B3591" s="80">
        <f t="shared" ca="1" si="325"/>
        <v>46017.042328587966</v>
      </c>
      <c r="C3591" s="76" t="s">
        <v>601</v>
      </c>
      <c r="D3591" s="76" t="s">
        <v>902</v>
      </c>
      <c r="E3591" s="79" t="s">
        <v>1001</v>
      </c>
      <c r="F3591" s="79"/>
    </row>
    <row r="3592" spans="1:6">
      <c r="A3592" s="77">
        <f t="shared" ref="A3592:A3597" ca="1" si="326">IF(C3592&lt;&gt;0,IF(A3592=0,TODAY(),A3592),)</f>
        <v>46017</v>
      </c>
      <c r="B3592" s="80">
        <f t="shared" ref="B3592:B3596" ca="1" si="327">IF(C3592&lt;&gt;0,IF(B3592=0,NOW(),B3592),)</f>
        <v>46017.046310069447</v>
      </c>
      <c r="C3592" s="76" t="s">
        <v>601</v>
      </c>
      <c r="D3592" s="76" t="s">
        <v>902</v>
      </c>
      <c r="E3592" s="79" t="s">
        <v>2528</v>
      </c>
      <c r="F3592" s="79"/>
    </row>
    <row r="3593" spans="1:6">
      <c r="A3593" s="77">
        <f t="shared" ca="1" si="326"/>
        <v>46017</v>
      </c>
      <c r="B3593" s="80">
        <f t="shared" ca="1" si="327"/>
        <v>46017.047617708333</v>
      </c>
      <c r="C3593" s="76" t="s">
        <v>601</v>
      </c>
      <c r="D3593" s="150" t="s">
        <v>1007</v>
      </c>
      <c r="E3593" s="79" t="s">
        <v>2536</v>
      </c>
      <c r="F3593" s="79"/>
    </row>
    <row r="3594" spans="1:6">
      <c r="A3594" s="77">
        <f t="shared" ca="1" si="326"/>
        <v>46017</v>
      </c>
      <c r="B3594" s="80">
        <f t="shared" ca="1" si="327"/>
        <v>46017.055097222219</v>
      </c>
      <c r="C3594" s="76" t="s">
        <v>601</v>
      </c>
      <c r="D3594" s="210" t="s">
        <v>922</v>
      </c>
      <c r="E3594" s="79"/>
      <c r="F3594" s="79"/>
    </row>
    <row r="3595" spans="1:6">
      <c r="A3595" s="77">
        <f t="shared" ca="1" si="326"/>
        <v>46017</v>
      </c>
      <c r="B3595" s="80">
        <f t="shared" ca="1" si="327"/>
        <v>46017.057534375002</v>
      </c>
      <c r="C3595" s="76" t="s">
        <v>601</v>
      </c>
      <c r="D3595" s="210" t="s">
        <v>1098</v>
      </c>
      <c r="E3595" s="79" t="s">
        <v>2516</v>
      </c>
      <c r="F3595" s="79"/>
    </row>
    <row r="3596" spans="1:6">
      <c r="A3596" s="77">
        <f t="shared" ca="1" si="326"/>
        <v>46017</v>
      </c>
      <c r="B3596" s="80">
        <f t="shared" ca="1" si="327"/>
        <v>46017.11950439815</v>
      </c>
      <c r="C3596" s="76" t="s">
        <v>604</v>
      </c>
      <c r="D3596" s="210" t="s">
        <v>906</v>
      </c>
      <c r="E3596" s="79" t="s">
        <v>2517</v>
      </c>
      <c r="F3596" s="79"/>
    </row>
    <row r="3597" spans="1:6">
      <c r="A3597" s="77">
        <f t="shared" ca="1" si="326"/>
        <v>46017</v>
      </c>
      <c r="B3597" s="80">
        <f ca="1">IF(C3597&lt;&gt;0,IF(B3597=0,NOW(),B3597),)</f>
        <v>46017.130022685182</v>
      </c>
      <c r="C3597" s="76" t="s">
        <v>604</v>
      </c>
      <c r="D3597" s="210" t="s">
        <v>909</v>
      </c>
      <c r="E3597" s="79"/>
      <c r="F3597" s="79"/>
    </row>
    <row r="3598" spans="1:6">
      <c r="A3598" s="77">
        <f t="shared" ref="A3598:A3607" ca="1" si="328">IF(C3598&lt;&gt;0,IF(A3598=0,TODAY(),A3598),)</f>
        <v>46017</v>
      </c>
      <c r="B3598" s="80">
        <f t="shared" ref="B3598:B3607" ca="1" si="329">IF(C3598&lt;&gt;0,IF(B3598=0,NOW(),B3598),)</f>
        <v>46017.130218634258</v>
      </c>
      <c r="C3598" s="76" t="s">
        <v>604</v>
      </c>
      <c r="D3598" s="76" t="s">
        <v>902</v>
      </c>
      <c r="E3598" s="79" t="s">
        <v>2507</v>
      </c>
      <c r="F3598" s="79"/>
    </row>
    <row r="3599" spans="1:6">
      <c r="A3599" s="77">
        <f t="shared" ca="1" si="328"/>
        <v>46017</v>
      </c>
      <c r="B3599" s="80">
        <f t="shared" ca="1" si="329"/>
        <v>46017.137427546295</v>
      </c>
      <c r="C3599" s="76" t="s">
        <v>604</v>
      </c>
      <c r="D3599" s="76" t="s">
        <v>902</v>
      </c>
      <c r="E3599" s="79" t="s">
        <v>2282</v>
      </c>
      <c r="F3599" s="79"/>
    </row>
    <row r="3600" spans="1:6">
      <c r="A3600" s="77">
        <f t="shared" ca="1" si="328"/>
        <v>46017</v>
      </c>
      <c r="B3600" s="80">
        <f t="shared" ca="1" si="329"/>
        <v>46017.143071759259</v>
      </c>
      <c r="C3600" s="76" t="s">
        <v>604</v>
      </c>
      <c r="D3600" s="76" t="s">
        <v>902</v>
      </c>
      <c r="E3600" s="79" t="s">
        <v>2522</v>
      </c>
      <c r="F3600" s="79"/>
    </row>
    <row r="3601" spans="1:6">
      <c r="A3601" s="77">
        <f t="shared" ca="1" si="328"/>
        <v>46017</v>
      </c>
      <c r="B3601" s="80">
        <f t="shared" ca="1" si="329"/>
        <v>46017.155336805554</v>
      </c>
      <c r="C3601" s="76" t="s">
        <v>604</v>
      </c>
      <c r="D3601" s="76" t="s">
        <v>902</v>
      </c>
      <c r="E3601" s="79" t="s">
        <v>2071</v>
      </c>
      <c r="F3601" s="79"/>
    </row>
    <row r="3602" spans="1:6">
      <c r="A3602" s="77">
        <f t="shared" ca="1" si="328"/>
        <v>46017</v>
      </c>
      <c r="B3602" s="80">
        <f t="shared" ca="1" si="329"/>
        <v>46017.169660069441</v>
      </c>
      <c r="C3602" s="76" t="s">
        <v>604</v>
      </c>
      <c r="D3602" s="76" t="s">
        <v>902</v>
      </c>
      <c r="E3602" s="79" t="s">
        <v>2282</v>
      </c>
      <c r="F3602" s="79"/>
    </row>
    <row r="3603" spans="1:6">
      <c r="A3603" s="77">
        <f t="shared" ca="1" si="328"/>
        <v>46017</v>
      </c>
      <c r="B3603" s="80">
        <f t="shared" ca="1" si="329"/>
        <v>46017.177053819447</v>
      </c>
      <c r="C3603" s="76" t="s">
        <v>604</v>
      </c>
      <c r="D3603" s="210" t="s">
        <v>922</v>
      </c>
      <c r="E3603" s="79" t="s">
        <v>2537</v>
      </c>
      <c r="F3603" s="79"/>
    </row>
    <row r="3604" spans="1:6">
      <c r="A3604" s="77">
        <f t="shared" ca="1" si="328"/>
        <v>46017</v>
      </c>
      <c r="B3604" s="80">
        <f t="shared" ca="1" si="329"/>
        <v>46017.206897337965</v>
      </c>
      <c r="C3604" s="76" t="s">
        <v>604</v>
      </c>
      <c r="D3604" s="210" t="s">
        <v>1098</v>
      </c>
      <c r="E3604" s="79"/>
      <c r="F3604" s="79"/>
    </row>
    <row r="3605" spans="1:6">
      <c r="A3605" s="77">
        <f t="shared" ca="1" si="328"/>
        <v>46017</v>
      </c>
      <c r="B3605" s="80">
        <v>0.2590277777777778</v>
      </c>
      <c r="C3605" s="76" t="s">
        <v>607</v>
      </c>
      <c r="D3605" s="210" t="s">
        <v>906</v>
      </c>
      <c r="E3605" s="79"/>
      <c r="F3605" s="79"/>
    </row>
    <row r="3606" spans="1:6">
      <c r="A3606" s="77">
        <f t="shared" ca="1" si="328"/>
        <v>46017</v>
      </c>
      <c r="B3606" s="80">
        <f t="shared" ca="1" si="329"/>
        <v>46017.312920138887</v>
      </c>
      <c r="C3606" s="76" t="s">
        <v>607</v>
      </c>
      <c r="D3606" s="210" t="s">
        <v>909</v>
      </c>
      <c r="E3606" s="79"/>
      <c r="F3606" s="79"/>
    </row>
    <row r="3607" spans="1:6">
      <c r="A3607" s="77">
        <f t="shared" ca="1" si="328"/>
        <v>46017</v>
      </c>
      <c r="B3607" s="80">
        <f t="shared" ca="1" si="329"/>
        <v>46017.317661226851</v>
      </c>
      <c r="C3607" s="76" t="s">
        <v>607</v>
      </c>
      <c r="D3607" s="76" t="s">
        <v>902</v>
      </c>
      <c r="E3607" s="79" t="s">
        <v>2000</v>
      </c>
      <c r="F3607" s="79"/>
    </row>
    <row r="3608" spans="1:6">
      <c r="A3608" s="77">
        <f t="shared" ref="A3608:A3609" ca="1" si="330">IF(C3608&lt;&gt;0,IF(A3608=0,TODAY(),A3608),)</f>
        <v>46017</v>
      </c>
      <c r="B3608" s="80">
        <f t="shared" ref="B3608:B3609" ca="1" si="331">IF(C3608&lt;&gt;0,IF(B3608=0,NOW(),B3608),)</f>
        <v>46017.318220486108</v>
      </c>
      <c r="C3608" s="76" t="s">
        <v>607</v>
      </c>
      <c r="D3608" s="76" t="s">
        <v>902</v>
      </c>
      <c r="E3608" s="79" t="s">
        <v>1424</v>
      </c>
      <c r="F3608" s="79"/>
    </row>
    <row r="3609" spans="1:6">
      <c r="A3609" s="77">
        <f t="shared" ca="1" si="330"/>
        <v>46017</v>
      </c>
      <c r="B3609" s="80">
        <f t="shared" ca="1" si="331"/>
        <v>46017.31887048611</v>
      </c>
      <c r="C3609" s="76" t="s">
        <v>607</v>
      </c>
      <c r="D3609" s="76" t="s">
        <v>902</v>
      </c>
      <c r="E3609" s="79" t="s">
        <v>2538</v>
      </c>
      <c r="F3609" s="79"/>
    </row>
    <row r="3610" spans="1:6">
      <c r="A3610" s="77">
        <f t="shared" ref="A3610:A3641" ca="1" si="332">IF(C3610&lt;&gt;0,IF(A3610=0,TODAY(),A3610),)</f>
        <v>46017</v>
      </c>
      <c r="B3610" s="80">
        <f t="shared" ref="B3610:B3641" ca="1" si="333">IF(C3610&lt;&gt;0,IF(B3610=0,NOW(),B3610),)</f>
        <v>46017.31954178241</v>
      </c>
      <c r="C3610" s="76" t="s">
        <v>607</v>
      </c>
      <c r="D3610" s="76" t="s">
        <v>902</v>
      </c>
      <c r="E3610" s="79" t="s">
        <v>2539</v>
      </c>
      <c r="F3610" s="79"/>
    </row>
    <row r="3611" spans="1:6">
      <c r="A3611" s="77">
        <f t="shared" ca="1" si="332"/>
        <v>46017</v>
      </c>
      <c r="B3611" s="80">
        <f t="shared" ca="1" si="333"/>
        <v>46017.320479629627</v>
      </c>
      <c r="C3611" s="76" t="s">
        <v>607</v>
      </c>
      <c r="D3611" s="76" t="s">
        <v>902</v>
      </c>
      <c r="E3611" s="79" t="s">
        <v>2000</v>
      </c>
      <c r="F3611" s="79"/>
    </row>
    <row r="3612" spans="1:6">
      <c r="A3612" s="77">
        <f t="shared" ca="1" si="332"/>
        <v>46017</v>
      </c>
      <c r="B3612" s="80">
        <f t="shared" ca="1" si="333"/>
        <v>46017.323446296294</v>
      </c>
      <c r="C3612" s="76" t="s">
        <v>607</v>
      </c>
      <c r="D3612" s="76" t="s">
        <v>902</v>
      </c>
      <c r="E3612" s="79" t="s">
        <v>2540</v>
      </c>
      <c r="F3612" s="79"/>
    </row>
    <row r="3613" spans="1:6">
      <c r="A3613" s="77">
        <f t="shared" ca="1" si="332"/>
        <v>46017</v>
      </c>
      <c r="B3613" s="80">
        <f t="shared" ca="1" si="333"/>
        <v>46017.324541782407</v>
      </c>
      <c r="C3613" s="76" t="s">
        <v>607</v>
      </c>
      <c r="D3613" s="76" t="s">
        <v>902</v>
      </c>
      <c r="E3613" s="79" t="s">
        <v>2541</v>
      </c>
      <c r="F3613" s="79"/>
    </row>
    <row r="3614" spans="1:6">
      <c r="A3614" s="77">
        <f t="shared" ca="1" si="332"/>
        <v>46017</v>
      </c>
      <c r="B3614" s="80">
        <f t="shared" ca="1" si="333"/>
        <v>46017.334912962964</v>
      </c>
      <c r="C3614" s="76" t="s">
        <v>607</v>
      </c>
      <c r="D3614" s="76" t="s">
        <v>902</v>
      </c>
      <c r="E3614" s="79" t="s">
        <v>2542</v>
      </c>
      <c r="F3614" s="79"/>
    </row>
    <row r="3615" spans="1:6">
      <c r="A3615" s="77">
        <f t="shared" ca="1" si="332"/>
        <v>46017</v>
      </c>
      <c r="B3615" s="80">
        <f t="shared" ca="1" si="333"/>
        <v>46017.336936111111</v>
      </c>
      <c r="C3615" s="76" t="s">
        <v>607</v>
      </c>
      <c r="D3615" s="76" t="s">
        <v>902</v>
      </c>
      <c r="E3615" s="79" t="s">
        <v>2000</v>
      </c>
      <c r="F3615" s="79"/>
    </row>
    <row r="3616" spans="1:6">
      <c r="A3616" s="77">
        <f t="shared" ca="1" si="332"/>
        <v>46017</v>
      </c>
      <c r="B3616" s="80">
        <f t="shared" ca="1" si="333"/>
        <v>46017.342115509258</v>
      </c>
      <c r="C3616" s="76" t="s">
        <v>607</v>
      </c>
      <c r="D3616" s="76" t="s">
        <v>902</v>
      </c>
      <c r="E3616" s="79" t="s">
        <v>2067</v>
      </c>
      <c r="F3616" s="79"/>
    </row>
    <row r="3617" spans="1:6">
      <c r="A3617" s="77">
        <f t="shared" ca="1" si="332"/>
        <v>46017</v>
      </c>
      <c r="B3617" s="80">
        <f t="shared" ca="1" si="333"/>
        <v>46017.342565740742</v>
      </c>
      <c r="C3617" s="76" t="s">
        <v>607</v>
      </c>
      <c r="D3617" s="76" t="s">
        <v>902</v>
      </c>
      <c r="E3617" s="79" t="s">
        <v>2543</v>
      </c>
      <c r="F3617" s="79"/>
    </row>
    <row r="3618" spans="1:6">
      <c r="A3618" s="77">
        <f t="shared" ca="1" si="332"/>
        <v>46017</v>
      </c>
      <c r="B3618" s="80">
        <f t="shared" ca="1" si="333"/>
        <v>46017.344359722221</v>
      </c>
      <c r="C3618" s="76" t="s">
        <v>607</v>
      </c>
      <c r="D3618" s="76" t="s">
        <v>902</v>
      </c>
      <c r="E3618" s="79" t="s">
        <v>1583</v>
      </c>
      <c r="F3618" s="79"/>
    </row>
    <row r="3619" spans="1:6">
      <c r="A3619" s="77">
        <f t="shared" ca="1" si="332"/>
        <v>46017</v>
      </c>
      <c r="B3619" s="80">
        <f t="shared" ca="1" si="333"/>
        <v>46017.345346412039</v>
      </c>
      <c r="C3619" s="76" t="s">
        <v>607</v>
      </c>
      <c r="D3619" s="76" t="s">
        <v>902</v>
      </c>
      <c r="E3619" s="79" t="s">
        <v>2543</v>
      </c>
      <c r="F3619" s="79"/>
    </row>
    <row r="3620" spans="1:6">
      <c r="A3620" s="77">
        <f t="shared" ca="1" si="332"/>
        <v>46017</v>
      </c>
      <c r="B3620" s="80">
        <f t="shared" ca="1" si="333"/>
        <v>46017.351629629629</v>
      </c>
      <c r="C3620" s="76" t="s">
        <v>607</v>
      </c>
      <c r="D3620" s="150" t="s">
        <v>1007</v>
      </c>
      <c r="E3620" s="79" t="s">
        <v>2544</v>
      </c>
      <c r="F3620" s="79"/>
    </row>
    <row r="3621" spans="1:6">
      <c r="A3621" s="77">
        <f t="shared" ca="1" si="332"/>
        <v>46017</v>
      </c>
      <c r="B3621" s="80">
        <f t="shared" ca="1" si="333"/>
        <v>46017.353631134261</v>
      </c>
      <c r="C3621" s="76" t="s">
        <v>607</v>
      </c>
      <c r="D3621" s="76" t="s">
        <v>902</v>
      </c>
      <c r="E3621" s="79" t="s">
        <v>2545</v>
      </c>
      <c r="F3621" s="79"/>
    </row>
    <row r="3622" spans="1:6">
      <c r="A3622" s="77">
        <f t="shared" ca="1" si="332"/>
        <v>46017</v>
      </c>
      <c r="B3622" s="80">
        <f t="shared" ca="1" si="333"/>
        <v>46017.359337152775</v>
      </c>
      <c r="C3622" s="76" t="s">
        <v>607</v>
      </c>
      <c r="D3622" s="76" t="s">
        <v>902</v>
      </c>
      <c r="E3622" s="79" t="s">
        <v>2546</v>
      </c>
      <c r="F3622" s="79"/>
    </row>
    <row r="3623" spans="1:6">
      <c r="A3623" s="77">
        <f t="shared" ca="1" si="332"/>
        <v>46017</v>
      </c>
      <c r="B3623" s="80">
        <f t="shared" ca="1" si="333"/>
        <v>46017.36982349537</v>
      </c>
      <c r="C3623" s="76" t="s">
        <v>607</v>
      </c>
      <c r="D3623" s="76" t="s">
        <v>902</v>
      </c>
      <c r="E3623" s="79" t="s">
        <v>2496</v>
      </c>
      <c r="F3623" s="79"/>
    </row>
    <row r="3624" spans="1:6">
      <c r="A3624" s="77">
        <f t="shared" ca="1" si="332"/>
        <v>46017</v>
      </c>
      <c r="B3624" s="80">
        <f t="shared" ca="1" si="333"/>
        <v>46017.37034976852</v>
      </c>
      <c r="C3624" s="76" t="s">
        <v>607</v>
      </c>
      <c r="D3624" s="76" t="s">
        <v>902</v>
      </c>
      <c r="E3624" s="79" t="s">
        <v>1583</v>
      </c>
      <c r="F3624" s="79"/>
    </row>
    <row r="3625" spans="1:6">
      <c r="A3625" s="77">
        <f t="shared" ca="1" si="332"/>
        <v>46017</v>
      </c>
      <c r="B3625" s="80">
        <f t="shared" ca="1" si="333"/>
        <v>46017.372774768519</v>
      </c>
      <c r="C3625" s="76" t="s">
        <v>607</v>
      </c>
      <c r="D3625" s="150" t="s">
        <v>1007</v>
      </c>
      <c r="E3625" s="79" t="s">
        <v>2496</v>
      </c>
      <c r="F3625" s="79"/>
    </row>
    <row r="3626" spans="1:6">
      <c r="A3626" s="77">
        <f t="shared" ca="1" si="332"/>
        <v>46017</v>
      </c>
      <c r="B3626" s="80">
        <f t="shared" ca="1" si="333"/>
        <v>46017.374413425925</v>
      </c>
      <c r="C3626" s="76" t="s">
        <v>607</v>
      </c>
      <c r="D3626" s="76" t="s">
        <v>902</v>
      </c>
      <c r="E3626" s="79" t="s">
        <v>2000</v>
      </c>
      <c r="F3626" s="79"/>
    </row>
    <row r="3627" spans="1:6">
      <c r="A3627" s="77">
        <f t="shared" ca="1" si="332"/>
        <v>46017</v>
      </c>
      <c r="B3627" s="80">
        <f t="shared" ca="1" si="333"/>
        <v>46017.385280324073</v>
      </c>
      <c r="C3627" s="76" t="s">
        <v>607</v>
      </c>
      <c r="D3627" s="76" t="s">
        <v>902</v>
      </c>
      <c r="E3627" s="79" t="s">
        <v>2515</v>
      </c>
      <c r="F3627" s="79"/>
    </row>
    <row r="3628" spans="1:6">
      <c r="A3628" s="77">
        <f t="shared" ca="1" si="332"/>
        <v>46017</v>
      </c>
      <c r="B3628" s="80">
        <f t="shared" ca="1" si="333"/>
        <v>46017.38583738426</v>
      </c>
      <c r="C3628" s="76" t="s">
        <v>607</v>
      </c>
      <c r="D3628" s="76" t="s">
        <v>902</v>
      </c>
      <c r="E3628" s="79" t="s">
        <v>2000</v>
      </c>
      <c r="F3628" s="79"/>
    </row>
    <row r="3629" spans="1:6">
      <c r="A3629" s="77">
        <f t="shared" ca="1" si="332"/>
        <v>46017</v>
      </c>
      <c r="B3629" s="80">
        <f t="shared" ca="1" si="333"/>
        <v>46017.387653819445</v>
      </c>
      <c r="C3629" s="76" t="s">
        <v>607</v>
      </c>
      <c r="D3629" s="76" t="s">
        <v>902</v>
      </c>
      <c r="E3629" s="79" t="s">
        <v>2547</v>
      </c>
      <c r="F3629" s="79"/>
    </row>
    <row r="3630" spans="1:6">
      <c r="A3630" s="77">
        <f t="shared" ca="1" si="332"/>
        <v>46017</v>
      </c>
      <c r="B3630" s="80">
        <f t="shared" ca="1" si="333"/>
        <v>46017.392134606482</v>
      </c>
      <c r="C3630" s="76" t="s">
        <v>607</v>
      </c>
      <c r="D3630" s="76" t="s">
        <v>902</v>
      </c>
      <c r="E3630" s="79" t="s">
        <v>2548</v>
      </c>
      <c r="F3630" s="79"/>
    </row>
    <row r="3631" spans="1:6">
      <c r="A3631" s="77">
        <f t="shared" ca="1" si="332"/>
        <v>46017</v>
      </c>
      <c r="B3631" s="80">
        <f t="shared" ca="1" si="333"/>
        <v>46017.393462499997</v>
      </c>
      <c r="C3631" s="76" t="s">
        <v>607</v>
      </c>
      <c r="D3631" s="76" t="s">
        <v>902</v>
      </c>
      <c r="E3631" s="79" t="s">
        <v>2549</v>
      </c>
      <c r="F3631" s="79"/>
    </row>
    <row r="3632" spans="1:6">
      <c r="A3632" s="77">
        <f t="shared" ca="1" si="332"/>
        <v>46017</v>
      </c>
      <c r="B3632" s="80">
        <f t="shared" ca="1" si="333"/>
        <v>46017.401094212961</v>
      </c>
      <c r="C3632" s="76" t="s">
        <v>607</v>
      </c>
      <c r="D3632" s="76" t="s">
        <v>902</v>
      </c>
      <c r="E3632" s="79" t="s">
        <v>911</v>
      </c>
      <c r="F3632" s="79"/>
    </row>
    <row r="3633" spans="1:6">
      <c r="A3633" s="77">
        <f t="shared" ca="1" si="332"/>
        <v>46017</v>
      </c>
      <c r="B3633" s="80">
        <f t="shared" ca="1" si="333"/>
        <v>46017.405848842594</v>
      </c>
      <c r="C3633" s="76" t="s">
        <v>607</v>
      </c>
      <c r="D3633" s="76" t="s">
        <v>902</v>
      </c>
      <c r="E3633" s="79" t="s">
        <v>2550</v>
      </c>
      <c r="F3633" s="79"/>
    </row>
    <row r="3634" spans="1:6">
      <c r="A3634" s="77">
        <f t="shared" ca="1" si="332"/>
        <v>46017</v>
      </c>
      <c r="B3634" s="80">
        <f t="shared" ca="1" si="333"/>
        <v>46017.407251620367</v>
      </c>
      <c r="C3634" s="76" t="s">
        <v>607</v>
      </c>
      <c r="D3634" s="76" t="s">
        <v>902</v>
      </c>
      <c r="E3634" s="79" t="s">
        <v>911</v>
      </c>
      <c r="F3634" s="79"/>
    </row>
    <row r="3635" spans="1:6">
      <c r="A3635" s="77">
        <f t="shared" ca="1" si="332"/>
        <v>46017</v>
      </c>
      <c r="B3635" s="80">
        <f t="shared" ca="1" si="333"/>
        <v>46017.407890046299</v>
      </c>
      <c r="C3635" s="76" t="s">
        <v>607</v>
      </c>
      <c r="D3635" s="76" t="s">
        <v>902</v>
      </c>
      <c r="E3635" s="79" t="s">
        <v>911</v>
      </c>
      <c r="F3635" s="79"/>
    </row>
    <row r="3636" spans="1:6">
      <c r="A3636" s="77">
        <f t="shared" ca="1" si="332"/>
        <v>46017</v>
      </c>
      <c r="B3636" s="80">
        <f t="shared" ca="1" si="333"/>
        <v>46017.407918287034</v>
      </c>
      <c r="C3636" s="76" t="s">
        <v>607</v>
      </c>
      <c r="D3636" s="76" t="s">
        <v>902</v>
      </c>
      <c r="E3636" s="79" t="s">
        <v>2551</v>
      </c>
      <c r="F3636" s="79"/>
    </row>
    <row r="3637" spans="1:6">
      <c r="A3637" s="77">
        <f t="shared" ca="1" si="332"/>
        <v>46017</v>
      </c>
      <c r="B3637" s="80">
        <f t="shared" ca="1" si="333"/>
        <v>46017.413692013892</v>
      </c>
      <c r="C3637" s="76" t="s">
        <v>607</v>
      </c>
      <c r="D3637" s="76" t="s">
        <v>902</v>
      </c>
      <c r="E3637" s="79" t="s">
        <v>2552</v>
      </c>
      <c r="F3637" s="79"/>
    </row>
    <row r="3638" spans="1:6">
      <c r="A3638" s="77">
        <f t="shared" ca="1" si="332"/>
        <v>46017</v>
      </c>
      <c r="B3638" s="80">
        <f t="shared" ca="1" si="333"/>
        <v>46017.417009375</v>
      </c>
      <c r="C3638" s="76" t="s">
        <v>607</v>
      </c>
      <c r="D3638" s="76" t="s">
        <v>902</v>
      </c>
      <c r="E3638" s="79" t="s">
        <v>2553</v>
      </c>
      <c r="F3638" s="79"/>
    </row>
    <row r="3639" spans="1:6">
      <c r="A3639" s="77">
        <f t="shared" ca="1" si="332"/>
        <v>46017</v>
      </c>
      <c r="B3639" s="80">
        <f t="shared" ca="1" si="333"/>
        <v>46017.418274189811</v>
      </c>
      <c r="C3639" s="76" t="s">
        <v>607</v>
      </c>
      <c r="D3639" s="76" t="s">
        <v>902</v>
      </c>
      <c r="E3639" s="79" t="s">
        <v>1505</v>
      </c>
      <c r="F3639" s="79"/>
    </row>
    <row r="3640" spans="1:6">
      <c r="A3640" s="77">
        <f t="shared" ca="1" si="332"/>
        <v>46017</v>
      </c>
      <c r="B3640" s="80">
        <f t="shared" ca="1" si="333"/>
        <v>46017.418627430554</v>
      </c>
      <c r="C3640" s="76" t="s">
        <v>607</v>
      </c>
      <c r="D3640" s="76" t="s">
        <v>902</v>
      </c>
      <c r="E3640" s="79" t="s">
        <v>2554</v>
      </c>
      <c r="F3640" s="79"/>
    </row>
    <row r="3641" spans="1:6">
      <c r="A3641" s="77">
        <f t="shared" ca="1" si="332"/>
        <v>46017</v>
      </c>
      <c r="B3641" s="80">
        <f t="shared" ca="1" si="333"/>
        <v>46017.421756249998</v>
      </c>
      <c r="C3641" s="76" t="s">
        <v>607</v>
      </c>
      <c r="D3641" s="210" t="s">
        <v>922</v>
      </c>
      <c r="E3641" s="79"/>
      <c r="F3641" s="79"/>
    </row>
    <row r="3642" spans="1:6">
      <c r="A3642" s="77">
        <f t="shared" ref="A3642:A3658" ca="1" si="334">IF(C3642&lt;&gt;0,IF(A3642=0,TODAY(),A3642),)</f>
        <v>46017</v>
      </c>
      <c r="B3642" s="80">
        <f t="shared" ref="B3642:B3658" ca="1" si="335">IF(C3642&lt;&gt;0,IF(B3642=0,NOW(),B3642),)</f>
        <v>46017.509202314817</v>
      </c>
      <c r="C3642" s="76" t="s">
        <v>612</v>
      </c>
      <c r="D3642" s="210" t="s">
        <v>906</v>
      </c>
      <c r="E3642" s="79"/>
      <c r="F3642" s="79"/>
    </row>
    <row r="3643" spans="1:6">
      <c r="A3643" s="77">
        <f t="shared" ca="1" si="334"/>
        <v>46017</v>
      </c>
      <c r="B3643" s="80">
        <f t="shared" ca="1" si="335"/>
        <v>46017.558954976848</v>
      </c>
      <c r="C3643" s="76" t="s">
        <v>612</v>
      </c>
      <c r="D3643" s="76" t="s">
        <v>902</v>
      </c>
      <c r="E3643" s="79" t="s">
        <v>1424</v>
      </c>
      <c r="F3643" s="79"/>
    </row>
    <row r="3644" spans="1:6">
      <c r="A3644" s="77">
        <f t="shared" ca="1" si="334"/>
        <v>46017</v>
      </c>
      <c r="B3644" s="80">
        <f t="shared" ca="1" si="335"/>
        <v>46017.559996296295</v>
      </c>
      <c r="C3644" s="76" t="s">
        <v>612</v>
      </c>
      <c r="D3644" s="76" t="s">
        <v>902</v>
      </c>
      <c r="E3644" s="79" t="s">
        <v>2515</v>
      </c>
      <c r="F3644" s="79"/>
    </row>
    <row r="3645" spans="1:6">
      <c r="A3645" s="77">
        <f t="shared" ca="1" si="334"/>
        <v>46017</v>
      </c>
      <c r="B3645" s="80">
        <f t="shared" ca="1" si="335"/>
        <v>46017.565573958331</v>
      </c>
      <c r="C3645" s="76" t="s">
        <v>612</v>
      </c>
      <c r="D3645" s="76" t="s">
        <v>902</v>
      </c>
      <c r="E3645" s="79" t="s">
        <v>2025</v>
      </c>
      <c r="F3645" s="79"/>
    </row>
    <row r="3646" spans="1:6">
      <c r="A3646" s="77">
        <f t="shared" ca="1" si="334"/>
        <v>46017</v>
      </c>
      <c r="B3646" s="80">
        <f t="shared" ca="1" si="335"/>
        <v>46017.573024652775</v>
      </c>
      <c r="C3646" s="76" t="s">
        <v>612</v>
      </c>
      <c r="D3646" s="76" t="s">
        <v>902</v>
      </c>
      <c r="E3646" s="79" t="s">
        <v>1775</v>
      </c>
      <c r="F3646" s="79"/>
    </row>
    <row r="3647" spans="1:6">
      <c r="A3647" s="77">
        <f t="shared" ca="1" si="334"/>
        <v>46017</v>
      </c>
      <c r="B3647" s="80">
        <f t="shared" ca="1" si="335"/>
        <v>46017.575243402775</v>
      </c>
      <c r="C3647" s="76" t="s">
        <v>612</v>
      </c>
      <c r="D3647" s="76" t="s">
        <v>902</v>
      </c>
      <c r="E3647" s="79" t="s">
        <v>1314</v>
      </c>
      <c r="F3647" s="79"/>
    </row>
    <row r="3648" spans="1:6">
      <c r="A3648" s="77">
        <f t="shared" ca="1" si="334"/>
        <v>46017</v>
      </c>
      <c r="B3648" s="80">
        <f t="shared" ca="1" si="335"/>
        <v>46017.582344328701</v>
      </c>
      <c r="C3648" s="76" t="s">
        <v>612</v>
      </c>
      <c r="D3648" s="76" t="s">
        <v>902</v>
      </c>
      <c r="E3648" s="79" t="s">
        <v>2496</v>
      </c>
      <c r="F3648" s="79"/>
    </row>
    <row r="3649" spans="1:6">
      <c r="A3649" s="77">
        <f t="shared" ca="1" si="334"/>
        <v>46017</v>
      </c>
      <c r="B3649" s="80">
        <f t="shared" ca="1" si="335"/>
        <v>46017.582841550924</v>
      </c>
      <c r="C3649" s="76" t="s">
        <v>612</v>
      </c>
      <c r="D3649" s="76" t="s">
        <v>902</v>
      </c>
      <c r="E3649" s="79" t="s">
        <v>2555</v>
      </c>
      <c r="F3649" s="79"/>
    </row>
    <row r="3650" spans="1:6">
      <c r="A3650" s="77">
        <f t="shared" ca="1" si="334"/>
        <v>46017</v>
      </c>
      <c r="B3650" s="80">
        <f t="shared" ca="1" si="335"/>
        <v>46017.58371215278</v>
      </c>
      <c r="C3650" s="76" t="s">
        <v>612</v>
      </c>
      <c r="D3650" s="76" t="s">
        <v>902</v>
      </c>
      <c r="E3650" s="79" t="s">
        <v>1352</v>
      </c>
      <c r="F3650" s="79"/>
    </row>
    <row r="3651" spans="1:6">
      <c r="A3651" s="77">
        <f t="shared" ca="1" si="334"/>
        <v>46017</v>
      </c>
      <c r="B3651" s="80">
        <f t="shared" ca="1" si="335"/>
        <v>46017.599305555559</v>
      </c>
      <c r="C3651" s="76" t="s">
        <v>612</v>
      </c>
      <c r="D3651" s="76" t="s">
        <v>902</v>
      </c>
      <c r="E3651" s="79" t="s">
        <v>2162</v>
      </c>
      <c r="F3651" s="79"/>
    </row>
    <row r="3652" spans="1:6">
      <c r="A3652" s="77">
        <f t="shared" ca="1" si="334"/>
        <v>46017</v>
      </c>
      <c r="B3652" s="80">
        <f t="shared" ca="1" si="335"/>
        <v>46017.601580671297</v>
      </c>
      <c r="C3652" s="76" t="s">
        <v>612</v>
      </c>
      <c r="D3652" s="76" t="s">
        <v>902</v>
      </c>
      <c r="E3652" s="79" t="s">
        <v>1064</v>
      </c>
      <c r="F3652" s="79"/>
    </row>
    <row r="3653" spans="1:6">
      <c r="A3653" s="77">
        <f t="shared" ca="1" si="334"/>
        <v>46017</v>
      </c>
      <c r="B3653" s="80">
        <f t="shared" ca="1" si="335"/>
        <v>46017.604892013886</v>
      </c>
      <c r="C3653" s="76" t="s">
        <v>612</v>
      </c>
      <c r="D3653" s="76" t="s">
        <v>902</v>
      </c>
      <c r="E3653" s="79" t="s">
        <v>2556</v>
      </c>
      <c r="F3653" s="79"/>
    </row>
    <row r="3654" spans="1:6">
      <c r="A3654" s="77">
        <f t="shared" ca="1" si="334"/>
        <v>46017</v>
      </c>
      <c r="B3654" s="80">
        <f t="shared" ca="1" si="335"/>
        <v>46017.61384421296</v>
      </c>
      <c r="C3654" s="76" t="s">
        <v>612</v>
      </c>
      <c r="D3654" s="76" t="s">
        <v>902</v>
      </c>
      <c r="E3654" s="79" t="s">
        <v>1374</v>
      </c>
      <c r="F3654" s="79"/>
    </row>
    <row r="3655" spans="1:6">
      <c r="A3655" s="77">
        <f t="shared" ca="1" si="334"/>
        <v>46017</v>
      </c>
      <c r="B3655" s="80">
        <f t="shared" ca="1" si="335"/>
        <v>46017.615780671294</v>
      </c>
      <c r="C3655" s="76" t="s">
        <v>612</v>
      </c>
      <c r="D3655" s="76" t="s">
        <v>902</v>
      </c>
      <c r="E3655" s="79" t="s">
        <v>1505</v>
      </c>
      <c r="F3655" s="79"/>
    </row>
    <row r="3656" spans="1:6">
      <c r="A3656" s="77">
        <f t="shared" ca="1" si="334"/>
        <v>46017</v>
      </c>
      <c r="B3656" s="80">
        <f t="shared" ca="1" si="335"/>
        <v>46017.621571296295</v>
      </c>
      <c r="C3656" s="76" t="s">
        <v>612</v>
      </c>
      <c r="D3656" s="76" t="s">
        <v>902</v>
      </c>
      <c r="E3656" s="79" t="s">
        <v>2557</v>
      </c>
      <c r="F3656" s="79"/>
    </row>
    <row r="3657" spans="1:6">
      <c r="A3657" s="77">
        <f t="shared" ca="1" si="334"/>
        <v>46017</v>
      </c>
      <c r="B3657" s="80">
        <f t="shared" ca="1" si="335"/>
        <v>46017.63316701389</v>
      </c>
      <c r="C3657" s="76" t="s">
        <v>612</v>
      </c>
      <c r="D3657" s="76" t="s">
        <v>902</v>
      </c>
      <c r="E3657" s="79" t="s">
        <v>2000</v>
      </c>
      <c r="F3657" s="79"/>
    </row>
    <row r="3658" spans="1:6">
      <c r="A3658" s="77">
        <f t="shared" ca="1" si="334"/>
        <v>46017</v>
      </c>
      <c r="B3658" s="80">
        <f t="shared" ca="1" si="335"/>
        <v>46017.636386458333</v>
      </c>
      <c r="C3658" s="76" t="s">
        <v>612</v>
      </c>
      <c r="D3658" s="76" t="s">
        <v>902</v>
      </c>
      <c r="E3658" s="79" t="s">
        <v>1374</v>
      </c>
      <c r="F3658" s="79"/>
    </row>
    <row r="3659" spans="1:6">
      <c r="A3659" s="77">
        <f t="shared" ref="A3659:A3673" ca="1" si="336">IF(C3659&lt;&gt;0,IF(A3659=0,TODAY(),A3659),)</f>
        <v>46017</v>
      </c>
      <c r="B3659" s="80">
        <f t="shared" ref="B3659:B3673" ca="1" si="337">IF(C3659&lt;&gt;0,IF(B3659=0,NOW(),B3659),)</f>
        <v>46017.636386458333</v>
      </c>
      <c r="C3659" s="76" t="s">
        <v>612</v>
      </c>
      <c r="D3659" s="76" t="s">
        <v>902</v>
      </c>
      <c r="E3659" s="79" t="s">
        <v>2558</v>
      </c>
      <c r="F3659" s="79"/>
    </row>
    <row r="3660" spans="1:6">
      <c r="A3660" s="77">
        <f t="shared" ca="1" si="336"/>
        <v>46017</v>
      </c>
      <c r="B3660" s="80">
        <f t="shared" ca="1" si="337"/>
        <v>46017.648660185187</v>
      </c>
      <c r="C3660" s="76" t="s">
        <v>612</v>
      </c>
      <c r="D3660" s="76" t="s">
        <v>902</v>
      </c>
      <c r="E3660" s="79" t="s">
        <v>2387</v>
      </c>
      <c r="F3660" s="79"/>
    </row>
    <row r="3661" spans="1:6">
      <c r="A3661" s="77">
        <f t="shared" ca="1" si="336"/>
        <v>46017</v>
      </c>
      <c r="B3661" s="80">
        <f t="shared" ca="1" si="337"/>
        <v>46017.651559375001</v>
      </c>
      <c r="C3661" s="76" t="s">
        <v>612</v>
      </c>
      <c r="D3661" s="76" t="s">
        <v>902</v>
      </c>
      <c r="E3661" s="79" t="s">
        <v>2559</v>
      </c>
      <c r="F3661" s="79"/>
    </row>
    <row r="3662" spans="1:6">
      <c r="A3662" s="77">
        <f t="shared" ca="1" si="336"/>
        <v>46017</v>
      </c>
      <c r="B3662" s="80">
        <f t="shared" ca="1" si="337"/>
        <v>46017.652954166668</v>
      </c>
      <c r="C3662" s="76" t="s">
        <v>612</v>
      </c>
      <c r="D3662" s="76" t="s">
        <v>902</v>
      </c>
      <c r="E3662" s="79" t="s">
        <v>2560</v>
      </c>
      <c r="F3662" s="79"/>
    </row>
    <row r="3663" spans="1:6">
      <c r="A3663" s="77">
        <f t="shared" ca="1" si="336"/>
        <v>46017</v>
      </c>
      <c r="B3663" s="80">
        <f t="shared" ca="1" si="337"/>
        <v>46017.654276157409</v>
      </c>
      <c r="C3663" s="76" t="s">
        <v>612</v>
      </c>
      <c r="D3663" s="76" t="s">
        <v>902</v>
      </c>
      <c r="E3663" s="79" t="s">
        <v>1505</v>
      </c>
      <c r="F3663" s="79"/>
    </row>
    <row r="3664" spans="1:6">
      <c r="A3664" s="77">
        <f t="shared" ca="1" si="336"/>
        <v>46017</v>
      </c>
      <c r="B3664" s="80">
        <f t="shared" ca="1" si="337"/>
        <v>46017.659317708334</v>
      </c>
      <c r="C3664" s="76" t="s">
        <v>612</v>
      </c>
      <c r="D3664" s="76" t="s">
        <v>902</v>
      </c>
      <c r="E3664" s="79" t="s">
        <v>2541</v>
      </c>
      <c r="F3664" s="79"/>
    </row>
    <row r="3665" spans="1:7">
      <c r="A3665" s="77">
        <f t="shared" ca="1" si="336"/>
        <v>46017</v>
      </c>
      <c r="B3665" s="80">
        <f t="shared" ca="1" si="337"/>
        <v>46017.662239004632</v>
      </c>
      <c r="C3665" s="76" t="s">
        <v>612</v>
      </c>
      <c r="D3665" s="76" t="s">
        <v>902</v>
      </c>
      <c r="E3665" s="79" t="s">
        <v>1505</v>
      </c>
      <c r="F3665" s="79"/>
    </row>
    <row r="3666" spans="1:7">
      <c r="A3666" s="77">
        <f t="shared" ca="1" si="336"/>
        <v>46017</v>
      </c>
      <c r="B3666" s="80">
        <f t="shared" ca="1" si="337"/>
        <v>46017.667317361113</v>
      </c>
      <c r="C3666" s="76" t="s">
        <v>612</v>
      </c>
      <c r="D3666" s="76" t="s">
        <v>902</v>
      </c>
      <c r="E3666" s="79" t="s">
        <v>2561</v>
      </c>
      <c r="F3666" s="79"/>
    </row>
    <row r="3667" spans="1:7">
      <c r="A3667" s="77">
        <f t="shared" ca="1" si="336"/>
        <v>46017</v>
      </c>
      <c r="B3667" s="80">
        <f t="shared" ca="1" si="337"/>
        <v>46017.668010648151</v>
      </c>
      <c r="C3667" s="76" t="s">
        <v>612</v>
      </c>
      <c r="D3667" s="76" t="s">
        <v>902</v>
      </c>
      <c r="E3667" s="79" t="s">
        <v>2515</v>
      </c>
      <c r="F3667" s="79"/>
    </row>
    <row r="3668" spans="1:7">
      <c r="A3668" s="77">
        <f t="shared" ca="1" si="336"/>
        <v>46017</v>
      </c>
      <c r="B3668" s="80">
        <f t="shared" ca="1" si="337"/>
        <v>46017.669194097223</v>
      </c>
      <c r="C3668" s="76" t="s">
        <v>612</v>
      </c>
      <c r="D3668" s="76" t="s">
        <v>902</v>
      </c>
      <c r="E3668" s="79" t="s">
        <v>2562</v>
      </c>
      <c r="F3668" s="79"/>
    </row>
    <row r="3669" spans="1:7">
      <c r="A3669" s="77">
        <f t="shared" ca="1" si="336"/>
        <v>46017</v>
      </c>
      <c r="B3669" s="80">
        <f t="shared" ca="1" si="337"/>
        <v>46017.670896064817</v>
      </c>
      <c r="C3669" s="76" t="s">
        <v>612</v>
      </c>
      <c r="D3669" s="76" t="s">
        <v>902</v>
      </c>
      <c r="E3669" s="79" t="s">
        <v>1583</v>
      </c>
      <c r="F3669" s="79"/>
    </row>
    <row r="3670" spans="1:7">
      <c r="A3670" s="77">
        <f t="shared" ca="1" si="336"/>
        <v>46017</v>
      </c>
      <c r="B3670" s="80">
        <f t="shared" ca="1" si="337"/>
        <v>46017.673159027778</v>
      </c>
      <c r="C3670" s="76" t="s">
        <v>612</v>
      </c>
      <c r="D3670" s="150" t="s">
        <v>1007</v>
      </c>
      <c r="E3670" s="79" t="s">
        <v>2563</v>
      </c>
      <c r="F3670" s="79"/>
    </row>
    <row r="3671" spans="1:7">
      <c r="A3671" s="77">
        <f t="shared" ca="1" si="336"/>
        <v>46017</v>
      </c>
      <c r="B3671" s="80">
        <f t="shared" ca="1" si="337"/>
        <v>46017.686151388887</v>
      </c>
      <c r="C3671" s="76" t="s">
        <v>612</v>
      </c>
      <c r="D3671" s="76" t="s">
        <v>902</v>
      </c>
      <c r="E3671" s="79" t="s">
        <v>2000</v>
      </c>
      <c r="F3671" s="79"/>
    </row>
    <row r="3672" spans="1:7">
      <c r="A3672" s="77">
        <f t="shared" ca="1" si="336"/>
        <v>46017</v>
      </c>
      <c r="B3672" s="80">
        <f t="shared" ca="1" si="337"/>
        <v>46017.688382523149</v>
      </c>
      <c r="C3672" s="76" t="s">
        <v>612</v>
      </c>
      <c r="D3672" s="76" t="s">
        <v>902</v>
      </c>
      <c r="E3672" s="79" t="s">
        <v>1424</v>
      </c>
      <c r="F3672" s="79"/>
    </row>
    <row r="3673" spans="1:7">
      <c r="A3673" s="77">
        <f t="shared" ca="1" si="336"/>
        <v>46017</v>
      </c>
      <c r="B3673" s="80">
        <f t="shared" ca="1" si="337"/>
        <v>46017.689989467595</v>
      </c>
      <c r="C3673" s="76" t="s">
        <v>612</v>
      </c>
      <c r="D3673" s="76" t="s">
        <v>902</v>
      </c>
      <c r="E3673" s="79" t="s">
        <v>1109</v>
      </c>
      <c r="F3673" s="79"/>
    </row>
    <row r="3674" spans="1:7">
      <c r="A3674" s="77">
        <f ca="1">IF(C3674&lt;&gt;0,IF(A3674=0,TODAY(),A3674),)</f>
        <v>46017</v>
      </c>
      <c r="B3674" s="80">
        <f ca="1">IF(C3674&lt;&gt;0,IF(B3674=0,NOW(),B3674),)</f>
        <v>46017.691546759263</v>
      </c>
      <c r="C3674" s="76" t="s">
        <v>612</v>
      </c>
      <c r="D3674" s="76" t="s">
        <v>902</v>
      </c>
      <c r="E3674" s="79" t="s">
        <v>1109</v>
      </c>
      <c r="F3674" s="79"/>
    </row>
    <row r="3675" spans="1:7">
      <c r="A3675" s="77">
        <f ca="1">IF(C3675&lt;&gt;0,IF(A3675=0,TODAY(),A3675),)</f>
        <v>46017</v>
      </c>
      <c r="B3675" s="80">
        <f ca="1">IF(C3675&lt;&gt;0,IF(B3675=0,NOW(),B3675),)</f>
        <v>46017.691962731478</v>
      </c>
      <c r="C3675" s="76" t="s">
        <v>612</v>
      </c>
      <c r="D3675" s="76" t="s">
        <v>902</v>
      </c>
      <c r="E3675" s="79" t="s">
        <v>1505</v>
      </c>
      <c r="F3675" s="79"/>
    </row>
    <row r="3676" spans="1:7">
      <c r="A3676" s="77">
        <f t="shared" ref="A3676:A3695" ca="1" si="338">IF(C3676&lt;&gt;0,IF(A3676=0,TODAY(),A3676),)</f>
        <v>46017</v>
      </c>
      <c r="B3676" s="80">
        <f t="shared" ref="B3676:B3682" ca="1" si="339">IF(C3676&lt;&gt;0,IF(B3676=0,NOW(),B3676),)</f>
        <v>46017.700939814815</v>
      </c>
      <c r="C3676" s="76" t="s">
        <v>612</v>
      </c>
      <c r="D3676" s="76" t="s">
        <v>902</v>
      </c>
      <c r="E3676" s="79" t="s">
        <v>1374</v>
      </c>
      <c r="F3676" s="79"/>
      <c r="G3676" s="76" t="s">
        <v>2564</v>
      </c>
    </row>
    <row r="3677" spans="1:7">
      <c r="A3677" s="77">
        <f t="shared" ca="1" si="338"/>
        <v>46017</v>
      </c>
      <c r="B3677" s="80">
        <f t="shared" ca="1" si="339"/>
        <v>46017.701626388887</v>
      </c>
      <c r="C3677" s="76" t="s">
        <v>612</v>
      </c>
      <c r="D3677" s="76" t="s">
        <v>902</v>
      </c>
      <c r="E3677" s="79" t="s">
        <v>1555</v>
      </c>
      <c r="F3677" s="79"/>
    </row>
    <row r="3678" spans="1:7">
      <c r="A3678" s="77">
        <f t="shared" ca="1" si="338"/>
        <v>46017</v>
      </c>
      <c r="B3678" s="80">
        <f t="shared" ca="1" si="339"/>
        <v>46017.703320370369</v>
      </c>
      <c r="C3678" s="76" t="s">
        <v>612</v>
      </c>
      <c r="D3678" s="76" t="s">
        <v>902</v>
      </c>
      <c r="E3678" s="79" t="s">
        <v>2565</v>
      </c>
      <c r="F3678" s="79"/>
    </row>
    <row r="3679" spans="1:7">
      <c r="A3679" s="77">
        <f t="shared" ca="1" si="338"/>
        <v>46017</v>
      </c>
      <c r="B3679" s="80">
        <f t="shared" ca="1" si="339"/>
        <v>46017.704318634256</v>
      </c>
      <c r="C3679" s="76" t="s">
        <v>612</v>
      </c>
      <c r="D3679" s="76" t="s">
        <v>902</v>
      </c>
      <c r="E3679" s="79" t="s">
        <v>1314</v>
      </c>
      <c r="F3679" s="79"/>
    </row>
    <row r="3680" spans="1:7">
      <c r="A3680" s="77">
        <f t="shared" ca="1" si="338"/>
        <v>46017</v>
      </c>
      <c r="B3680" s="80">
        <f t="shared" ca="1" si="339"/>
        <v>46017.71122986111</v>
      </c>
      <c r="C3680" s="76" t="s">
        <v>612</v>
      </c>
      <c r="D3680" s="76" t="s">
        <v>902</v>
      </c>
      <c r="E3680" s="79" t="s">
        <v>932</v>
      </c>
      <c r="F3680" s="79"/>
    </row>
    <row r="3681" spans="1:6">
      <c r="A3681" s="77">
        <f t="shared" ca="1" si="338"/>
        <v>46017</v>
      </c>
      <c r="B3681" s="80">
        <f t="shared" ca="1" si="339"/>
        <v>46017.715289236112</v>
      </c>
      <c r="C3681" s="76" t="s">
        <v>612</v>
      </c>
      <c r="D3681" s="76" t="s">
        <v>902</v>
      </c>
      <c r="E3681" s="79" t="s">
        <v>2000</v>
      </c>
      <c r="F3681" s="79"/>
    </row>
    <row r="3682" spans="1:6">
      <c r="A3682" s="77">
        <f t="shared" ca="1" si="338"/>
        <v>46017</v>
      </c>
      <c r="B3682" s="80">
        <f t="shared" ca="1" si="339"/>
        <v>46017.718614814818</v>
      </c>
      <c r="C3682" s="76" t="s">
        <v>612</v>
      </c>
      <c r="D3682" s="76" t="s">
        <v>902</v>
      </c>
      <c r="E3682" s="79" t="s">
        <v>1314</v>
      </c>
      <c r="F3682" s="79"/>
    </row>
    <row r="3683" spans="1:6">
      <c r="A3683" s="77">
        <f t="shared" ca="1" si="338"/>
        <v>46017</v>
      </c>
      <c r="B3683" s="80">
        <f t="shared" ref="B3683:B3688" ca="1" si="340">IF(C3683&lt;&gt;0,IF(B3683=0,NOW(),B3683),)</f>
        <v>46017.720032638892</v>
      </c>
      <c r="C3683" s="76" t="s">
        <v>612</v>
      </c>
      <c r="D3683" s="76" t="s">
        <v>902</v>
      </c>
      <c r="E3683" s="79" t="s">
        <v>932</v>
      </c>
      <c r="F3683" s="79"/>
    </row>
    <row r="3684" spans="1:6">
      <c r="A3684" s="77">
        <f t="shared" ca="1" si="338"/>
        <v>46017</v>
      </c>
      <c r="B3684" s="80">
        <f t="shared" ca="1" si="340"/>
        <v>46017.720184375001</v>
      </c>
      <c r="C3684" s="76" t="s">
        <v>612</v>
      </c>
      <c r="D3684" s="76" t="s">
        <v>902</v>
      </c>
      <c r="E3684" s="79" t="s">
        <v>1505</v>
      </c>
      <c r="F3684" s="79"/>
    </row>
    <row r="3685" spans="1:6">
      <c r="A3685" s="77">
        <f t="shared" ca="1" si="338"/>
        <v>46017</v>
      </c>
      <c r="B3685" s="80">
        <f t="shared" ca="1" si="340"/>
        <v>46017.72277847222</v>
      </c>
      <c r="C3685" s="76" t="s">
        <v>612</v>
      </c>
      <c r="D3685" s="76" t="s">
        <v>902</v>
      </c>
      <c r="E3685" s="79" t="s">
        <v>2000</v>
      </c>
      <c r="F3685" s="79"/>
    </row>
    <row r="3686" spans="1:6">
      <c r="A3686" s="77">
        <f t="shared" ca="1" si="338"/>
        <v>46017</v>
      </c>
      <c r="B3686" s="80">
        <f t="shared" ca="1" si="340"/>
        <v>46017.725579398146</v>
      </c>
      <c r="C3686" s="76" t="s">
        <v>612</v>
      </c>
      <c r="D3686" s="76" t="s">
        <v>902</v>
      </c>
      <c r="E3686" s="79" t="s">
        <v>1314</v>
      </c>
      <c r="F3686" s="79"/>
    </row>
    <row r="3687" spans="1:6">
      <c r="A3687" s="77">
        <f t="shared" ca="1" si="338"/>
        <v>46017</v>
      </c>
      <c r="B3687" s="80">
        <f t="shared" ca="1" si="340"/>
        <v>46017.727455324071</v>
      </c>
      <c r="C3687" s="76" t="s">
        <v>612</v>
      </c>
      <c r="D3687" s="76" t="s">
        <v>902</v>
      </c>
      <c r="E3687" s="79" t="s">
        <v>932</v>
      </c>
      <c r="F3687" s="79"/>
    </row>
    <row r="3688" spans="1:6">
      <c r="A3688" s="77">
        <f t="shared" ca="1" si="338"/>
        <v>46017</v>
      </c>
      <c r="B3688" s="80">
        <f t="shared" ca="1" si="340"/>
        <v>46017.731365162035</v>
      </c>
      <c r="C3688" s="76" t="s">
        <v>612</v>
      </c>
      <c r="D3688" s="76" t="s">
        <v>902</v>
      </c>
      <c r="E3688" s="79" t="s">
        <v>2566</v>
      </c>
      <c r="F3688" s="79"/>
    </row>
    <row r="3689" spans="1:6">
      <c r="A3689" s="77">
        <f t="shared" ca="1" si="338"/>
        <v>46017</v>
      </c>
      <c r="B3689" s="80">
        <f t="shared" ref="B3689:B3695" ca="1" si="341">IF(C3689&lt;&gt;0,IF(B3689=0,NOW(),B3689),)</f>
        <v>46017.744172916668</v>
      </c>
      <c r="C3689" s="76" t="s">
        <v>612</v>
      </c>
      <c r="D3689" s="76" t="s">
        <v>902</v>
      </c>
      <c r="E3689" s="79" t="s">
        <v>2025</v>
      </c>
      <c r="F3689" s="79"/>
    </row>
    <row r="3690" spans="1:6">
      <c r="A3690" s="77">
        <f t="shared" ca="1" si="338"/>
        <v>46017</v>
      </c>
      <c r="B3690" s="80">
        <f t="shared" ca="1" si="341"/>
        <v>46017.746818171297</v>
      </c>
      <c r="C3690" s="76" t="s">
        <v>612</v>
      </c>
      <c r="D3690" s="210" t="s">
        <v>922</v>
      </c>
      <c r="E3690" s="79"/>
      <c r="F3690" s="79"/>
    </row>
    <row r="3691" spans="1:6">
      <c r="A3691" s="77">
        <f t="shared" ca="1" si="338"/>
        <v>46017</v>
      </c>
      <c r="B3691" s="80">
        <v>0.7552430555555556</v>
      </c>
      <c r="C3691" s="76" t="s">
        <v>612</v>
      </c>
      <c r="D3691" s="210" t="s">
        <v>1098</v>
      </c>
      <c r="E3691" s="79" t="s">
        <v>2567</v>
      </c>
      <c r="F3691" s="79"/>
    </row>
    <row r="3692" spans="1:6">
      <c r="A3692" s="77">
        <f t="shared" ca="1" si="338"/>
        <v>46017</v>
      </c>
      <c r="B3692" s="80">
        <f t="shared" ca="1" si="341"/>
        <v>46017.833103819445</v>
      </c>
      <c r="C3692" s="76" t="s">
        <v>615</v>
      </c>
      <c r="D3692" s="210" t="s">
        <v>906</v>
      </c>
      <c r="E3692" s="79" t="s">
        <v>2568</v>
      </c>
      <c r="F3692" s="79"/>
    </row>
    <row r="3693" spans="1:6">
      <c r="A3693" s="77">
        <f t="shared" ca="1" si="338"/>
        <v>46017</v>
      </c>
      <c r="B3693" s="80">
        <f t="shared" ca="1" si="341"/>
        <v>46017.836712962962</v>
      </c>
      <c r="C3693" s="76" t="s">
        <v>615</v>
      </c>
      <c r="D3693" s="210" t="s">
        <v>909</v>
      </c>
      <c r="E3693" s="79"/>
      <c r="F3693" s="79"/>
    </row>
    <row r="3694" spans="1:6">
      <c r="A3694" s="77">
        <f t="shared" ca="1" si="338"/>
        <v>46017</v>
      </c>
      <c r="B3694" s="80">
        <f t="shared" ca="1" si="341"/>
        <v>46017.838310763887</v>
      </c>
      <c r="C3694" s="76" t="s">
        <v>615</v>
      </c>
      <c r="D3694" s="76" t="s">
        <v>902</v>
      </c>
      <c r="E3694" s="79" t="s">
        <v>1001</v>
      </c>
      <c r="F3694" s="79"/>
    </row>
    <row r="3695" spans="1:6">
      <c r="A3695" s="77">
        <f t="shared" ca="1" si="338"/>
        <v>46017</v>
      </c>
      <c r="B3695" s="80">
        <f t="shared" ca="1" si="341"/>
        <v>46017.851772337963</v>
      </c>
      <c r="C3695" s="76" t="s">
        <v>615</v>
      </c>
      <c r="D3695" s="76" t="s">
        <v>902</v>
      </c>
      <c r="E3695" s="79" t="s">
        <v>2569</v>
      </c>
      <c r="F3695" s="79"/>
    </row>
    <row r="3696" spans="1:6">
      <c r="A3696" s="77">
        <f t="shared" ref="A3696:A3701" ca="1" si="342">IF(C3696&lt;&gt;0,IF(A3696=0,TODAY(),A3696),)</f>
        <v>46017</v>
      </c>
      <c r="B3696" s="80">
        <f t="shared" ref="B3696:B3701" ca="1" si="343">IF(C3696&lt;&gt;0,IF(B3696=0,NOW(),B3696),)</f>
        <v>46017.854532060184</v>
      </c>
      <c r="C3696" s="76" t="s">
        <v>615</v>
      </c>
      <c r="D3696" s="76" t="s">
        <v>902</v>
      </c>
      <c r="E3696" s="79" t="s">
        <v>2529</v>
      </c>
      <c r="F3696" s="79"/>
    </row>
    <row r="3697" spans="1:6">
      <c r="A3697" s="77">
        <f t="shared" ca="1" si="342"/>
        <v>46017</v>
      </c>
      <c r="B3697" s="80">
        <f t="shared" ca="1" si="343"/>
        <v>46017.857143055553</v>
      </c>
      <c r="C3697" s="76" t="s">
        <v>615</v>
      </c>
      <c r="D3697" s="76" t="s">
        <v>902</v>
      </c>
      <c r="E3697" s="79" t="s">
        <v>2570</v>
      </c>
      <c r="F3697" s="79"/>
    </row>
    <row r="3698" spans="1:6">
      <c r="A3698" s="77">
        <f t="shared" ca="1" si="342"/>
        <v>46017</v>
      </c>
      <c r="B3698" s="80">
        <f t="shared" ca="1" si="343"/>
        <v>46017.860234837965</v>
      </c>
      <c r="C3698" s="76" t="s">
        <v>615</v>
      </c>
      <c r="D3698" s="76" t="s">
        <v>902</v>
      </c>
      <c r="E3698" s="79" t="s">
        <v>1992</v>
      </c>
      <c r="F3698" s="79"/>
    </row>
    <row r="3699" spans="1:6">
      <c r="A3699" s="77">
        <f t="shared" ca="1" si="342"/>
        <v>46017</v>
      </c>
      <c r="B3699" s="80">
        <f t="shared" ca="1" si="343"/>
        <v>46017.861338310184</v>
      </c>
      <c r="C3699" s="76" t="s">
        <v>615</v>
      </c>
      <c r="D3699" s="76" t="s">
        <v>902</v>
      </c>
      <c r="E3699" s="79" t="s">
        <v>2571</v>
      </c>
      <c r="F3699" s="79"/>
    </row>
    <row r="3700" spans="1:6">
      <c r="A3700" s="77">
        <f t="shared" ca="1" si="342"/>
        <v>46017</v>
      </c>
      <c r="B3700" s="80">
        <f t="shared" ca="1" si="343"/>
        <v>46017.868516666669</v>
      </c>
      <c r="C3700" s="76" t="s">
        <v>615</v>
      </c>
      <c r="D3700" s="150" t="s">
        <v>1007</v>
      </c>
      <c r="E3700" s="79" t="s">
        <v>2572</v>
      </c>
      <c r="F3700" s="79"/>
    </row>
    <row r="3701" spans="1:6">
      <c r="A3701" s="77">
        <f t="shared" ca="1" si="342"/>
        <v>46017</v>
      </c>
      <c r="B3701" s="80">
        <f t="shared" ca="1" si="343"/>
        <v>46017.876734722224</v>
      </c>
      <c r="C3701" s="76" t="s">
        <v>615</v>
      </c>
      <c r="D3701" s="76" t="s">
        <v>902</v>
      </c>
      <c r="E3701" s="79" t="s">
        <v>2570</v>
      </c>
      <c r="F3701" s="79"/>
    </row>
    <row r="3702" spans="1:6">
      <c r="A3702" s="77">
        <f t="shared" ref="A3702:A3709" ca="1" si="344">IF(C3702&lt;&gt;0,IF(A3702=0,TODAY(),A3702),)</f>
        <v>46017</v>
      </c>
      <c r="B3702" s="80">
        <f t="shared" ref="B3702:B3709" ca="1" si="345">IF(C3702&lt;&gt;0,IF(B3702=0,NOW(),B3702),)</f>
        <v>46017.880141319445</v>
      </c>
      <c r="C3702" s="76" t="s">
        <v>615</v>
      </c>
      <c r="D3702" s="76" t="s">
        <v>902</v>
      </c>
      <c r="E3702" s="79" t="s">
        <v>2573</v>
      </c>
      <c r="F3702" s="79"/>
    </row>
    <row r="3703" spans="1:6">
      <c r="A3703" s="77">
        <f t="shared" ca="1" si="344"/>
        <v>46017</v>
      </c>
      <c r="B3703" s="80">
        <f t="shared" ca="1" si="345"/>
        <v>46017.890167245372</v>
      </c>
      <c r="C3703" s="76" t="s">
        <v>615</v>
      </c>
      <c r="D3703" s="150" t="s">
        <v>1007</v>
      </c>
      <c r="E3703" s="79" t="s">
        <v>2574</v>
      </c>
      <c r="F3703" s="79"/>
    </row>
    <row r="3704" spans="1:6">
      <c r="A3704" s="77">
        <f t="shared" ca="1" si="344"/>
        <v>46017</v>
      </c>
      <c r="B3704" s="80">
        <f t="shared" ca="1" si="345"/>
        <v>46017.891735069446</v>
      </c>
      <c r="C3704" s="76" t="s">
        <v>615</v>
      </c>
      <c r="D3704" s="76" t="s">
        <v>902</v>
      </c>
      <c r="E3704" s="79" t="s">
        <v>1001</v>
      </c>
      <c r="F3704" s="79"/>
    </row>
    <row r="3705" spans="1:6">
      <c r="A3705" s="77">
        <f t="shared" ca="1" si="344"/>
        <v>46017</v>
      </c>
      <c r="B3705" s="80">
        <f t="shared" ca="1" si="345"/>
        <v>46017.89863773148</v>
      </c>
      <c r="C3705" s="76" t="s">
        <v>615</v>
      </c>
      <c r="D3705" s="76" t="s">
        <v>902</v>
      </c>
      <c r="E3705" s="79" t="s">
        <v>2575</v>
      </c>
      <c r="F3705" s="79"/>
    </row>
    <row r="3706" spans="1:6">
      <c r="A3706" s="77">
        <f t="shared" ca="1" si="344"/>
        <v>46017</v>
      </c>
      <c r="B3706" s="80">
        <f t="shared" ca="1" si="345"/>
        <v>46017.926489004632</v>
      </c>
      <c r="C3706" s="76" t="s">
        <v>615</v>
      </c>
      <c r="D3706" s="76" t="s">
        <v>902</v>
      </c>
      <c r="E3706" s="79" t="s">
        <v>2576</v>
      </c>
      <c r="F3706" s="79"/>
    </row>
    <row r="3707" spans="1:6">
      <c r="A3707" s="77">
        <f t="shared" ca="1" si="344"/>
        <v>46017</v>
      </c>
      <c r="B3707" s="80">
        <f t="shared" ca="1" si="345"/>
        <v>46017.931099884256</v>
      </c>
      <c r="C3707" s="76" t="s">
        <v>615</v>
      </c>
      <c r="D3707" s="76" t="s">
        <v>902</v>
      </c>
      <c r="E3707" s="79" t="s">
        <v>2000</v>
      </c>
      <c r="F3707" s="79"/>
    </row>
    <row r="3708" spans="1:6">
      <c r="A3708" s="77">
        <f t="shared" ca="1" si="344"/>
        <v>46017</v>
      </c>
      <c r="B3708" s="80">
        <f t="shared" ca="1" si="345"/>
        <v>46017.939946180559</v>
      </c>
      <c r="C3708" s="76" t="s">
        <v>615</v>
      </c>
      <c r="D3708" s="76" t="s">
        <v>902</v>
      </c>
      <c r="E3708" s="79" t="s">
        <v>2577</v>
      </c>
      <c r="F3708" s="79"/>
    </row>
    <row r="3709" spans="1:6">
      <c r="A3709" s="77">
        <f t="shared" ca="1" si="344"/>
        <v>46017</v>
      </c>
      <c r="B3709" s="80">
        <f t="shared" ca="1" si="345"/>
        <v>46017.961438541664</v>
      </c>
      <c r="C3709" s="76" t="s">
        <v>615</v>
      </c>
      <c r="D3709" s="76" t="s">
        <v>902</v>
      </c>
      <c r="E3709" s="79" t="s">
        <v>2289</v>
      </c>
      <c r="F3709" s="79"/>
    </row>
    <row r="3710" spans="1:6">
      <c r="A3710" s="77">
        <f t="shared" ref="A3710:A3714" ca="1" si="346">IF(C3710&lt;&gt;0,IF(A3710=0,TODAY(),A3710),)</f>
        <v>46017</v>
      </c>
      <c r="B3710" s="80">
        <f t="shared" ref="B3710:B3714" ca="1" si="347">IF(C3710&lt;&gt;0,IF(B3710=0,NOW(),B3710),)</f>
        <v>46017.967477662038</v>
      </c>
      <c r="C3710" s="76" t="s">
        <v>615</v>
      </c>
      <c r="D3710" s="76" t="s">
        <v>902</v>
      </c>
      <c r="E3710" s="79" t="s">
        <v>2529</v>
      </c>
      <c r="F3710" s="79"/>
    </row>
    <row r="3711" spans="1:6">
      <c r="A3711" s="77">
        <f t="shared" ca="1" si="346"/>
        <v>46017</v>
      </c>
      <c r="B3711" s="80">
        <f t="shared" ca="1" si="347"/>
        <v>46017.967821759259</v>
      </c>
      <c r="C3711" s="76" t="s">
        <v>615</v>
      </c>
      <c r="D3711" s="76" t="s">
        <v>902</v>
      </c>
      <c r="E3711" s="79" t="s">
        <v>2282</v>
      </c>
      <c r="F3711" s="79"/>
    </row>
    <row r="3712" spans="1:6">
      <c r="A3712" s="77">
        <f t="shared" ca="1" si="346"/>
        <v>46017</v>
      </c>
      <c r="B3712" s="80">
        <f t="shared" ca="1" si="347"/>
        <v>46017.97434641204</v>
      </c>
      <c r="C3712" s="76" t="s">
        <v>615</v>
      </c>
      <c r="D3712" s="76" t="s">
        <v>902</v>
      </c>
      <c r="E3712" s="79" t="s">
        <v>2578</v>
      </c>
      <c r="F3712" s="79"/>
    </row>
    <row r="3713" spans="1:6">
      <c r="A3713" s="77">
        <f t="shared" ca="1" si="346"/>
        <v>46017</v>
      </c>
      <c r="B3713" s="80">
        <f t="shared" ca="1" si="347"/>
        <v>46017.978151157404</v>
      </c>
      <c r="C3713" s="76" t="s">
        <v>615</v>
      </c>
      <c r="D3713" s="76" t="s">
        <v>902</v>
      </c>
      <c r="E3713" s="79" t="s">
        <v>2579</v>
      </c>
      <c r="F3713" s="79"/>
    </row>
    <row r="3714" spans="1:6">
      <c r="A3714" s="77">
        <f t="shared" ca="1" si="346"/>
        <v>46017</v>
      </c>
      <c r="B3714" s="80">
        <f t="shared" ca="1" si="347"/>
        <v>46017.978993750003</v>
      </c>
      <c r="C3714" s="76" t="s">
        <v>615</v>
      </c>
      <c r="D3714" s="76" t="s">
        <v>902</v>
      </c>
      <c r="E3714" s="79" t="s">
        <v>932</v>
      </c>
      <c r="F3714" s="79"/>
    </row>
    <row r="3715" spans="1:6">
      <c r="A3715" s="77">
        <f t="shared" ref="A3715:A3720" ca="1" si="348">IF(C3715&lt;&gt;0,IF(A3715=0,TODAY(),A3715),)</f>
        <v>46017</v>
      </c>
      <c r="B3715" s="80">
        <f t="shared" ref="B3715:B3720" ca="1" si="349">IF(C3715&lt;&gt;0,IF(B3715=0,NOW(),B3715),)</f>
        <v>46017.982432175922</v>
      </c>
      <c r="C3715" s="76" t="s">
        <v>615</v>
      </c>
      <c r="D3715" s="76" t="s">
        <v>902</v>
      </c>
      <c r="E3715" s="79" t="s">
        <v>2580</v>
      </c>
      <c r="F3715" s="79"/>
    </row>
    <row r="3716" spans="1:6">
      <c r="A3716" s="77">
        <f t="shared" ca="1" si="348"/>
        <v>46017</v>
      </c>
      <c r="B3716" s="80">
        <f t="shared" ca="1" si="349"/>
        <v>46017.987787268517</v>
      </c>
      <c r="C3716" s="76" t="s">
        <v>615</v>
      </c>
      <c r="D3716" s="76" t="s">
        <v>902</v>
      </c>
      <c r="E3716" s="79" t="s">
        <v>2581</v>
      </c>
      <c r="F3716" s="79"/>
    </row>
    <row r="3717" spans="1:6">
      <c r="A3717" s="77">
        <f t="shared" ca="1" si="348"/>
        <v>46017</v>
      </c>
      <c r="B3717" s="80">
        <f t="shared" ca="1" si="349"/>
        <v>46017.994109375002</v>
      </c>
      <c r="C3717" s="76" t="s">
        <v>615</v>
      </c>
      <c r="D3717" s="76" t="s">
        <v>902</v>
      </c>
      <c r="E3717" s="79" t="s">
        <v>2582</v>
      </c>
      <c r="F3717" s="79"/>
    </row>
    <row r="3718" spans="1:6">
      <c r="A3718" s="77">
        <f t="shared" ca="1" si="348"/>
        <v>46018</v>
      </c>
      <c r="B3718" s="80">
        <f t="shared" ca="1" si="349"/>
        <v>46018.017153356479</v>
      </c>
      <c r="C3718" s="76" t="s">
        <v>615</v>
      </c>
      <c r="D3718" s="76" t="s">
        <v>902</v>
      </c>
      <c r="E3718" s="79" t="s">
        <v>2528</v>
      </c>
      <c r="F3718" s="79"/>
    </row>
    <row r="3719" spans="1:6">
      <c r="A3719" s="77">
        <f t="shared" ca="1" si="348"/>
        <v>46018</v>
      </c>
      <c r="B3719" s="80">
        <f t="shared" ca="1" si="349"/>
        <v>46018.02476388889</v>
      </c>
      <c r="C3719" s="76" t="s">
        <v>615</v>
      </c>
      <c r="D3719" s="76" t="s">
        <v>902</v>
      </c>
      <c r="E3719" s="79" t="s">
        <v>2583</v>
      </c>
      <c r="F3719" s="79"/>
    </row>
    <row r="3720" spans="1:6">
      <c r="A3720" s="77">
        <f t="shared" ca="1" si="348"/>
        <v>46018</v>
      </c>
      <c r="B3720" s="80">
        <f t="shared" ca="1" si="349"/>
        <v>46018.036515740743</v>
      </c>
      <c r="C3720" s="76" t="s">
        <v>615</v>
      </c>
      <c r="D3720" s="150" t="s">
        <v>1007</v>
      </c>
      <c r="E3720" s="79" t="s">
        <v>2584</v>
      </c>
      <c r="F3720" s="79"/>
    </row>
    <row r="3721" spans="1:6">
      <c r="A3721" s="77">
        <f t="shared" ref="A3721:A3728" ca="1" si="350">IF(C3721&lt;&gt;0,IF(A3721=0,TODAY(),A3721),)</f>
        <v>46018</v>
      </c>
      <c r="B3721" s="80">
        <f t="shared" ref="B3721:B3728" ca="1" si="351">IF(C3721&lt;&gt;0,IF(B3721=0,NOW(),B3721),)</f>
        <v>46018.058005324077</v>
      </c>
      <c r="C3721" s="76" t="s">
        <v>615</v>
      </c>
      <c r="D3721" s="76" t="s">
        <v>902</v>
      </c>
      <c r="E3721" s="79" t="s">
        <v>2585</v>
      </c>
      <c r="F3721" s="79"/>
    </row>
    <row r="3722" spans="1:6">
      <c r="A3722" s="77">
        <f t="shared" ca="1" si="350"/>
        <v>46018</v>
      </c>
      <c r="B3722" s="80">
        <f t="shared" ca="1" si="351"/>
        <v>46018.058268055553</v>
      </c>
      <c r="C3722" s="76" t="s">
        <v>615</v>
      </c>
      <c r="D3722" s="76" t="s">
        <v>902</v>
      </c>
      <c r="E3722" s="79" t="s">
        <v>2582</v>
      </c>
      <c r="F3722" s="79"/>
    </row>
    <row r="3723" spans="1:6">
      <c r="A3723" s="77">
        <f t="shared" ca="1" si="350"/>
        <v>46018</v>
      </c>
      <c r="B3723" s="80">
        <f t="shared" ca="1" si="351"/>
        <v>46018.062431828701</v>
      </c>
      <c r="C3723" s="76" t="s">
        <v>615</v>
      </c>
      <c r="D3723" s="76" t="s">
        <v>902</v>
      </c>
      <c r="E3723" s="79" t="s">
        <v>2394</v>
      </c>
      <c r="F3723" s="79"/>
    </row>
    <row r="3724" spans="1:6">
      <c r="A3724" s="77">
        <f t="shared" ca="1" si="350"/>
        <v>46018</v>
      </c>
      <c r="B3724" s="80">
        <f t="shared" ca="1" si="351"/>
        <v>46018.063270833336</v>
      </c>
      <c r="C3724" s="76" t="s">
        <v>615</v>
      </c>
      <c r="D3724" s="76" t="s">
        <v>902</v>
      </c>
      <c r="E3724" s="79" t="s">
        <v>2586</v>
      </c>
      <c r="F3724" s="79"/>
    </row>
    <row r="3725" spans="1:6">
      <c r="A3725" s="77">
        <f t="shared" ca="1" si="350"/>
        <v>46018</v>
      </c>
      <c r="B3725" s="80">
        <f t="shared" ca="1" si="351"/>
        <v>46018.072028703704</v>
      </c>
      <c r="C3725" s="76" t="s">
        <v>615</v>
      </c>
      <c r="D3725" s="150" t="s">
        <v>1007</v>
      </c>
      <c r="E3725" s="79" t="s">
        <v>2587</v>
      </c>
      <c r="F3725" s="79"/>
    </row>
    <row r="3726" spans="1:6">
      <c r="A3726" s="77">
        <f t="shared" ca="1" si="350"/>
        <v>46018</v>
      </c>
      <c r="B3726" s="80">
        <f t="shared" ca="1" si="351"/>
        <v>46018.085941087964</v>
      </c>
      <c r="C3726" s="76" t="s">
        <v>615</v>
      </c>
      <c r="D3726" s="76" t="s">
        <v>902</v>
      </c>
      <c r="E3726" s="79" t="s">
        <v>2588</v>
      </c>
      <c r="F3726" s="79"/>
    </row>
    <row r="3727" spans="1:6">
      <c r="A3727" s="77">
        <f t="shared" ca="1" si="350"/>
        <v>46018</v>
      </c>
      <c r="B3727" s="80">
        <f t="shared" ca="1" si="351"/>
        <v>46018.092211574076</v>
      </c>
      <c r="C3727" s="76" t="s">
        <v>615</v>
      </c>
      <c r="D3727" s="76" t="s">
        <v>902</v>
      </c>
      <c r="E3727" s="79" t="s">
        <v>2000</v>
      </c>
      <c r="F3727" s="79"/>
    </row>
    <row r="3728" spans="1:6">
      <c r="A3728" s="77">
        <f t="shared" ca="1" si="350"/>
        <v>46018</v>
      </c>
      <c r="B3728" s="80">
        <f t="shared" ca="1" si="351"/>
        <v>46018.101523263889</v>
      </c>
      <c r="C3728" s="76" t="s">
        <v>615</v>
      </c>
      <c r="D3728" s="150" t="s">
        <v>1007</v>
      </c>
      <c r="E3728" s="79" t="s">
        <v>2589</v>
      </c>
      <c r="F3728" s="79"/>
    </row>
    <row r="3729" spans="1:6">
      <c r="A3729" s="77">
        <f t="shared" ref="A3729:A3735" ca="1" si="352">IF(C3729&lt;&gt;0,IF(A3729=0,TODAY(),A3729),)</f>
        <v>46018</v>
      </c>
      <c r="B3729" s="80">
        <f t="shared" ref="B3729:B3735" ca="1" si="353">IF(C3729&lt;&gt;0,IF(B3729=0,NOW(),B3729),)</f>
        <v>46018.108550115743</v>
      </c>
      <c r="C3729" s="76" t="s">
        <v>615</v>
      </c>
      <c r="D3729" s="76" t="s">
        <v>902</v>
      </c>
      <c r="E3729" s="79" t="s">
        <v>2590</v>
      </c>
      <c r="F3729" s="79"/>
    </row>
    <row r="3730" spans="1:6">
      <c r="A3730" s="77">
        <f t="shared" ca="1" si="352"/>
        <v>46018</v>
      </c>
      <c r="B3730" s="80">
        <f t="shared" ca="1" si="353"/>
        <v>46018.109026388891</v>
      </c>
      <c r="C3730" s="76" t="s">
        <v>615</v>
      </c>
      <c r="D3730" s="76" t="s">
        <v>902</v>
      </c>
      <c r="E3730" s="79" t="s">
        <v>2591</v>
      </c>
      <c r="F3730" s="79"/>
    </row>
    <row r="3731" spans="1:6" ht="18.75" customHeight="1">
      <c r="A3731" s="77">
        <f t="shared" ca="1" si="352"/>
        <v>46018</v>
      </c>
      <c r="B3731" s="80">
        <f t="shared" ca="1" si="353"/>
        <v>46018.115538310187</v>
      </c>
      <c r="C3731" s="76" t="s">
        <v>615</v>
      </c>
      <c r="D3731" s="76" t="s">
        <v>902</v>
      </c>
      <c r="E3731" s="79" t="s">
        <v>2592</v>
      </c>
      <c r="F3731" s="79"/>
    </row>
    <row r="3732" spans="1:6">
      <c r="A3732" s="77">
        <f t="shared" ca="1" si="352"/>
        <v>46018</v>
      </c>
      <c r="B3732" s="80">
        <f t="shared" ca="1" si="353"/>
        <v>46018.118646296294</v>
      </c>
      <c r="C3732" s="76" t="s">
        <v>615</v>
      </c>
      <c r="D3732" s="76" t="s">
        <v>902</v>
      </c>
      <c r="E3732" s="79" t="s">
        <v>2593</v>
      </c>
      <c r="F3732" s="79"/>
    </row>
    <row r="3733" spans="1:6">
      <c r="A3733" s="77">
        <f t="shared" ca="1" si="352"/>
        <v>46018</v>
      </c>
      <c r="B3733" s="80">
        <f t="shared" ca="1" si="353"/>
        <v>46018.123636111108</v>
      </c>
      <c r="C3733" s="76" t="s">
        <v>615</v>
      </c>
      <c r="D3733" s="76" t="s">
        <v>902</v>
      </c>
      <c r="E3733" s="79" t="s">
        <v>2000</v>
      </c>
      <c r="F3733" s="79"/>
    </row>
    <row r="3734" spans="1:6">
      <c r="A3734" s="77">
        <f t="shared" ca="1" si="352"/>
        <v>46018</v>
      </c>
      <c r="B3734" s="80">
        <f t="shared" ca="1" si="353"/>
        <v>46018.126700694447</v>
      </c>
      <c r="C3734" s="76" t="s">
        <v>615</v>
      </c>
      <c r="D3734" s="76" t="s">
        <v>902</v>
      </c>
      <c r="E3734" s="79" t="s">
        <v>2594</v>
      </c>
      <c r="F3734" s="79"/>
    </row>
    <row r="3735" spans="1:6">
      <c r="A3735" s="77">
        <f t="shared" ca="1" si="352"/>
        <v>46018</v>
      </c>
      <c r="B3735" s="80">
        <f t="shared" ca="1" si="353"/>
        <v>46018.129886111114</v>
      </c>
      <c r="C3735" s="76" t="s">
        <v>615</v>
      </c>
      <c r="D3735" s="76" t="s">
        <v>902</v>
      </c>
      <c r="E3735" s="79" t="s">
        <v>1229</v>
      </c>
      <c r="F3735" s="79"/>
    </row>
    <row r="3736" spans="1:6">
      <c r="A3736" s="77">
        <f t="shared" ref="A3736:A3742" ca="1" si="354">IF(C3736&lt;&gt;0,IF(A3736=0,TODAY(),A3736),)</f>
        <v>46018</v>
      </c>
      <c r="B3736" s="80">
        <f t="shared" ref="B3736:B3740" ca="1" si="355">IF(C3736&lt;&gt;0,IF(B3736=0,NOW(),B3736),)</f>
        <v>46018.134932175926</v>
      </c>
      <c r="C3736" s="76" t="s">
        <v>615</v>
      </c>
      <c r="D3736" s="76" t="s">
        <v>902</v>
      </c>
      <c r="E3736" s="79" t="s">
        <v>2595</v>
      </c>
      <c r="F3736" s="79"/>
    </row>
    <row r="3737" spans="1:6">
      <c r="A3737" s="77">
        <f t="shared" ca="1" si="354"/>
        <v>46018</v>
      </c>
      <c r="B3737" s="80">
        <f t="shared" ca="1" si="355"/>
        <v>46018.143254050927</v>
      </c>
      <c r="C3737" s="76" t="s">
        <v>615</v>
      </c>
      <c r="D3737" s="150" t="s">
        <v>1007</v>
      </c>
      <c r="E3737" s="79" t="s">
        <v>2596</v>
      </c>
      <c r="F3737" s="79"/>
    </row>
    <row r="3738" spans="1:6">
      <c r="A3738" s="77">
        <f t="shared" ca="1" si="354"/>
        <v>46018</v>
      </c>
      <c r="B3738" s="80">
        <f t="shared" ca="1" si="355"/>
        <v>46018.148702777777</v>
      </c>
      <c r="C3738" s="76" t="s">
        <v>615</v>
      </c>
      <c r="D3738" s="76" t="s">
        <v>902</v>
      </c>
      <c r="E3738" s="79" t="s">
        <v>2597</v>
      </c>
      <c r="F3738" s="79"/>
    </row>
    <row r="3739" spans="1:6">
      <c r="A3739" s="77">
        <f t="shared" ca="1" si="354"/>
        <v>46018</v>
      </c>
      <c r="B3739" s="80">
        <f t="shared" ca="1" si="355"/>
        <v>46018.152026388889</v>
      </c>
      <c r="C3739" s="76" t="s">
        <v>615</v>
      </c>
      <c r="D3739" s="76" t="s">
        <v>902</v>
      </c>
      <c r="E3739" s="79" t="s">
        <v>2598</v>
      </c>
      <c r="F3739" s="79"/>
    </row>
    <row r="3740" spans="1:6">
      <c r="A3740" s="77">
        <f t="shared" ca="1" si="354"/>
        <v>46018</v>
      </c>
      <c r="B3740" s="80">
        <f t="shared" ca="1" si="355"/>
        <v>46018.156764467596</v>
      </c>
      <c r="C3740" s="76" t="s">
        <v>615</v>
      </c>
      <c r="D3740" s="210" t="s">
        <v>922</v>
      </c>
      <c r="E3740" s="79"/>
      <c r="F3740" s="79"/>
    </row>
    <row r="3741" spans="1:6">
      <c r="A3741" s="77">
        <f t="shared" ca="1" si="354"/>
        <v>46018</v>
      </c>
      <c r="B3741" s="87">
        <v>0.20833333333333334</v>
      </c>
      <c r="C3741" s="76" t="s">
        <v>615</v>
      </c>
      <c r="D3741" s="210" t="s">
        <v>1098</v>
      </c>
      <c r="E3741" s="79"/>
      <c r="F3741" s="79"/>
    </row>
    <row r="3742" spans="1:6">
      <c r="A3742" s="77">
        <f t="shared" ca="1" si="354"/>
        <v>46018</v>
      </c>
      <c r="B3742" s="80">
        <v>0.24305555555555555</v>
      </c>
      <c r="C3742" s="76" t="s">
        <v>619</v>
      </c>
      <c r="D3742" s="210" t="s">
        <v>906</v>
      </c>
      <c r="E3742" s="79"/>
      <c r="F3742" s="79"/>
    </row>
    <row r="3743" spans="1:6">
      <c r="A3743" s="77">
        <f t="shared" ref="A3743:A3746" ca="1" si="356">IF(C3743&lt;&gt;0,IF(A3743=0,TODAY(),A3743),)</f>
        <v>46018</v>
      </c>
      <c r="B3743" s="80">
        <f t="shared" ref="B3743:B3746" ca="1" si="357">IF(C3743&lt;&gt;0,IF(B3743=0,NOW(),B3743),)</f>
        <v>46018.273729629633</v>
      </c>
      <c r="C3743" s="76" t="s">
        <v>619</v>
      </c>
      <c r="D3743" s="76" t="s">
        <v>902</v>
      </c>
      <c r="E3743" s="79" t="s">
        <v>2599</v>
      </c>
      <c r="F3743" s="79"/>
    </row>
    <row r="3744" spans="1:6">
      <c r="A3744" s="77">
        <f t="shared" ca="1" si="356"/>
        <v>46018</v>
      </c>
      <c r="B3744" s="80">
        <f t="shared" ca="1" si="357"/>
        <v>46018.275918171297</v>
      </c>
      <c r="C3744" s="76" t="s">
        <v>619</v>
      </c>
      <c r="D3744" s="76" t="s">
        <v>902</v>
      </c>
      <c r="E3744" s="79" t="s">
        <v>2600</v>
      </c>
      <c r="F3744" s="79"/>
    </row>
    <row r="3745" spans="1:6">
      <c r="A3745" s="77">
        <f t="shared" ca="1" si="356"/>
        <v>46018</v>
      </c>
      <c r="B3745" s="80">
        <f t="shared" ca="1" si="357"/>
        <v>46018.278125810182</v>
      </c>
      <c r="C3745" s="76" t="s">
        <v>619</v>
      </c>
      <c r="D3745" s="76" t="s">
        <v>902</v>
      </c>
      <c r="E3745" s="79" t="s">
        <v>2601</v>
      </c>
      <c r="F3745" s="79"/>
    </row>
    <row r="3746" spans="1:6">
      <c r="A3746" s="77">
        <f t="shared" ca="1" si="356"/>
        <v>46018</v>
      </c>
      <c r="B3746" s="80">
        <f t="shared" ca="1" si="357"/>
        <v>46018.278352777779</v>
      </c>
      <c r="C3746" s="76" t="s">
        <v>619</v>
      </c>
      <c r="D3746" s="76" t="s">
        <v>902</v>
      </c>
      <c r="E3746" s="79" t="s">
        <v>1486</v>
      </c>
      <c r="F3746" s="79"/>
    </row>
    <row r="3747" spans="1:6">
      <c r="A3747" s="77">
        <f t="shared" ref="A3747:A3809" ca="1" si="358">IF(C3747&lt;&gt;0,IF(A3747=0,TODAY(),A3747),)</f>
        <v>46018</v>
      </c>
      <c r="B3747" s="80">
        <f t="shared" ref="B3747:B3758" ca="1" si="359">IF(C3747&lt;&gt;0,IF(B3747=0,NOW(),B3747),)</f>
        <v>46018.280154629632</v>
      </c>
      <c r="C3747" s="76" t="s">
        <v>619</v>
      </c>
      <c r="D3747" s="210" t="s">
        <v>909</v>
      </c>
      <c r="E3747" s="79"/>
      <c r="F3747" s="79"/>
    </row>
    <row r="3748" spans="1:6">
      <c r="A3748" s="77">
        <f t="shared" ca="1" si="358"/>
        <v>46018</v>
      </c>
      <c r="B3748" s="80">
        <f t="shared" ca="1" si="359"/>
        <v>46018.280658564814</v>
      </c>
      <c r="C3748" s="76" t="s">
        <v>619</v>
      </c>
      <c r="D3748" s="76" t="s">
        <v>902</v>
      </c>
      <c r="E3748" s="79" t="s">
        <v>1486</v>
      </c>
      <c r="F3748" s="79"/>
    </row>
    <row r="3749" spans="1:6">
      <c r="A3749" s="77">
        <f t="shared" ca="1" si="358"/>
        <v>46018</v>
      </c>
      <c r="B3749" s="80">
        <f t="shared" ca="1" si="359"/>
        <v>46018.280771759259</v>
      </c>
      <c r="C3749" s="76" t="s">
        <v>619</v>
      </c>
      <c r="D3749" s="76" t="s">
        <v>902</v>
      </c>
      <c r="E3749" s="79" t="s">
        <v>1486</v>
      </c>
      <c r="F3749" s="79"/>
    </row>
    <row r="3750" spans="1:6">
      <c r="A3750" s="77">
        <f t="shared" ca="1" si="358"/>
        <v>46018</v>
      </c>
      <c r="B3750" s="80">
        <f t="shared" ca="1" si="359"/>
        <v>46018.280834722224</v>
      </c>
      <c r="C3750" s="76" t="s">
        <v>619</v>
      </c>
      <c r="D3750" s="76" t="s">
        <v>902</v>
      </c>
      <c r="E3750" s="79" t="s">
        <v>1424</v>
      </c>
      <c r="F3750" s="79"/>
    </row>
    <row r="3751" spans="1:6">
      <c r="A3751" s="77">
        <f t="shared" ca="1" si="358"/>
        <v>46018</v>
      </c>
      <c r="B3751" s="80">
        <f t="shared" ca="1" si="359"/>
        <v>46018.280959606484</v>
      </c>
      <c r="C3751" s="76" t="s">
        <v>619</v>
      </c>
      <c r="D3751" s="76" t="s">
        <v>902</v>
      </c>
      <c r="E3751" s="79" t="s">
        <v>1486</v>
      </c>
      <c r="F3751" s="79"/>
    </row>
    <row r="3752" spans="1:6">
      <c r="A3752" s="77">
        <f t="shared" ca="1" si="358"/>
        <v>46018</v>
      </c>
      <c r="B3752" s="80">
        <f t="shared" ca="1" si="359"/>
        <v>46018.281063773145</v>
      </c>
      <c r="C3752" s="76" t="s">
        <v>619</v>
      </c>
      <c r="D3752" s="76" t="s">
        <v>902</v>
      </c>
      <c r="E3752" s="79" t="s">
        <v>1486</v>
      </c>
      <c r="F3752" s="79"/>
    </row>
    <row r="3753" spans="1:6">
      <c r="A3753" s="77">
        <f t="shared" ca="1" si="358"/>
        <v>46018</v>
      </c>
      <c r="B3753" s="80">
        <f t="shared" ca="1" si="359"/>
        <v>46018.281270023152</v>
      </c>
      <c r="C3753" s="76" t="s">
        <v>619</v>
      </c>
      <c r="D3753" s="76" t="s">
        <v>902</v>
      </c>
      <c r="E3753" s="79" t="s">
        <v>1424</v>
      </c>
      <c r="F3753" s="79"/>
    </row>
    <row r="3754" spans="1:6">
      <c r="A3754" s="77">
        <f t="shared" ca="1" si="358"/>
        <v>46018</v>
      </c>
      <c r="B3754" s="80">
        <f t="shared" ca="1" si="359"/>
        <v>46018.281425925925</v>
      </c>
      <c r="C3754" s="76" t="s">
        <v>619</v>
      </c>
      <c r="D3754" s="76" t="s">
        <v>902</v>
      </c>
      <c r="E3754" s="79" t="s">
        <v>1486</v>
      </c>
      <c r="F3754" s="79"/>
    </row>
    <row r="3755" spans="1:6">
      <c r="A3755" s="77">
        <f t="shared" ca="1" si="358"/>
        <v>46018</v>
      </c>
      <c r="B3755" s="80">
        <f t="shared" ca="1" si="359"/>
        <v>46018.281531250002</v>
      </c>
      <c r="C3755" s="76" t="s">
        <v>619</v>
      </c>
      <c r="D3755" s="76" t="s">
        <v>902</v>
      </c>
      <c r="E3755" s="79" t="s">
        <v>1486</v>
      </c>
      <c r="F3755" s="79"/>
    </row>
    <row r="3756" spans="1:6">
      <c r="A3756" s="77">
        <f t="shared" ca="1" si="358"/>
        <v>46018</v>
      </c>
      <c r="B3756" s="80">
        <f t="shared" ca="1" si="359"/>
        <v>46018.281732754629</v>
      </c>
      <c r="C3756" s="76" t="s">
        <v>619</v>
      </c>
      <c r="D3756" s="76" t="s">
        <v>902</v>
      </c>
      <c r="E3756" s="79" t="s">
        <v>2000</v>
      </c>
      <c r="F3756" s="79"/>
    </row>
    <row r="3757" spans="1:6">
      <c r="A3757" s="77">
        <f t="shared" ca="1" si="358"/>
        <v>46018</v>
      </c>
      <c r="B3757" s="80">
        <f t="shared" ca="1" si="359"/>
        <v>46018.282038888887</v>
      </c>
      <c r="C3757" s="76" t="s">
        <v>619</v>
      </c>
      <c r="D3757" s="76" t="s">
        <v>902</v>
      </c>
      <c r="E3757" s="79" t="s">
        <v>2602</v>
      </c>
      <c r="F3757" s="79"/>
    </row>
    <row r="3758" spans="1:6">
      <c r="A3758" s="77">
        <f t="shared" ca="1" si="358"/>
        <v>46018</v>
      </c>
      <c r="B3758" s="80">
        <f t="shared" ca="1" si="359"/>
        <v>46018.283793055554</v>
      </c>
      <c r="C3758" s="76" t="s">
        <v>619</v>
      </c>
      <c r="D3758" s="76" t="s">
        <v>902</v>
      </c>
      <c r="E3758" s="79" t="s">
        <v>2603</v>
      </c>
      <c r="F3758" s="79"/>
    </row>
    <row r="3759" spans="1:6">
      <c r="A3759" s="77">
        <f t="shared" ca="1" si="358"/>
        <v>46018</v>
      </c>
      <c r="B3759" s="80">
        <f t="shared" ref="B3759:B3768" ca="1" si="360">IF(C3759&lt;&gt;0,IF(B3759=0,NOW(),B3759),)</f>
        <v>46018.286708217594</v>
      </c>
      <c r="C3759" s="76" t="s">
        <v>619</v>
      </c>
      <c r="D3759" s="76" t="s">
        <v>902</v>
      </c>
      <c r="E3759" s="79" t="s">
        <v>2000</v>
      </c>
      <c r="F3759" s="79"/>
    </row>
    <row r="3760" spans="1:6">
      <c r="A3760" s="77">
        <f t="shared" ca="1" si="358"/>
        <v>46018</v>
      </c>
      <c r="B3760" s="80">
        <f t="shared" ca="1" si="360"/>
        <v>46018.2876875</v>
      </c>
      <c r="C3760" s="76" t="s">
        <v>619</v>
      </c>
      <c r="D3760" s="76" t="s">
        <v>902</v>
      </c>
      <c r="E3760" s="79" t="s">
        <v>2000</v>
      </c>
      <c r="F3760" s="79"/>
    </row>
    <row r="3761" spans="1:6">
      <c r="A3761" s="77">
        <f t="shared" ca="1" si="358"/>
        <v>46018</v>
      </c>
      <c r="B3761" s="80">
        <f t="shared" ca="1" si="360"/>
        <v>46018.293953587963</v>
      </c>
      <c r="C3761" s="76" t="s">
        <v>619</v>
      </c>
      <c r="D3761" s="76" t="s">
        <v>902</v>
      </c>
      <c r="E3761" s="79" t="s">
        <v>1352</v>
      </c>
      <c r="F3761" s="79"/>
    </row>
    <row r="3762" spans="1:6">
      <c r="A3762" s="77">
        <f t="shared" ca="1" si="358"/>
        <v>46018</v>
      </c>
      <c r="B3762" s="80">
        <f t="shared" ca="1" si="360"/>
        <v>46018.294170717592</v>
      </c>
      <c r="C3762" s="76" t="s">
        <v>619</v>
      </c>
      <c r="D3762" s="76" t="s">
        <v>902</v>
      </c>
      <c r="E3762" s="79" t="s">
        <v>2604</v>
      </c>
      <c r="F3762" s="79"/>
    </row>
    <row r="3763" spans="1:6">
      <c r="A3763" s="77">
        <f t="shared" ca="1" si="358"/>
        <v>46018</v>
      </c>
      <c r="B3763" s="80">
        <f t="shared" ca="1" si="360"/>
        <v>46018.295257060185</v>
      </c>
      <c r="C3763" s="76" t="s">
        <v>619</v>
      </c>
      <c r="D3763" s="76" t="s">
        <v>902</v>
      </c>
      <c r="E3763" s="79" t="s">
        <v>1781</v>
      </c>
      <c r="F3763" s="79"/>
    </row>
    <row r="3764" spans="1:6">
      <c r="A3764" s="77">
        <f t="shared" ca="1" si="358"/>
        <v>46018</v>
      </c>
      <c r="B3764" s="80">
        <f t="shared" ca="1" si="360"/>
        <v>46018.295452546299</v>
      </c>
      <c r="C3764" s="76" t="s">
        <v>619</v>
      </c>
      <c r="D3764" s="76" t="s">
        <v>902</v>
      </c>
      <c r="E3764" s="79" t="s">
        <v>1781</v>
      </c>
      <c r="F3764" s="79"/>
    </row>
    <row r="3765" spans="1:6">
      <c r="A3765" s="77">
        <f t="shared" ca="1" si="358"/>
        <v>46018</v>
      </c>
      <c r="B3765" s="80">
        <f t="shared" ca="1" si="360"/>
        <v>46018.295807754628</v>
      </c>
      <c r="C3765" s="76" t="s">
        <v>619</v>
      </c>
      <c r="D3765" s="76" t="s">
        <v>902</v>
      </c>
      <c r="E3765" s="79" t="s">
        <v>2605</v>
      </c>
      <c r="F3765" s="79"/>
    </row>
    <row r="3766" spans="1:6">
      <c r="A3766" s="77">
        <f t="shared" ca="1" si="358"/>
        <v>46018</v>
      </c>
      <c r="B3766" s="80">
        <f t="shared" ca="1" si="360"/>
        <v>46018.296278240741</v>
      </c>
      <c r="C3766" s="76" t="s">
        <v>619</v>
      </c>
      <c r="D3766" s="76" t="s">
        <v>902</v>
      </c>
      <c r="E3766" s="79" t="s">
        <v>2606</v>
      </c>
      <c r="F3766" s="79"/>
    </row>
    <row r="3767" spans="1:6">
      <c r="A3767" s="77">
        <f t="shared" ca="1" si="358"/>
        <v>46018</v>
      </c>
      <c r="B3767" s="80">
        <f t="shared" ca="1" si="360"/>
        <v>46018.296968402778</v>
      </c>
      <c r="C3767" s="76" t="s">
        <v>619</v>
      </c>
      <c r="D3767" s="76" t="s">
        <v>902</v>
      </c>
      <c r="E3767" s="79" t="s">
        <v>2607</v>
      </c>
      <c r="F3767" s="79"/>
    </row>
    <row r="3768" spans="1:6">
      <c r="A3768" s="77">
        <f t="shared" ca="1" si="358"/>
        <v>46018</v>
      </c>
      <c r="B3768" s="80">
        <f t="shared" ca="1" si="360"/>
        <v>46018.297773032406</v>
      </c>
      <c r="C3768" s="76" t="s">
        <v>619</v>
      </c>
      <c r="D3768" s="76" t="s">
        <v>902</v>
      </c>
      <c r="E3768" s="79" t="s">
        <v>1486</v>
      </c>
      <c r="F3768" s="79"/>
    </row>
    <row r="3769" spans="1:6">
      <c r="A3769" s="77">
        <f t="shared" ca="1" si="358"/>
        <v>46018</v>
      </c>
      <c r="B3769" s="80">
        <f t="shared" ref="B3769:B3776" ca="1" si="361">IF(C3769&lt;&gt;0,IF(B3769=0,NOW(),B3769),)</f>
        <v>46018.298735532408</v>
      </c>
      <c r="C3769" s="76" t="s">
        <v>619</v>
      </c>
      <c r="D3769" s="76" t="s">
        <v>902</v>
      </c>
      <c r="E3769" s="79" t="s">
        <v>2608</v>
      </c>
      <c r="F3769" s="79"/>
    </row>
    <row r="3770" spans="1:6">
      <c r="A3770" s="77">
        <f t="shared" ca="1" si="358"/>
        <v>46018</v>
      </c>
      <c r="B3770" s="80">
        <f t="shared" ca="1" si="361"/>
        <v>46018.30007060185</v>
      </c>
      <c r="C3770" s="76" t="s">
        <v>619</v>
      </c>
      <c r="D3770" s="76" t="s">
        <v>902</v>
      </c>
      <c r="E3770" s="79" t="s">
        <v>1781</v>
      </c>
      <c r="F3770" s="79"/>
    </row>
    <row r="3771" spans="1:6">
      <c r="A3771" s="77">
        <f t="shared" ca="1" si="358"/>
        <v>46018</v>
      </c>
      <c r="B3771" s="80">
        <f t="shared" ca="1" si="361"/>
        <v>46018.305061689818</v>
      </c>
      <c r="C3771" s="76" t="s">
        <v>619</v>
      </c>
      <c r="D3771" s="76" t="s">
        <v>902</v>
      </c>
      <c r="E3771" s="79" t="s">
        <v>1781</v>
      </c>
      <c r="F3771" s="79"/>
    </row>
    <row r="3772" spans="1:6">
      <c r="A3772" s="77">
        <f t="shared" ca="1" si="358"/>
        <v>46018</v>
      </c>
      <c r="B3772" s="80">
        <f t="shared" ca="1" si="361"/>
        <v>46018.305159722222</v>
      </c>
      <c r="C3772" s="76" t="s">
        <v>619</v>
      </c>
      <c r="D3772" s="76" t="s">
        <v>902</v>
      </c>
      <c r="E3772" s="79" t="s">
        <v>2000</v>
      </c>
      <c r="F3772" s="79"/>
    </row>
    <row r="3773" spans="1:6">
      <c r="A3773" s="77">
        <f t="shared" ca="1" si="358"/>
        <v>46018</v>
      </c>
      <c r="B3773" s="80">
        <f t="shared" ca="1" si="361"/>
        <v>46018.306040277777</v>
      </c>
      <c r="C3773" s="76" t="s">
        <v>619</v>
      </c>
      <c r="D3773" s="76" t="s">
        <v>902</v>
      </c>
      <c r="E3773" s="79" t="s">
        <v>2000</v>
      </c>
      <c r="F3773" s="79"/>
    </row>
    <row r="3774" spans="1:6">
      <c r="A3774" s="77">
        <f t="shared" ca="1" si="358"/>
        <v>46018</v>
      </c>
      <c r="B3774" s="80">
        <f t="shared" ca="1" si="361"/>
        <v>46018.30695150463</v>
      </c>
      <c r="C3774" s="76" t="s">
        <v>619</v>
      </c>
      <c r="D3774" s="76" t="s">
        <v>902</v>
      </c>
      <c r="E3774" s="79" t="s">
        <v>997</v>
      </c>
      <c r="F3774" s="79"/>
    </row>
    <row r="3775" spans="1:6">
      <c r="A3775" s="77">
        <f t="shared" ca="1" si="358"/>
        <v>46018</v>
      </c>
      <c r="B3775" s="80">
        <f t="shared" ca="1" si="361"/>
        <v>46018.308869560184</v>
      </c>
      <c r="C3775" s="76" t="s">
        <v>619</v>
      </c>
      <c r="D3775" s="76" t="s">
        <v>902</v>
      </c>
      <c r="E3775" s="79" t="s">
        <v>2000</v>
      </c>
      <c r="F3775" s="79"/>
    </row>
    <row r="3776" spans="1:6">
      <c r="A3776" s="77">
        <f t="shared" ca="1" si="358"/>
        <v>46018</v>
      </c>
      <c r="B3776" s="80">
        <f t="shared" ca="1" si="361"/>
        <v>46018.311369560186</v>
      </c>
      <c r="C3776" s="76" t="s">
        <v>619</v>
      </c>
      <c r="D3776" s="76" t="s">
        <v>902</v>
      </c>
      <c r="E3776" s="79" t="s">
        <v>2000</v>
      </c>
      <c r="F3776" s="79"/>
    </row>
    <row r="3777" spans="1:6">
      <c r="A3777" s="77">
        <f t="shared" ca="1" si="358"/>
        <v>46018</v>
      </c>
      <c r="B3777" s="80">
        <f t="shared" ref="B3777:B3783" ca="1" si="362">IF(C3777&lt;&gt;0,IF(B3777=0,NOW(),B3777),)</f>
        <v>46018.313000000002</v>
      </c>
      <c r="C3777" s="76" t="s">
        <v>619</v>
      </c>
      <c r="D3777" s="76" t="s">
        <v>902</v>
      </c>
      <c r="E3777" s="79" t="s">
        <v>997</v>
      </c>
      <c r="F3777" s="79"/>
    </row>
    <row r="3778" spans="1:6">
      <c r="A3778" s="77">
        <f t="shared" ca="1" si="358"/>
        <v>46018</v>
      </c>
      <c r="B3778" s="80">
        <f t="shared" ca="1" si="362"/>
        <v>46018.313186226849</v>
      </c>
      <c r="C3778" s="76" t="s">
        <v>619</v>
      </c>
      <c r="D3778" s="76" t="s">
        <v>902</v>
      </c>
      <c r="E3778" s="79" t="s">
        <v>1781</v>
      </c>
      <c r="F3778" s="79"/>
    </row>
    <row r="3779" spans="1:6">
      <c r="A3779" s="77">
        <f t="shared" ca="1" si="358"/>
        <v>46018</v>
      </c>
      <c r="B3779" s="80">
        <f t="shared" ca="1" si="362"/>
        <v>46018.313934953701</v>
      </c>
      <c r="C3779" s="76" t="s">
        <v>619</v>
      </c>
      <c r="D3779" s="76" t="s">
        <v>902</v>
      </c>
      <c r="E3779" s="79" t="s">
        <v>1063</v>
      </c>
      <c r="F3779" s="79"/>
    </row>
    <row r="3780" spans="1:6">
      <c r="A3780" s="77">
        <f t="shared" ca="1" si="358"/>
        <v>46018</v>
      </c>
      <c r="B3780" s="80">
        <f t="shared" ca="1" si="362"/>
        <v>46018.315266898149</v>
      </c>
      <c r="C3780" s="76" t="s">
        <v>619</v>
      </c>
      <c r="D3780" s="76" t="s">
        <v>902</v>
      </c>
      <c r="E3780" s="79" t="s">
        <v>1781</v>
      </c>
      <c r="F3780" s="79"/>
    </row>
    <row r="3781" spans="1:6">
      <c r="A3781" s="77">
        <f t="shared" ca="1" si="358"/>
        <v>46018</v>
      </c>
      <c r="B3781" s="80">
        <f t="shared" ca="1" si="362"/>
        <v>46018.316873611111</v>
      </c>
      <c r="C3781" s="76" t="s">
        <v>619</v>
      </c>
      <c r="D3781" s="76" t="s">
        <v>902</v>
      </c>
      <c r="E3781" s="79" t="s">
        <v>2609</v>
      </c>
      <c r="F3781" s="79"/>
    </row>
    <row r="3782" spans="1:6">
      <c r="A3782" s="77">
        <f t="shared" ca="1" si="358"/>
        <v>46018</v>
      </c>
      <c r="B3782" s="80">
        <f t="shared" ca="1" si="362"/>
        <v>46018.318441203701</v>
      </c>
      <c r="C3782" s="76" t="s">
        <v>619</v>
      </c>
      <c r="D3782" s="76" t="s">
        <v>902</v>
      </c>
      <c r="E3782" s="79" t="s">
        <v>932</v>
      </c>
      <c r="F3782" s="79"/>
    </row>
    <row r="3783" spans="1:6">
      <c r="A3783" s="77">
        <f t="shared" ca="1" si="358"/>
        <v>46018</v>
      </c>
      <c r="B3783" s="80">
        <f t="shared" ca="1" si="362"/>
        <v>46018.319253240741</v>
      </c>
      <c r="C3783" s="76" t="s">
        <v>619</v>
      </c>
      <c r="D3783" s="76" t="s">
        <v>902</v>
      </c>
      <c r="E3783" s="79" t="s">
        <v>2000</v>
      </c>
      <c r="F3783" s="79"/>
    </row>
    <row r="3784" spans="1:6">
      <c r="A3784" s="77">
        <f t="shared" ca="1" si="358"/>
        <v>46018</v>
      </c>
      <c r="B3784" s="80">
        <f t="shared" ref="B3784:B3790" ca="1" si="363">IF(C3784&lt;&gt;0,IF(B3784=0,NOW(),B3784),)</f>
        <v>46018.321261226854</v>
      </c>
      <c r="C3784" s="76" t="s">
        <v>619</v>
      </c>
      <c r="D3784" s="76" t="s">
        <v>902</v>
      </c>
      <c r="E3784" s="79" t="s">
        <v>1109</v>
      </c>
      <c r="F3784" s="79"/>
    </row>
    <row r="3785" spans="1:6">
      <c r="A3785" s="77">
        <f t="shared" ca="1" si="358"/>
        <v>46018</v>
      </c>
      <c r="B3785" s="80">
        <f t="shared" ca="1" si="363"/>
        <v>46018.323306018516</v>
      </c>
      <c r="C3785" s="76" t="s">
        <v>619</v>
      </c>
      <c r="D3785" s="76" t="s">
        <v>902</v>
      </c>
      <c r="E3785" s="79" t="s">
        <v>2603</v>
      </c>
      <c r="F3785" s="79"/>
    </row>
    <row r="3786" spans="1:6">
      <c r="A3786" s="77">
        <f t="shared" ca="1" si="358"/>
        <v>46018</v>
      </c>
      <c r="B3786" s="80">
        <f t="shared" ca="1" si="363"/>
        <v>46018.326258333334</v>
      </c>
      <c r="C3786" s="76" t="s">
        <v>619</v>
      </c>
      <c r="D3786" s="76" t="s">
        <v>902</v>
      </c>
      <c r="E3786" s="79" t="s">
        <v>2609</v>
      </c>
      <c r="F3786" s="79"/>
    </row>
    <row r="3787" spans="1:6">
      <c r="A3787" s="77">
        <f t="shared" ca="1" si="358"/>
        <v>46018</v>
      </c>
      <c r="B3787" s="80">
        <f t="shared" ca="1" si="363"/>
        <v>46018.329109375001</v>
      </c>
      <c r="C3787" s="76" t="s">
        <v>619</v>
      </c>
      <c r="D3787" s="76" t="s">
        <v>902</v>
      </c>
      <c r="E3787" s="79" t="s">
        <v>2349</v>
      </c>
      <c r="F3787" s="79"/>
    </row>
    <row r="3788" spans="1:6">
      <c r="A3788" s="77">
        <f t="shared" ca="1" si="358"/>
        <v>46018</v>
      </c>
      <c r="B3788" s="80">
        <f t="shared" ca="1" si="363"/>
        <v>46018.331665393518</v>
      </c>
      <c r="C3788" s="76" t="s">
        <v>619</v>
      </c>
      <c r="D3788" s="76" t="s">
        <v>902</v>
      </c>
      <c r="E3788" s="79" t="s">
        <v>2610</v>
      </c>
      <c r="F3788" s="79"/>
    </row>
    <row r="3789" spans="1:6">
      <c r="A3789" s="77">
        <f t="shared" ca="1" si="358"/>
        <v>46018</v>
      </c>
      <c r="B3789" s="80">
        <f t="shared" ca="1" si="363"/>
        <v>46018.336128935189</v>
      </c>
      <c r="C3789" s="76" t="s">
        <v>619</v>
      </c>
      <c r="D3789" s="76" t="s">
        <v>902</v>
      </c>
      <c r="E3789" s="79" t="s">
        <v>2000</v>
      </c>
      <c r="F3789" s="79"/>
    </row>
    <row r="3790" spans="1:6">
      <c r="A3790" s="77">
        <f t="shared" ca="1" si="358"/>
        <v>46018</v>
      </c>
      <c r="B3790" s="80">
        <f t="shared" ca="1" si="363"/>
        <v>46018.344370023151</v>
      </c>
      <c r="C3790" s="76" t="s">
        <v>619</v>
      </c>
      <c r="D3790" s="76" t="s">
        <v>902</v>
      </c>
      <c r="E3790" s="79" t="s">
        <v>2611</v>
      </c>
      <c r="F3790" s="79"/>
    </row>
    <row r="3791" spans="1:6">
      <c r="A3791" s="77">
        <f t="shared" ca="1" si="358"/>
        <v>46018</v>
      </c>
      <c r="B3791" s="80">
        <f t="shared" ref="B3791:B3797" ca="1" si="364">IF(C3791&lt;&gt;0,IF(B3791=0,NOW(),B3791),)</f>
        <v>46018.363857986114</v>
      </c>
      <c r="C3791" s="76" t="s">
        <v>619</v>
      </c>
      <c r="D3791" s="76" t="s">
        <v>902</v>
      </c>
      <c r="E3791" s="79" t="s">
        <v>2612</v>
      </c>
      <c r="F3791" s="79"/>
    </row>
    <row r="3792" spans="1:6">
      <c r="A3792" s="77">
        <f t="shared" ca="1" si="358"/>
        <v>46018</v>
      </c>
      <c r="B3792" s="80">
        <f t="shared" ca="1" si="364"/>
        <v>46018.379750578701</v>
      </c>
      <c r="C3792" s="76" t="s">
        <v>619</v>
      </c>
      <c r="D3792" s="76" t="s">
        <v>902</v>
      </c>
      <c r="E3792" s="79" t="s">
        <v>2613</v>
      </c>
      <c r="F3792" s="79"/>
    </row>
    <row r="3793" spans="1:6">
      <c r="A3793" s="77">
        <f t="shared" ca="1" si="358"/>
        <v>46018</v>
      </c>
      <c r="B3793" s="80">
        <f t="shared" ca="1" si="364"/>
        <v>46018.392967476851</v>
      </c>
      <c r="C3793" s="76" t="s">
        <v>619</v>
      </c>
      <c r="D3793" s="76" t="s">
        <v>902</v>
      </c>
      <c r="E3793" s="79" t="s">
        <v>970</v>
      </c>
      <c r="F3793" s="79"/>
    </row>
    <row r="3794" spans="1:6">
      <c r="A3794" s="77">
        <f t="shared" ca="1" si="358"/>
        <v>46018</v>
      </c>
      <c r="B3794" s="80">
        <f t="shared" ca="1" si="364"/>
        <v>46018.398660185187</v>
      </c>
      <c r="C3794" s="76" t="s">
        <v>619</v>
      </c>
      <c r="D3794" s="76" t="s">
        <v>902</v>
      </c>
      <c r="E3794" s="79" t="s">
        <v>2614</v>
      </c>
      <c r="F3794" s="79"/>
    </row>
    <row r="3795" spans="1:6">
      <c r="A3795" s="77">
        <f t="shared" ca="1" si="358"/>
        <v>46018</v>
      </c>
      <c r="B3795" s="80">
        <f t="shared" ca="1" si="364"/>
        <v>46018.402446874999</v>
      </c>
      <c r="C3795" s="76" t="s">
        <v>619</v>
      </c>
      <c r="D3795" s="76" t="s">
        <v>902</v>
      </c>
      <c r="E3795" s="79" t="s">
        <v>1109</v>
      </c>
      <c r="F3795" s="79"/>
    </row>
    <row r="3796" spans="1:6">
      <c r="A3796" s="77">
        <f t="shared" ca="1" si="358"/>
        <v>46018</v>
      </c>
      <c r="B3796" s="80">
        <f t="shared" ca="1" si="364"/>
        <v>46018.40264803241</v>
      </c>
      <c r="C3796" s="76" t="s">
        <v>619</v>
      </c>
      <c r="D3796" s="76" t="s">
        <v>902</v>
      </c>
      <c r="E3796" s="79" t="s">
        <v>932</v>
      </c>
      <c r="F3796" s="79"/>
    </row>
    <row r="3797" spans="1:6">
      <c r="A3797" s="77">
        <f t="shared" ca="1" si="358"/>
        <v>46018</v>
      </c>
      <c r="B3797" s="80">
        <f t="shared" ca="1" si="364"/>
        <v>46018.403518402774</v>
      </c>
      <c r="C3797" s="76" t="s">
        <v>619</v>
      </c>
      <c r="D3797" s="76" t="s">
        <v>902</v>
      </c>
      <c r="E3797" s="79" t="s">
        <v>970</v>
      </c>
      <c r="F3797" s="79"/>
    </row>
    <row r="3798" spans="1:6">
      <c r="A3798" s="77">
        <f t="shared" ca="1" si="358"/>
        <v>46018</v>
      </c>
      <c r="B3798" s="80">
        <f t="shared" ref="B3798:B3803" ca="1" si="365">IF(C3798&lt;&gt;0,IF(B3798=0,NOW(),B3798),)</f>
        <v>46018.406768865738</v>
      </c>
      <c r="C3798" s="76" t="s">
        <v>619</v>
      </c>
      <c r="D3798" s="76" t="s">
        <v>902</v>
      </c>
      <c r="E3798" s="79" t="s">
        <v>932</v>
      </c>
      <c r="F3798" s="79"/>
    </row>
    <row r="3799" spans="1:6">
      <c r="A3799" s="77">
        <f t="shared" ca="1" si="358"/>
        <v>46018</v>
      </c>
      <c r="B3799" s="80">
        <f t="shared" ca="1" si="365"/>
        <v>46018.409636342592</v>
      </c>
      <c r="C3799" s="76" t="s">
        <v>619</v>
      </c>
      <c r="D3799" s="76" t="s">
        <v>902</v>
      </c>
      <c r="E3799" s="79" t="s">
        <v>2615</v>
      </c>
      <c r="F3799" s="79"/>
    </row>
    <row r="3800" spans="1:6">
      <c r="A3800" s="77">
        <f t="shared" ca="1" si="358"/>
        <v>46018</v>
      </c>
      <c r="B3800" s="80">
        <f t="shared" ca="1" si="365"/>
        <v>46018.410685069444</v>
      </c>
      <c r="C3800" s="76" t="s">
        <v>619</v>
      </c>
      <c r="D3800" s="76" t="s">
        <v>902</v>
      </c>
      <c r="E3800" s="79" t="s">
        <v>2616</v>
      </c>
      <c r="F3800" s="79"/>
    </row>
    <row r="3801" spans="1:6">
      <c r="A3801" s="77">
        <f t="shared" ca="1" si="358"/>
        <v>46018</v>
      </c>
      <c r="B3801" s="80">
        <f t="shared" ca="1" si="365"/>
        <v>46018.411945717591</v>
      </c>
      <c r="C3801" s="76" t="s">
        <v>619</v>
      </c>
      <c r="D3801" s="76" t="s">
        <v>902</v>
      </c>
      <c r="E3801" s="79" t="s">
        <v>2617</v>
      </c>
      <c r="F3801" s="79"/>
    </row>
    <row r="3802" spans="1:6">
      <c r="A3802" s="77">
        <f t="shared" ca="1" si="358"/>
        <v>46018</v>
      </c>
      <c r="B3802" s="80">
        <f t="shared" ca="1" si="365"/>
        <v>46018.418013657407</v>
      </c>
      <c r="C3802" s="76" t="s">
        <v>619</v>
      </c>
      <c r="D3802" s="76" t="s">
        <v>902</v>
      </c>
      <c r="E3802" s="79" t="s">
        <v>2618</v>
      </c>
      <c r="F3802" s="79"/>
    </row>
    <row r="3803" spans="1:6">
      <c r="A3803" s="77">
        <f t="shared" ca="1" si="358"/>
        <v>46018</v>
      </c>
      <c r="B3803" s="80">
        <f t="shared" ca="1" si="365"/>
        <v>46018.418442824077</v>
      </c>
      <c r="C3803" s="76" t="s">
        <v>619</v>
      </c>
      <c r="D3803" s="76" t="s">
        <v>902</v>
      </c>
      <c r="E3803" s="79" t="s">
        <v>2619</v>
      </c>
      <c r="F3803" s="79"/>
    </row>
    <row r="3804" spans="1:6">
      <c r="A3804" s="77">
        <f t="shared" ca="1" si="358"/>
        <v>46018</v>
      </c>
      <c r="B3804" s="80">
        <f t="shared" ref="B3804:B3808" ca="1" si="366">IF(C3804&lt;&gt;0,IF(B3804=0,NOW(),B3804),)</f>
        <v>46018.422530787037</v>
      </c>
      <c r="C3804" s="76" t="s">
        <v>619</v>
      </c>
      <c r="D3804" s="76" t="s">
        <v>902</v>
      </c>
      <c r="E3804" s="79" t="s">
        <v>970</v>
      </c>
      <c r="F3804" s="79"/>
    </row>
    <row r="3805" spans="1:6">
      <c r="A3805" s="77">
        <f t="shared" ca="1" si="358"/>
        <v>46018</v>
      </c>
      <c r="B3805" s="80">
        <f t="shared" ca="1" si="366"/>
        <v>46018.422640509256</v>
      </c>
      <c r="C3805" s="76" t="s">
        <v>619</v>
      </c>
      <c r="D3805" s="76" t="s">
        <v>902</v>
      </c>
      <c r="E3805" s="79" t="s">
        <v>970</v>
      </c>
      <c r="F3805" s="79"/>
    </row>
    <row r="3806" spans="1:6">
      <c r="A3806" s="77">
        <f t="shared" ca="1" si="358"/>
        <v>46018</v>
      </c>
      <c r="B3806" s="80">
        <f t="shared" ca="1" si="366"/>
        <v>46018.431652314815</v>
      </c>
      <c r="C3806" s="76" t="s">
        <v>619</v>
      </c>
      <c r="D3806" s="76" t="s">
        <v>902</v>
      </c>
      <c r="E3806" s="79" t="s">
        <v>2620</v>
      </c>
      <c r="F3806" s="79"/>
    </row>
    <row r="3807" spans="1:6">
      <c r="A3807" s="77">
        <f t="shared" ca="1" si="358"/>
        <v>46018</v>
      </c>
      <c r="B3807" s="80">
        <f t="shared" ca="1" si="366"/>
        <v>46018.433450115743</v>
      </c>
      <c r="C3807" s="76" t="s">
        <v>619</v>
      </c>
      <c r="D3807" s="76" t="s">
        <v>902</v>
      </c>
      <c r="E3807" s="79" t="s">
        <v>922</v>
      </c>
      <c r="F3807" s="79"/>
    </row>
    <row r="3808" spans="1:6">
      <c r="A3808" s="77">
        <f t="shared" ca="1" si="358"/>
        <v>46018</v>
      </c>
      <c r="B3808" s="80">
        <f t="shared" ca="1" si="366"/>
        <v>46018.460415624999</v>
      </c>
      <c r="C3808" s="76" t="s">
        <v>619</v>
      </c>
      <c r="D3808" s="210" t="s">
        <v>1098</v>
      </c>
      <c r="E3808" s="79"/>
      <c r="F3808" s="79"/>
    </row>
    <row r="3809" spans="1:6">
      <c r="A3809" s="77">
        <f t="shared" ca="1" si="358"/>
        <v>46018</v>
      </c>
      <c r="B3809" s="80">
        <f ca="1">IF(C3809&lt;&gt;0,IF(B3809=0,NOW(),B3809),)</f>
        <v>46018.525073263889</v>
      </c>
      <c r="C3809" s="76" t="s">
        <v>621</v>
      </c>
      <c r="D3809" s="210" t="s">
        <v>906</v>
      </c>
      <c r="E3809" s="79"/>
      <c r="F3809" s="79"/>
    </row>
    <row r="3810" spans="1:6">
      <c r="A3810" s="77">
        <f ca="1">IF(C3810&lt;&gt;0,IF(A3810=0,TODAY(),A3810),)</f>
        <v>46018</v>
      </c>
      <c r="B3810" s="80">
        <f ca="1">IF(C3810&lt;&gt;0,IF(B3810=0,NOW(),B3810),)</f>
        <v>46018.584744791668</v>
      </c>
      <c r="C3810" s="76" t="s">
        <v>621</v>
      </c>
      <c r="D3810" s="76" t="s">
        <v>902</v>
      </c>
      <c r="E3810" s="79" t="s">
        <v>2621</v>
      </c>
      <c r="F3810" s="79"/>
    </row>
    <row r="3811" spans="1:6">
      <c r="A3811" s="77">
        <f t="shared" ref="A3811:A3829" ca="1" si="367">IF(C3811&lt;&gt;0,IF(A3811=0,TODAY(),A3811),)</f>
        <v>46018</v>
      </c>
      <c r="B3811" s="80">
        <f t="shared" ref="B3811:B3818" ca="1" si="368">IF(C3811&lt;&gt;0,IF(B3811=0,NOW(),B3811),)</f>
        <v>46018.586911458333</v>
      </c>
      <c r="C3811" s="76" t="s">
        <v>621</v>
      </c>
      <c r="D3811" s="210" t="s">
        <v>909</v>
      </c>
      <c r="E3811" s="79"/>
      <c r="F3811" s="79"/>
    </row>
    <row r="3812" spans="1:6">
      <c r="A3812" s="77">
        <f t="shared" ca="1" si="367"/>
        <v>46018</v>
      </c>
      <c r="B3812" s="80">
        <f t="shared" ca="1" si="368"/>
        <v>46018.589395717594</v>
      </c>
      <c r="C3812" s="76" t="s">
        <v>621</v>
      </c>
      <c r="D3812" s="76" t="s">
        <v>902</v>
      </c>
      <c r="E3812" s="79" t="s">
        <v>2515</v>
      </c>
      <c r="F3812" s="79"/>
    </row>
    <row r="3813" spans="1:6">
      <c r="A3813" s="77">
        <f t="shared" ca="1" si="367"/>
        <v>46018</v>
      </c>
      <c r="B3813" s="80">
        <f t="shared" ca="1" si="368"/>
        <v>46018.624579745374</v>
      </c>
      <c r="C3813" s="76" t="s">
        <v>621</v>
      </c>
      <c r="D3813" s="76" t="s">
        <v>902</v>
      </c>
      <c r="E3813" s="79" t="s">
        <v>2622</v>
      </c>
      <c r="F3813" s="79"/>
    </row>
    <row r="3814" spans="1:6">
      <c r="A3814" s="77">
        <f t="shared" ca="1" si="367"/>
        <v>46018</v>
      </c>
      <c r="B3814" s="80">
        <f t="shared" ca="1" si="368"/>
        <v>46018.627703703707</v>
      </c>
      <c r="C3814" s="76" t="s">
        <v>621</v>
      </c>
      <c r="D3814" s="76" t="s">
        <v>902</v>
      </c>
      <c r="E3814" s="79" t="s">
        <v>2623</v>
      </c>
      <c r="F3814" s="79"/>
    </row>
    <row r="3815" spans="1:6">
      <c r="A3815" s="77">
        <f t="shared" ca="1" si="367"/>
        <v>46018</v>
      </c>
      <c r="B3815" s="80">
        <f t="shared" ca="1" si="368"/>
        <v>46018.636779745371</v>
      </c>
      <c r="C3815" s="76" t="s">
        <v>621</v>
      </c>
      <c r="D3815" s="76" t="s">
        <v>902</v>
      </c>
      <c r="E3815" s="79" t="s">
        <v>2624</v>
      </c>
      <c r="F3815" s="79"/>
    </row>
    <row r="3816" spans="1:6">
      <c r="A3816" s="77">
        <f t="shared" ca="1" si="367"/>
        <v>46018</v>
      </c>
      <c r="B3816" s="80">
        <f t="shared" ca="1" si="368"/>
        <v>46018.650931828706</v>
      </c>
      <c r="C3816" s="76" t="s">
        <v>621</v>
      </c>
      <c r="D3816" s="76" t="s">
        <v>902</v>
      </c>
      <c r="E3816" s="79" t="s">
        <v>932</v>
      </c>
      <c r="F3816" s="79"/>
    </row>
    <row r="3817" spans="1:6">
      <c r="A3817" s="77">
        <f t="shared" ca="1" si="367"/>
        <v>46018</v>
      </c>
      <c r="B3817" s="80">
        <f t="shared" ca="1" si="368"/>
        <v>46018.655791435187</v>
      </c>
      <c r="C3817" s="76" t="s">
        <v>621</v>
      </c>
      <c r="D3817" s="76" t="s">
        <v>902</v>
      </c>
      <c r="E3817" s="79" t="s">
        <v>2625</v>
      </c>
      <c r="F3817" s="79"/>
    </row>
    <row r="3818" spans="1:6">
      <c r="A3818" s="77">
        <f t="shared" ca="1" si="367"/>
        <v>46018</v>
      </c>
      <c r="B3818" s="80">
        <f t="shared" ca="1" si="368"/>
        <v>46018.659864699075</v>
      </c>
      <c r="C3818" s="76" t="s">
        <v>621</v>
      </c>
      <c r="D3818" s="76" t="s">
        <v>902</v>
      </c>
      <c r="E3818" s="79" t="s">
        <v>2626</v>
      </c>
      <c r="F3818" s="79"/>
    </row>
    <row r="3819" spans="1:6">
      <c r="A3819" s="77">
        <f t="shared" ca="1" si="367"/>
        <v>46018</v>
      </c>
      <c r="B3819" s="80">
        <f t="shared" ref="B3819:B3823" ca="1" si="369">IF(C3819&lt;&gt;0,IF(B3819=0,NOW(),B3819),)</f>
        <v>46018.675782060185</v>
      </c>
      <c r="C3819" s="76" t="s">
        <v>621</v>
      </c>
      <c r="D3819" s="76" t="s">
        <v>902</v>
      </c>
      <c r="E3819" s="79" t="s">
        <v>2627</v>
      </c>
      <c r="F3819" s="79"/>
    </row>
    <row r="3820" spans="1:6">
      <c r="A3820" s="77">
        <f t="shared" ca="1" si="367"/>
        <v>46018</v>
      </c>
      <c r="B3820" s="80">
        <f t="shared" ca="1" si="369"/>
        <v>46018.68910625</v>
      </c>
      <c r="C3820" s="76" t="s">
        <v>621</v>
      </c>
      <c r="D3820" s="76" t="s">
        <v>902</v>
      </c>
      <c r="E3820" s="79" t="s">
        <v>1446</v>
      </c>
      <c r="F3820" s="79"/>
    </row>
    <row r="3821" spans="1:6">
      <c r="A3821" s="77">
        <f t="shared" ca="1" si="367"/>
        <v>46018</v>
      </c>
      <c r="B3821" s="80">
        <f t="shared" ca="1" si="369"/>
        <v>46018.693740972223</v>
      </c>
      <c r="C3821" s="76" t="s">
        <v>621</v>
      </c>
      <c r="D3821" s="76" t="s">
        <v>902</v>
      </c>
      <c r="E3821" s="79" t="s">
        <v>2000</v>
      </c>
      <c r="F3821" s="79"/>
    </row>
    <row r="3822" spans="1:6">
      <c r="A3822" s="77">
        <f t="shared" ca="1" si="367"/>
        <v>46018</v>
      </c>
      <c r="B3822" s="80">
        <f t="shared" ca="1" si="369"/>
        <v>46018.717057754628</v>
      </c>
      <c r="C3822" s="76" t="s">
        <v>621</v>
      </c>
      <c r="D3822" s="210" t="s">
        <v>1098</v>
      </c>
      <c r="E3822" s="79" t="s">
        <v>2628</v>
      </c>
      <c r="F3822" s="79"/>
    </row>
    <row r="3823" spans="1:6">
      <c r="A3823" s="77">
        <f t="shared" ca="1" si="367"/>
        <v>46018</v>
      </c>
      <c r="B3823" s="80">
        <f t="shared" ca="1" si="369"/>
        <v>46018.803466666664</v>
      </c>
      <c r="C3823" s="76" t="s">
        <v>621</v>
      </c>
      <c r="D3823" s="210" t="s">
        <v>906</v>
      </c>
      <c r="E3823" s="79"/>
      <c r="F3823" s="79"/>
    </row>
    <row r="3824" spans="1:6">
      <c r="A3824" s="77">
        <f t="shared" ca="1" si="367"/>
        <v>46018</v>
      </c>
      <c r="B3824" s="80">
        <f t="shared" ref="B3824:B3829" ca="1" si="370">IF(C3824&lt;&gt;0,IF(B3824=0,NOW(),B3824),)</f>
        <v>46018.849137384263</v>
      </c>
      <c r="C3824" s="76" t="s">
        <v>621</v>
      </c>
      <c r="D3824" s="210" t="s">
        <v>909</v>
      </c>
      <c r="E3824" s="79" t="s">
        <v>2629</v>
      </c>
      <c r="F3824" s="79"/>
    </row>
    <row r="3825" spans="1:6">
      <c r="A3825" s="77">
        <f t="shared" ca="1" si="367"/>
        <v>46018</v>
      </c>
      <c r="B3825" s="80">
        <f t="shared" ca="1" si="370"/>
        <v>46018.849163078703</v>
      </c>
      <c r="C3825" s="76" t="s">
        <v>621</v>
      </c>
      <c r="D3825" s="150" t="s">
        <v>1070</v>
      </c>
      <c r="E3825" s="79" t="s">
        <v>2630</v>
      </c>
      <c r="F3825" s="79"/>
    </row>
    <row r="3826" spans="1:6">
      <c r="A3826" s="77">
        <f t="shared" ca="1" si="367"/>
        <v>46018</v>
      </c>
      <c r="B3826" s="80">
        <f t="shared" ca="1" si="370"/>
        <v>46018.855339699076</v>
      </c>
      <c r="C3826" s="76" t="s">
        <v>621</v>
      </c>
      <c r="D3826" s="76" t="s">
        <v>902</v>
      </c>
      <c r="E3826" s="79" t="s">
        <v>2000</v>
      </c>
      <c r="F3826" s="79"/>
    </row>
    <row r="3827" spans="1:6">
      <c r="A3827" s="77">
        <f t="shared" ca="1" si="367"/>
        <v>46018</v>
      </c>
      <c r="B3827" s="80">
        <f t="shared" ca="1" si="370"/>
        <v>46018.855618634261</v>
      </c>
      <c r="C3827" s="76" t="s">
        <v>621</v>
      </c>
      <c r="D3827" s="76" t="s">
        <v>902</v>
      </c>
      <c r="E3827" s="79" t="s">
        <v>1567</v>
      </c>
      <c r="F3827" s="79"/>
    </row>
    <row r="3828" spans="1:6">
      <c r="A3828" s="77">
        <f t="shared" ca="1" si="367"/>
        <v>46018</v>
      </c>
      <c r="B3828" s="80">
        <f t="shared" ca="1" si="370"/>
        <v>46018.861181365741</v>
      </c>
      <c r="C3828" s="76" t="s">
        <v>621</v>
      </c>
      <c r="D3828" s="76" t="s">
        <v>902</v>
      </c>
      <c r="E3828" s="79" t="s">
        <v>1001</v>
      </c>
      <c r="F3828" s="79"/>
    </row>
    <row r="3829" spans="1:6">
      <c r="A3829" s="77">
        <f t="shared" ca="1" si="367"/>
        <v>46018</v>
      </c>
      <c r="B3829" s="80">
        <f t="shared" ca="1" si="370"/>
        <v>46018.862671990741</v>
      </c>
      <c r="C3829" s="76" t="s">
        <v>621</v>
      </c>
      <c r="D3829" s="76" t="s">
        <v>902</v>
      </c>
      <c r="E3829" s="79" t="s">
        <v>2000</v>
      </c>
      <c r="F3829" s="79"/>
    </row>
    <row r="3830" spans="1:6">
      <c r="A3830" s="77">
        <f t="shared" ref="A3830:A3835" ca="1" si="371">IF(C3830&lt;&gt;0,IF(A3830=0,TODAY(),A3830),)</f>
        <v>46018</v>
      </c>
      <c r="B3830" s="80">
        <f t="shared" ref="B3830:B3835" ca="1" si="372">IF(C3830&lt;&gt;0,IF(B3830=0,NOW(),B3830),)</f>
        <v>46018.864134490737</v>
      </c>
      <c r="C3830" s="76" t="s">
        <v>621</v>
      </c>
      <c r="D3830" s="76" t="s">
        <v>902</v>
      </c>
      <c r="E3830" s="79" t="s">
        <v>2000</v>
      </c>
      <c r="F3830" s="79"/>
    </row>
    <row r="3831" spans="1:6">
      <c r="A3831" s="77">
        <f t="shared" ca="1" si="371"/>
        <v>46018</v>
      </c>
      <c r="B3831" s="80">
        <f t="shared" ca="1" si="372"/>
        <v>46018.870670023149</v>
      </c>
      <c r="C3831" s="76" t="s">
        <v>621</v>
      </c>
      <c r="D3831" s="76" t="s">
        <v>902</v>
      </c>
      <c r="E3831" s="79" t="s">
        <v>2000</v>
      </c>
      <c r="F3831" s="79"/>
    </row>
    <row r="3832" spans="1:6">
      <c r="A3832" s="77">
        <f t="shared" ca="1" si="371"/>
        <v>46018</v>
      </c>
      <c r="B3832" s="80">
        <f t="shared" ca="1" si="372"/>
        <v>46018.879445370367</v>
      </c>
      <c r="C3832" s="76" t="s">
        <v>621</v>
      </c>
      <c r="D3832" s="76" t="s">
        <v>902</v>
      </c>
      <c r="E3832" s="79" t="s">
        <v>2504</v>
      </c>
      <c r="F3832" s="79"/>
    </row>
    <row r="3833" spans="1:6">
      <c r="A3833" s="77">
        <f t="shared" ca="1" si="371"/>
        <v>46018</v>
      </c>
      <c r="B3833" s="80">
        <f t="shared" ca="1" si="372"/>
        <v>46018.891010648149</v>
      </c>
      <c r="C3833" s="76" t="s">
        <v>621</v>
      </c>
      <c r="D3833" s="76" t="s">
        <v>902</v>
      </c>
      <c r="E3833" s="79" t="s">
        <v>2528</v>
      </c>
      <c r="F3833" s="79"/>
    </row>
    <row r="3834" spans="1:6">
      <c r="A3834" s="77">
        <f t="shared" ca="1" si="371"/>
        <v>46018</v>
      </c>
      <c r="B3834" s="80">
        <f t="shared" ca="1" si="372"/>
        <v>46018.893949421297</v>
      </c>
      <c r="C3834" s="76" t="s">
        <v>621</v>
      </c>
      <c r="D3834" s="210" t="s">
        <v>922</v>
      </c>
      <c r="E3834" s="79"/>
      <c r="F3834" s="79"/>
    </row>
    <row r="3835" spans="1:6">
      <c r="A3835" s="77">
        <f t="shared" ca="1" si="371"/>
        <v>46018</v>
      </c>
      <c r="B3835" s="80">
        <f t="shared" ca="1" si="372"/>
        <v>46018.923837152775</v>
      </c>
      <c r="C3835" s="76" t="s">
        <v>621</v>
      </c>
      <c r="D3835" s="210" t="s">
        <v>1098</v>
      </c>
      <c r="E3835" s="79"/>
      <c r="F3835" s="79"/>
    </row>
    <row r="3836" spans="1:6">
      <c r="A3836" s="77">
        <f t="shared" ref="A3836:A3843" ca="1" si="373">IF(C3836&lt;&gt;0,IF(A3836=0,TODAY(),A3836),)</f>
        <v>46018</v>
      </c>
      <c r="B3836" s="80">
        <f t="shared" ref="B3836:B3843" ca="1" si="374">IF(C3836&lt;&gt;0,IF(B3836=0,NOW(),B3836),)</f>
        <v>46018.988244675929</v>
      </c>
      <c r="C3836" s="76" t="s">
        <v>625</v>
      </c>
      <c r="D3836" s="210" t="s">
        <v>906</v>
      </c>
      <c r="E3836" s="79"/>
      <c r="F3836" s="79"/>
    </row>
    <row r="3837" spans="1:6">
      <c r="A3837" s="77">
        <f t="shared" ca="1" si="373"/>
        <v>46019</v>
      </c>
      <c r="B3837" s="80">
        <f t="shared" ca="1" si="374"/>
        <v>46019.018584027777</v>
      </c>
      <c r="C3837" s="76" t="s">
        <v>625</v>
      </c>
      <c r="D3837" s="210" t="s">
        <v>909</v>
      </c>
      <c r="E3837" s="79"/>
      <c r="F3837" s="79"/>
    </row>
    <row r="3838" spans="1:6">
      <c r="A3838" s="77">
        <f t="shared" ca="1" si="373"/>
        <v>46019</v>
      </c>
      <c r="B3838" s="80">
        <f t="shared" ca="1" si="374"/>
        <v>46019.018626736113</v>
      </c>
      <c r="C3838" s="76" t="s">
        <v>625</v>
      </c>
      <c r="D3838" s="76" t="s">
        <v>902</v>
      </c>
      <c r="E3838" s="79" t="s">
        <v>2631</v>
      </c>
      <c r="F3838" s="79"/>
    </row>
    <row r="3839" spans="1:6">
      <c r="A3839" s="77">
        <f t="shared" ca="1" si="373"/>
        <v>46019</v>
      </c>
      <c r="B3839" s="80">
        <f t="shared" ca="1" si="374"/>
        <v>46019.019204282406</v>
      </c>
      <c r="C3839" s="76" t="s">
        <v>625</v>
      </c>
      <c r="D3839" s="76" t="s">
        <v>902</v>
      </c>
      <c r="E3839" s="79" t="s">
        <v>2632</v>
      </c>
      <c r="F3839" s="79"/>
    </row>
    <row r="3840" spans="1:6">
      <c r="A3840" s="77">
        <f t="shared" ca="1" si="373"/>
        <v>46019</v>
      </c>
      <c r="B3840" s="80">
        <f t="shared" ca="1" si="374"/>
        <v>46019.022639583331</v>
      </c>
      <c r="C3840" s="76" t="s">
        <v>625</v>
      </c>
      <c r="D3840" s="76" t="s">
        <v>902</v>
      </c>
      <c r="E3840" s="79" t="s">
        <v>2633</v>
      </c>
      <c r="F3840" s="79"/>
    </row>
    <row r="3841" spans="1:6">
      <c r="A3841" s="77">
        <f t="shared" ca="1" si="373"/>
        <v>46019</v>
      </c>
      <c r="B3841" s="80">
        <f t="shared" ca="1" si="374"/>
        <v>46019.023892824072</v>
      </c>
      <c r="C3841" s="76" t="s">
        <v>625</v>
      </c>
      <c r="D3841" s="76" t="s">
        <v>902</v>
      </c>
      <c r="E3841" s="79" t="s">
        <v>2394</v>
      </c>
      <c r="F3841" s="79"/>
    </row>
    <row r="3842" spans="1:6">
      <c r="A3842" s="77">
        <f t="shared" ca="1" si="373"/>
        <v>46019</v>
      </c>
      <c r="B3842" s="80">
        <f t="shared" ca="1" si="374"/>
        <v>46019.030879050923</v>
      </c>
      <c r="C3842" s="76" t="s">
        <v>625</v>
      </c>
      <c r="D3842" s="150" t="s">
        <v>1007</v>
      </c>
      <c r="E3842" s="79" t="s">
        <v>2634</v>
      </c>
      <c r="F3842" s="79"/>
    </row>
    <row r="3843" spans="1:6">
      <c r="A3843" s="77">
        <f t="shared" ca="1" si="373"/>
        <v>46019</v>
      </c>
      <c r="B3843" s="80">
        <f t="shared" ca="1" si="374"/>
        <v>46019.033799074074</v>
      </c>
      <c r="C3843" s="76" t="s">
        <v>625</v>
      </c>
      <c r="D3843" s="76" t="s">
        <v>902</v>
      </c>
      <c r="E3843" s="79" t="s">
        <v>2394</v>
      </c>
      <c r="F3843" s="79"/>
    </row>
    <row r="3844" spans="1:6">
      <c r="A3844" s="77">
        <f t="shared" ref="A3844:A3850" ca="1" si="375">IF(C3844&lt;&gt;0,IF(A3844=0,TODAY(),A3844),)</f>
        <v>46019</v>
      </c>
      <c r="B3844" s="80">
        <f t="shared" ref="B3844:B3850" ca="1" si="376">IF(C3844&lt;&gt;0,IF(B3844=0,NOW(),B3844),)</f>
        <v>46019.045252662036</v>
      </c>
      <c r="C3844" s="76" t="s">
        <v>625</v>
      </c>
      <c r="D3844" s="76" t="s">
        <v>902</v>
      </c>
      <c r="E3844" s="79" t="s">
        <v>2635</v>
      </c>
      <c r="F3844" s="79"/>
    </row>
    <row r="3845" spans="1:6">
      <c r="A3845" s="77">
        <f t="shared" ca="1" si="375"/>
        <v>46019</v>
      </c>
      <c r="B3845" s="80">
        <f t="shared" ca="1" si="376"/>
        <v>46019.045755902778</v>
      </c>
      <c r="C3845" s="76" t="s">
        <v>625</v>
      </c>
      <c r="D3845" s="76" t="s">
        <v>902</v>
      </c>
      <c r="E3845" s="79" t="s">
        <v>2394</v>
      </c>
      <c r="F3845" s="79"/>
    </row>
    <row r="3846" spans="1:6">
      <c r="A3846" s="77">
        <f t="shared" ca="1" si="375"/>
        <v>46019</v>
      </c>
      <c r="B3846" s="80">
        <f t="shared" ca="1" si="376"/>
        <v>46019.053624652777</v>
      </c>
      <c r="C3846" s="76" t="s">
        <v>625</v>
      </c>
      <c r="D3846" s="76" t="s">
        <v>902</v>
      </c>
      <c r="E3846" s="79" t="s">
        <v>2636</v>
      </c>
      <c r="F3846" s="79"/>
    </row>
    <row r="3847" spans="1:6">
      <c r="A3847" s="77">
        <f t="shared" ca="1" si="375"/>
        <v>46019</v>
      </c>
      <c r="B3847" s="80">
        <f t="shared" ca="1" si="376"/>
        <v>46019.055807523146</v>
      </c>
      <c r="C3847" s="76" t="s">
        <v>625</v>
      </c>
      <c r="D3847" s="76" t="s">
        <v>902</v>
      </c>
      <c r="E3847" s="79" t="s">
        <v>2637</v>
      </c>
      <c r="F3847" s="79"/>
    </row>
    <row r="3848" spans="1:6">
      <c r="A3848" s="77">
        <f t="shared" ca="1" si="375"/>
        <v>46019</v>
      </c>
      <c r="B3848" s="80">
        <f t="shared" ca="1" si="376"/>
        <v>46019.056760185187</v>
      </c>
      <c r="C3848" s="76" t="s">
        <v>625</v>
      </c>
      <c r="D3848" s="76" t="s">
        <v>902</v>
      </c>
      <c r="E3848" s="79" t="s">
        <v>2638</v>
      </c>
      <c r="F3848" s="79"/>
    </row>
    <row r="3849" spans="1:6">
      <c r="A3849" s="77">
        <f t="shared" ca="1" si="375"/>
        <v>46019</v>
      </c>
      <c r="B3849" s="80">
        <f t="shared" ca="1" si="376"/>
        <v>46019.065270949075</v>
      </c>
      <c r="C3849" s="76" t="s">
        <v>625</v>
      </c>
      <c r="D3849" s="76" t="s">
        <v>902</v>
      </c>
      <c r="E3849" s="79" t="s">
        <v>2639</v>
      </c>
      <c r="F3849" s="79"/>
    </row>
    <row r="3850" spans="1:6">
      <c r="A3850" s="77">
        <f t="shared" ca="1" si="375"/>
        <v>46019</v>
      </c>
      <c r="B3850" s="80">
        <f t="shared" ca="1" si="376"/>
        <v>46019.073483680557</v>
      </c>
      <c r="C3850" s="76" t="s">
        <v>625</v>
      </c>
      <c r="D3850" s="76" t="s">
        <v>902</v>
      </c>
      <c r="E3850" s="79" t="s">
        <v>2640</v>
      </c>
      <c r="F3850" s="79"/>
    </row>
    <row r="3851" spans="1:6">
      <c r="A3851" s="77">
        <f t="shared" ref="A3851:A3855" ca="1" si="377">IF(C3851&lt;&gt;0,IF(A3851=0,TODAY(),A3851),)</f>
        <v>46019</v>
      </c>
      <c r="B3851" s="80">
        <f t="shared" ref="B3851:B3855" ca="1" si="378">IF(C3851&lt;&gt;0,IF(B3851=0,NOW(),B3851),)</f>
        <v>46019.074834722225</v>
      </c>
      <c r="C3851" s="76" t="s">
        <v>625</v>
      </c>
      <c r="D3851" s="76" t="s">
        <v>902</v>
      </c>
      <c r="E3851" s="79" t="s">
        <v>913</v>
      </c>
      <c r="F3851" s="79"/>
    </row>
    <row r="3852" spans="1:6">
      <c r="A3852" s="77">
        <f t="shared" ca="1" si="377"/>
        <v>46019</v>
      </c>
      <c r="B3852" s="80">
        <f t="shared" ca="1" si="378"/>
        <v>46019.076015972219</v>
      </c>
      <c r="C3852" s="76" t="s">
        <v>625</v>
      </c>
      <c r="D3852" s="76" t="s">
        <v>902</v>
      </c>
      <c r="E3852" s="79" t="s">
        <v>2638</v>
      </c>
      <c r="F3852" s="79"/>
    </row>
    <row r="3853" spans="1:6">
      <c r="A3853" s="77">
        <f t="shared" ca="1" si="377"/>
        <v>46019</v>
      </c>
      <c r="B3853" s="80">
        <f t="shared" ca="1" si="378"/>
        <v>46019.078115509263</v>
      </c>
      <c r="C3853" s="76" t="s">
        <v>625</v>
      </c>
      <c r="D3853" s="76" t="s">
        <v>902</v>
      </c>
      <c r="E3853" s="79" t="s">
        <v>2638</v>
      </c>
      <c r="F3853" s="79"/>
    </row>
    <row r="3854" spans="1:6">
      <c r="A3854" s="77">
        <f t="shared" ca="1" si="377"/>
        <v>46019</v>
      </c>
      <c r="B3854" s="80">
        <f t="shared" ca="1" si="378"/>
        <v>46019.078444328705</v>
      </c>
      <c r="C3854" s="76" t="s">
        <v>625</v>
      </c>
      <c r="D3854" s="76" t="s">
        <v>902</v>
      </c>
      <c r="E3854" s="79" t="s">
        <v>2638</v>
      </c>
      <c r="F3854" s="79"/>
    </row>
    <row r="3855" spans="1:6">
      <c r="A3855" s="77">
        <f t="shared" ca="1" si="377"/>
        <v>46019</v>
      </c>
      <c r="B3855" s="80">
        <f t="shared" ca="1" si="378"/>
        <v>46019.082010995371</v>
      </c>
      <c r="C3855" s="76" t="s">
        <v>625</v>
      </c>
      <c r="D3855" s="76" t="s">
        <v>902</v>
      </c>
      <c r="E3855" s="79" t="s">
        <v>2632</v>
      </c>
      <c r="F3855" s="79"/>
    </row>
    <row r="3856" spans="1:6">
      <c r="A3856" s="77">
        <f t="shared" ref="A3856:A3860" ca="1" si="379">IF(C3856&lt;&gt;0,IF(A3856=0,TODAY(),A3856),)</f>
        <v>46019</v>
      </c>
      <c r="B3856" s="80">
        <f t="shared" ref="B3856:B3860" ca="1" si="380">IF(C3856&lt;&gt;0,IF(B3856=0,NOW(),B3856),)</f>
        <v>46019.09106608796</v>
      </c>
      <c r="C3856" s="76" t="s">
        <v>625</v>
      </c>
      <c r="D3856" s="76" t="s">
        <v>902</v>
      </c>
      <c r="E3856" s="79" t="s">
        <v>2632</v>
      </c>
      <c r="F3856" s="79"/>
    </row>
    <row r="3857" spans="1:7">
      <c r="A3857" s="77">
        <f t="shared" ca="1" si="379"/>
        <v>46019</v>
      </c>
      <c r="B3857" s="80">
        <f t="shared" ca="1" si="380"/>
        <v>46019.092516898148</v>
      </c>
      <c r="C3857" s="76" t="s">
        <v>625</v>
      </c>
      <c r="D3857" s="76" t="s">
        <v>902</v>
      </c>
      <c r="E3857" s="79" t="s">
        <v>2632</v>
      </c>
      <c r="F3857" s="79"/>
    </row>
    <row r="3858" spans="1:7">
      <c r="A3858" s="77">
        <f t="shared" ca="1" si="379"/>
        <v>46019</v>
      </c>
      <c r="B3858" s="80">
        <f t="shared" ca="1" si="380"/>
        <v>46019.094296643518</v>
      </c>
      <c r="C3858" s="76" t="s">
        <v>625</v>
      </c>
      <c r="D3858" s="76" t="s">
        <v>902</v>
      </c>
      <c r="E3858" s="79" t="s">
        <v>2632</v>
      </c>
      <c r="F3858" s="79"/>
    </row>
    <row r="3859" spans="1:7">
      <c r="A3859" s="77">
        <f t="shared" ca="1" si="379"/>
        <v>46019</v>
      </c>
      <c r="B3859" s="80">
        <f t="shared" ca="1" si="380"/>
        <v>46019.104921874998</v>
      </c>
      <c r="C3859" s="76" t="s">
        <v>625</v>
      </c>
      <c r="D3859" s="76" t="s">
        <v>902</v>
      </c>
      <c r="E3859" s="79" t="s">
        <v>2632</v>
      </c>
      <c r="F3859" s="79"/>
    </row>
    <row r="3860" spans="1:7">
      <c r="A3860" s="77">
        <f t="shared" ca="1" si="379"/>
        <v>46019</v>
      </c>
      <c r="B3860" s="80">
        <f t="shared" ca="1" si="380"/>
        <v>46019.105690856479</v>
      </c>
      <c r="C3860" s="76" t="s">
        <v>625</v>
      </c>
      <c r="D3860" s="76" t="s">
        <v>902</v>
      </c>
      <c r="E3860" s="79" t="s">
        <v>2632</v>
      </c>
      <c r="F3860" s="79"/>
    </row>
    <row r="3861" spans="1:7">
      <c r="A3861" s="77">
        <f t="shared" ref="A3861:A3868" ca="1" si="381">IF(C3861&lt;&gt;0,IF(A3861=0,TODAY(),A3861),)</f>
        <v>46019</v>
      </c>
      <c r="B3861" s="80">
        <f t="shared" ref="B3861:B3868" ca="1" si="382">IF(C3861&lt;&gt;0,IF(B3861=0,NOW(),B3861),)</f>
        <v>46019.107674305553</v>
      </c>
      <c r="C3861" s="76" t="s">
        <v>625</v>
      </c>
      <c r="D3861" s="76" t="s">
        <v>902</v>
      </c>
      <c r="E3861" s="79" t="s">
        <v>1001</v>
      </c>
      <c r="F3861" s="79"/>
    </row>
    <row r="3862" spans="1:7">
      <c r="A3862" s="77">
        <f t="shared" ca="1" si="381"/>
        <v>46019</v>
      </c>
      <c r="B3862" s="80">
        <f t="shared" ca="1" si="382"/>
        <v>46019.116434027776</v>
      </c>
      <c r="C3862" s="76" t="s">
        <v>625</v>
      </c>
      <c r="D3862" s="76" t="s">
        <v>902</v>
      </c>
      <c r="E3862" s="79" t="s">
        <v>2632</v>
      </c>
      <c r="F3862" s="79"/>
    </row>
    <row r="3863" spans="1:7">
      <c r="A3863" s="77">
        <f t="shared" ca="1" si="381"/>
        <v>46019</v>
      </c>
      <c r="B3863" s="80">
        <f t="shared" ca="1" si="382"/>
        <v>46019.120760879632</v>
      </c>
      <c r="C3863" s="76" t="s">
        <v>625</v>
      </c>
      <c r="D3863" s="150" t="s">
        <v>1007</v>
      </c>
      <c r="E3863" s="79" t="s">
        <v>2641</v>
      </c>
      <c r="F3863" s="79"/>
      <c r="G3863" s="76" t="s">
        <v>2642</v>
      </c>
    </row>
    <row r="3864" spans="1:7">
      <c r="A3864" s="77">
        <f t="shared" ca="1" si="381"/>
        <v>46019</v>
      </c>
      <c r="B3864" s="80">
        <f t="shared" ca="1" si="382"/>
        <v>46019.125520486108</v>
      </c>
      <c r="C3864" s="76" t="s">
        <v>625</v>
      </c>
      <c r="D3864" s="76" t="s">
        <v>902</v>
      </c>
      <c r="E3864" s="79" t="s">
        <v>2639</v>
      </c>
      <c r="F3864" s="79"/>
    </row>
    <row r="3865" spans="1:7">
      <c r="A3865" s="77">
        <f t="shared" ca="1" si="381"/>
        <v>46019</v>
      </c>
      <c r="B3865" s="80">
        <f t="shared" ca="1" si="382"/>
        <v>46019.130390972219</v>
      </c>
      <c r="C3865" s="76" t="s">
        <v>625</v>
      </c>
      <c r="D3865" s="76" t="s">
        <v>902</v>
      </c>
      <c r="E3865" s="79" t="s">
        <v>2632</v>
      </c>
      <c r="F3865" s="79"/>
    </row>
    <row r="3866" spans="1:7">
      <c r="A3866" s="77">
        <f t="shared" ca="1" si="381"/>
        <v>46019</v>
      </c>
      <c r="B3866" s="80">
        <f t="shared" ca="1" si="382"/>
        <v>46019.132537962963</v>
      </c>
      <c r="C3866" s="76" t="s">
        <v>625</v>
      </c>
      <c r="D3866" s="76" t="s">
        <v>902</v>
      </c>
      <c r="E3866" s="79" t="s">
        <v>1511</v>
      </c>
      <c r="F3866" s="79"/>
    </row>
    <row r="3867" spans="1:7">
      <c r="A3867" s="77">
        <f t="shared" ca="1" si="381"/>
        <v>46019</v>
      </c>
      <c r="B3867" s="80">
        <f t="shared" ca="1" si="382"/>
        <v>46019.133302546295</v>
      </c>
      <c r="C3867" s="76" t="s">
        <v>625</v>
      </c>
      <c r="D3867" s="76" t="s">
        <v>902</v>
      </c>
      <c r="E3867" s="79" t="s">
        <v>2000</v>
      </c>
      <c r="F3867" s="79"/>
    </row>
    <row r="3868" spans="1:7">
      <c r="A3868" s="77">
        <f t="shared" ca="1" si="381"/>
        <v>46019</v>
      </c>
      <c r="B3868" s="80">
        <f t="shared" ca="1" si="382"/>
        <v>46019.141644097224</v>
      </c>
      <c r="C3868" s="76" t="s">
        <v>625</v>
      </c>
      <c r="D3868" s="150" t="s">
        <v>1007</v>
      </c>
      <c r="E3868" s="79" t="s">
        <v>2643</v>
      </c>
      <c r="F3868" s="79"/>
      <c r="G3868" s="76" t="s">
        <v>2644</v>
      </c>
    </row>
    <row r="3869" spans="1:7">
      <c r="A3869" s="77">
        <f t="shared" ref="A3869:A3875" ca="1" si="383">IF(C3869&lt;&gt;0,IF(A3869=0,TODAY(),A3869),)</f>
        <v>46019</v>
      </c>
      <c r="B3869" s="80">
        <f t="shared" ref="B3869:B3875" ca="1" si="384">IF(C3869&lt;&gt;0,IF(B3869=0,NOW(),B3869),)</f>
        <v>46019.147686921293</v>
      </c>
      <c r="C3869" s="76" t="s">
        <v>625</v>
      </c>
      <c r="D3869" s="76" t="s">
        <v>902</v>
      </c>
      <c r="E3869" s="79" t="s">
        <v>2645</v>
      </c>
      <c r="F3869" s="79"/>
    </row>
    <row r="3870" spans="1:7">
      <c r="A3870" s="77">
        <f t="shared" ca="1" si="383"/>
        <v>46019</v>
      </c>
      <c r="B3870" s="80">
        <f t="shared" ca="1" si="384"/>
        <v>46019.148581944442</v>
      </c>
      <c r="C3870" s="76" t="s">
        <v>625</v>
      </c>
      <c r="D3870" s="76" t="s">
        <v>902</v>
      </c>
      <c r="E3870" s="79" t="s">
        <v>1001</v>
      </c>
      <c r="F3870" s="79"/>
    </row>
    <row r="3871" spans="1:7">
      <c r="A3871" s="77">
        <f t="shared" ca="1" si="383"/>
        <v>46019</v>
      </c>
      <c r="B3871" s="80">
        <f t="shared" ca="1" si="384"/>
        <v>46019.153937731484</v>
      </c>
      <c r="C3871" s="76" t="s">
        <v>625</v>
      </c>
      <c r="D3871" s="76" t="s">
        <v>902</v>
      </c>
      <c r="E3871" s="79" t="s">
        <v>2632</v>
      </c>
      <c r="F3871" s="79"/>
    </row>
    <row r="3872" spans="1:7">
      <c r="A3872" s="77">
        <f t="shared" ca="1" si="383"/>
        <v>46019</v>
      </c>
      <c r="B3872" s="80">
        <f t="shared" ca="1" si="384"/>
        <v>46019.155247453702</v>
      </c>
      <c r="C3872" s="76" t="s">
        <v>625</v>
      </c>
      <c r="D3872" s="76" t="s">
        <v>902</v>
      </c>
      <c r="E3872" s="79" t="s">
        <v>2646</v>
      </c>
      <c r="F3872" s="79"/>
    </row>
    <row r="3873" spans="1:6">
      <c r="A3873" s="77">
        <f t="shared" ca="1" si="383"/>
        <v>46019</v>
      </c>
      <c r="B3873" s="80">
        <f t="shared" ca="1" si="384"/>
        <v>46019.165280208334</v>
      </c>
      <c r="C3873" s="76" t="s">
        <v>625</v>
      </c>
      <c r="D3873" s="210" t="s">
        <v>922</v>
      </c>
      <c r="E3873" s="79"/>
      <c r="F3873" s="79"/>
    </row>
    <row r="3874" spans="1:6">
      <c r="A3874" s="77">
        <f t="shared" ca="1" si="383"/>
        <v>46019</v>
      </c>
      <c r="B3874" s="80">
        <f t="shared" ca="1" si="384"/>
        <v>46019.18455150463</v>
      </c>
      <c r="C3874" s="76" t="s">
        <v>625</v>
      </c>
      <c r="D3874" s="210" t="s">
        <v>1098</v>
      </c>
      <c r="E3874" s="79"/>
      <c r="F3874" s="79"/>
    </row>
    <row r="3875" spans="1:6">
      <c r="A3875" s="77">
        <f t="shared" ca="1" si="383"/>
        <v>46019</v>
      </c>
      <c r="B3875" s="80">
        <f t="shared" ca="1" si="384"/>
        <v>46019.235690046298</v>
      </c>
      <c r="C3875" s="76" t="s">
        <v>628</v>
      </c>
      <c r="D3875" s="210" t="s">
        <v>906</v>
      </c>
      <c r="E3875" s="79"/>
      <c r="F3875" s="79"/>
    </row>
    <row r="3876" spans="1:6">
      <c r="A3876" s="77">
        <f t="shared" ref="A3876:A3939" ca="1" si="385">IF(C3876&lt;&gt;0,IF(A3876=0,TODAY(),A3876),)</f>
        <v>46019</v>
      </c>
      <c r="B3876" s="80">
        <f t="shared" ref="B3876:B3885" ca="1" si="386">IF(C3876&lt;&gt;0,IF(B3876=0,NOW(),B3876),)</f>
        <v>46019.265373379632</v>
      </c>
      <c r="C3876" s="76" t="s">
        <v>628</v>
      </c>
      <c r="D3876" s="76" t="s">
        <v>902</v>
      </c>
      <c r="E3876" s="79" t="s">
        <v>2647</v>
      </c>
      <c r="F3876" s="79"/>
    </row>
    <row r="3877" spans="1:6">
      <c r="A3877" s="77">
        <f t="shared" ca="1" si="385"/>
        <v>46019</v>
      </c>
      <c r="B3877" s="80">
        <f t="shared" ca="1" si="386"/>
        <v>46019.270245833337</v>
      </c>
      <c r="C3877" s="76" t="s">
        <v>628</v>
      </c>
      <c r="D3877" s="210" t="s">
        <v>909</v>
      </c>
      <c r="E3877" s="79"/>
      <c r="F3877" s="79"/>
    </row>
    <row r="3878" spans="1:6">
      <c r="A3878" s="77">
        <f t="shared" ca="1" si="385"/>
        <v>46019</v>
      </c>
      <c r="B3878" s="80">
        <f t="shared" ca="1" si="386"/>
        <v>46019.271270833335</v>
      </c>
      <c r="C3878" s="76" t="s">
        <v>628</v>
      </c>
      <c r="D3878" s="76" t="s">
        <v>902</v>
      </c>
      <c r="E3878" s="79" t="s">
        <v>1781</v>
      </c>
      <c r="F3878" s="79"/>
    </row>
    <row r="3879" spans="1:6">
      <c r="A3879" s="77">
        <f t="shared" ca="1" si="385"/>
        <v>46019</v>
      </c>
      <c r="B3879" s="80">
        <f t="shared" ca="1" si="386"/>
        <v>46019.272986458331</v>
      </c>
      <c r="C3879" s="76" t="s">
        <v>628</v>
      </c>
      <c r="D3879" s="76" t="s">
        <v>902</v>
      </c>
      <c r="E3879" s="79" t="s">
        <v>1781</v>
      </c>
      <c r="F3879" s="79"/>
    </row>
    <row r="3880" spans="1:6">
      <c r="A3880" s="77">
        <f t="shared" ca="1" si="385"/>
        <v>46019</v>
      </c>
      <c r="B3880" s="80">
        <f t="shared" ca="1" si="386"/>
        <v>46019.274958796297</v>
      </c>
      <c r="C3880" s="76" t="s">
        <v>628</v>
      </c>
      <c r="D3880" s="76" t="s">
        <v>902</v>
      </c>
      <c r="E3880" s="79" t="s">
        <v>2648</v>
      </c>
      <c r="F3880" s="79"/>
    </row>
    <row r="3881" spans="1:6">
      <c r="A3881" s="77">
        <f t="shared" ca="1" si="385"/>
        <v>46019</v>
      </c>
      <c r="B3881" s="80">
        <f t="shared" ca="1" si="386"/>
        <v>46019.277882986113</v>
      </c>
      <c r="C3881" s="76" t="s">
        <v>628</v>
      </c>
      <c r="D3881" s="76" t="s">
        <v>902</v>
      </c>
      <c r="E3881" s="79" t="s">
        <v>2000</v>
      </c>
      <c r="F3881" s="79"/>
    </row>
    <row r="3882" spans="1:6">
      <c r="A3882" s="77">
        <f t="shared" ca="1" si="385"/>
        <v>46019</v>
      </c>
      <c r="B3882" s="80">
        <f t="shared" ca="1" si="386"/>
        <v>46019.279322916664</v>
      </c>
      <c r="C3882" s="76" t="s">
        <v>628</v>
      </c>
      <c r="D3882" s="76" t="s">
        <v>902</v>
      </c>
      <c r="E3882" s="79" t="s">
        <v>970</v>
      </c>
      <c r="F3882" s="79"/>
    </row>
    <row r="3883" spans="1:6">
      <c r="A3883" s="77">
        <f t="shared" ca="1" si="385"/>
        <v>46019</v>
      </c>
      <c r="B3883" s="80">
        <f t="shared" ca="1" si="386"/>
        <v>46019.279919212961</v>
      </c>
      <c r="C3883" s="76" t="s">
        <v>628</v>
      </c>
      <c r="D3883" s="76" t="s">
        <v>902</v>
      </c>
      <c r="E3883" s="79" t="s">
        <v>970</v>
      </c>
      <c r="F3883" s="79"/>
    </row>
    <row r="3884" spans="1:6">
      <c r="A3884" s="77">
        <f t="shared" ca="1" si="385"/>
        <v>46019</v>
      </c>
      <c r="B3884" s="80">
        <f t="shared" ca="1" si="386"/>
        <v>46019.28155821759</v>
      </c>
      <c r="C3884" s="76" t="s">
        <v>628</v>
      </c>
      <c r="D3884" s="76" t="s">
        <v>902</v>
      </c>
      <c r="E3884" s="79" t="s">
        <v>959</v>
      </c>
      <c r="F3884" s="79"/>
    </row>
    <row r="3885" spans="1:6">
      <c r="A3885" s="77">
        <f t="shared" ca="1" si="385"/>
        <v>46019</v>
      </c>
      <c r="B3885" s="80">
        <f t="shared" ca="1" si="386"/>
        <v>46019.285903703705</v>
      </c>
      <c r="C3885" s="76" t="s">
        <v>628</v>
      </c>
      <c r="D3885" s="76" t="s">
        <v>902</v>
      </c>
      <c r="E3885" s="79" t="s">
        <v>1109</v>
      </c>
      <c r="F3885" s="79"/>
    </row>
    <row r="3886" spans="1:6">
      <c r="A3886" s="77">
        <f t="shared" ca="1" si="385"/>
        <v>46019</v>
      </c>
      <c r="B3886" s="80">
        <f t="shared" ref="B3886:B3890" ca="1" si="387">IF(C3886&lt;&gt;0,IF(B3886=0,NOW(),B3886),)</f>
        <v>46019.286325347224</v>
      </c>
      <c r="C3886" s="76" t="s">
        <v>628</v>
      </c>
      <c r="D3886" s="76" t="s">
        <v>902</v>
      </c>
      <c r="E3886" s="79" t="s">
        <v>943</v>
      </c>
      <c r="F3886" s="79"/>
    </row>
    <row r="3887" spans="1:6">
      <c r="A3887" s="77">
        <f t="shared" ca="1" si="385"/>
        <v>46019</v>
      </c>
      <c r="B3887" s="80">
        <f t="shared" ca="1" si="387"/>
        <v>46019.291179513886</v>
      </c>
      <c r="C3887" s="76" t="s">
        <v>628</v>
      </c>
      <c r="D3887" s="76" t="s">
        <v>902</v>
      </c>
      <c r="E3887" s="79" t="s">
        <v>2000</v>
      </c>
      <c r="F3887" s="79"/>
    </row>
    <row r="3888" spans="1:6">
      <c r="A3888" s="77">
        <f t="shared" ca="1" si="385"/>
        <v>46019</v>
      </c>
      <c r="B3888" s="80">
        <f t="shared" ca="1" si="387"/>
        <v>46019.298223726852</v>
      </c>
      <c r="C3888" s="76" t="s">
        <v>628</v>
      </c>
      <c r="D3888" s="76" t="s">
        <v>902</v>
      </c>
      <c r="E3888" s="79" t="s">
        <v>2649</v>
      </c>
      <c r="F3888" s="79"/>
    </row>
    <row r="3889" spans="1:6">
      <c r="A3889" s="77">
        <f t="shared" ca="1" si="385"/>
        <v>46019</v>
      </c>
      <c r="B3889" s="80">
        <f t="shared" ca="1" si="387"/>
        <v>46019.311648263887</v>
      </c>
      <c r="C3889" s="76" t="s">
        <v>628</v>
      </c>
      <c r="D3889" s="76" t="s">
        <v>902</v>
      </c>
      <c r="E3889" s="79" t="s">
        <v>2000</v>
      </c>
      <c r="F3889" s="79"/>
    </row>
    <row r="3890" spans="1:6">
      <c r="A3890" s="77">
        <f t="shared" ca="1" si="385"/>
        <v>46019</v>
      </c>
      <c r="B3890" s="80">
        <f t="shared" ca="1" si="387"/>
        <v>46019.312315972224</v>
      </c>
      <c r="C3890" s="76" t="s">
        <v>628</v>
      </c>
      <c r="D3890" s="76" t="s">
        <v>902</v>
      </c>
      <c r="E3890" s="79" t="s">
        <v>970</v>
      </c>
      <c r="F3890" s="79"/>
    </row>
    <row r="3891" spans="1:6">
      <c r="A3891" s="77">
        <f t="shared" ca="1" si="385"/>
        <v>46019</v>
      </c>
      <c r="B3891" s="80">
        <f t="shared" ref="B3891:B3896" ca="1" si="388">IF(C3891&lt;&gt;0,IF(B3891=0,NOW(),B3891),)</f>
        <v>46019.313778703705</v>
      </c>
      <c r="C3891" s="76" t="s">
        <v>628</v>
      </c>
      <c r="D3891" s="76" t="s">
        <v>902</v>
      </c>
      <c r="E3891" s="79" t="s">
        <v>2000</v>
      </c>
      <c r="F3891" s="79"/>
    </row>
    <row r="3892" spans="1:6">
      <c r="A3892" s="77">
        <f t="shared" ca="1" si="385"/>
        <v>46019</v>
      </c>
      <c r="B3892" s="80">
        <f t="shared" ca="1" si="388"/>
        <v>46019.317429166666</v>
      </c>
      <c r="C3892" s="76" t="s">
        <v>628</v>
      </c>
      <c r="D3892" s="76" t="s">
        <v>902</v>
      </c>
      <c r="E3892" s="79" t="s">
        <v>943</v>
      </c>
      <c r="F3892" s="79"/>
    </row>
    <row r="3893" spans="1:6">
      <c r="A3893" s="77">
        <f t="shared" ca="1" si="385"/>
        <v>46019</v>
      </c>
      <c r="B3893" s="80">
        <f t="shared" ca="1" si="388"/>
        <v>46019.319992129633</v>
      </c>
      <c r="C3893" s="76" t="s">
        <v>628</v>
      </c>
      <c r="D3893" s="76" t="s">
        <v>902</v>
      </c>
      <c r="E3893" s="79" t="s">
        <v>2000</v>
      </c>
      <c r="F3893" s="79"/>
    </row>
    <row r="3894" spans="1:6">
      <c r="A3894" s="77">
        <f t="shared" ca="1" si="385"/>
        <v>46019</v>
      </c>
      <c r="B3894" s="80">
        <f t="shared" ca="1" si="388"/>
        <v>46019.322737037037</v>
      </c>
      <c r="C3894" s="76" t="s">
        <v>628</v>
      </c>
      <c r="D3894" s="76" t="s">
        <v>902</v>
      </c>
      <c r="E3894" s="79" t="s">
        <v>970</v>
      </c>
      <c r="F3894" s="79"/>
    </row>
    <row r="3895" spans="1:6">
      <c r="A3895" s="77">
        <f t="shared" ca="1" si="385"/>
        <v>46019</v>
      </c>
      <c r="B3895" s="80">
        <f t="shared" ca="1" si="388"/>
        <v>46019.32284976852</v>
      </c>
      <c r="C3895" s="76" t="s">
        <v>628</v>
      </c>
      <c r="D3895" s="76" t="s">
        <v>902</v>
      </c>
      <c r="E3895" s="79" t="s">
        <v>2650</v>
      </c>
      <c r="F3895" s="79"/>
    </row>
    <row r="3896" spans="1:6">
      <c r="A3896" s="77">
        <f t="shared" ca="1" si="385"/>
        <v>46019</v>
      </c>
      <c r="B3896" s="80">
        <f t="shared" ca="1" si="388"/>
        <v>46019.323512037037</v>
      </c>
      <c r="C3896" s="76" t="s">
        <v>628</v>
      </c>
      <c r="D3896" s="76" t="s">
        <v>902</v>
      </c>
      <c r="E3896" s="79" t="s">
        <v>970</v>
      </c>
      <c r="F3896" s="79"/>
    </row>
    <row r="3897" spans="1:6">
      <c r="A3897" s="77">
        <f t="shared" ca="1" si="385"/>
        <v>46019</v>
      </c>
      <c r="B3897" s="80">
        <f t="shared" ref="B3897:B3903" ca="1" si="389">IF(C3897&lt;&gt;0,IF(B3897=0,NOW(),B3897),)</f>
        <v>46019.325977199071</v>
      </c>
      <c r="C3897" s="76" t="s">
        <v>628</v>
      </c>
      <c r="D3897" s="76" t="s">
        <v>902</v>
      </c>
      <c r="E3897" s="79" t="s">
        <v>2000</v>
      </c>
      <c r="F3897" s="79"/>
    </row>
    <row r="3898" spans="1:6">
      <c r="A3898" s="77">
        <f t="shared" ca="1" si="385"/>
        <v>46019</v>
      </c>
      <c r="B3898" s="80">
        <f t="shared" ca="1" si="389"/>
        <v>46019.331001041668</v>
      </c>
      <c r="C3898" s="76" t="s">
        <v>628</v>
      </c>
      <c r="D3898" s="76" t="s">
        <v>902</v>
      </c>
      <c r="E3898" s="79" t="s">
        <v>2651</v>
      </c>
      <c r="F3898" s="79"/>
    </row>
    <row r="3899" spans="1:6">
      <c r="A3899" s="77">
        <f t="shared" ca="1" si="385"/>
        <v>46019</v>
      </c>
      <c r="B3899" s="80">
        <f t="shared" ca="1" si="389"/>
        <v>46019.332542476855</v>
      </c>
      <c r="C3899" s="76" t="s">
        <v>628</v>
      </c>
      <c r="D3899" s="76" t="s">
        <v>902</v>
      </c>
      <c r="E3899" s="79" t="s">
        <v>970</v>
      </c>
      <c r="F3899" s="79"/>
    </row>
    <row r="3900" spans="1:6">
      <c r="A3900" s="77">
        <f t="shared" ca="1" si="385"/>
        <v>46019</v>
      </c>
      <c r="B3900" s="80">
        <f t="shared" ca="1" si="389"/>
        <v>46019.333393287037</v>
      </c>
      <c r="C3900" s="76" t="s">
        <v>628</v>
      </c>
      <c r="D3900" s="76" t="s">
        <v>902</v>
      </c>
      <c r="E3900" s="79" t="s">
        <v>2651</v>
      </c>
      <c r="F3900" s="79"/>
    </row>
    <row r="3901" spans="1:6">
      <c r="A3901" s="77">
        <f t="shared" ca="1" si="385"/>
        <v>46019</v>
      </c>
      <c r="B3901" s="80">
        <f t="shared" ca="1" si="389"/>
        <v>46019.334313425927</v>
      </c>
      <c r="C3901" s="76" t="s">
        <v>628</v>
      </c>
      <c r="D3901" s="76" t="s">
        <v>902</v>
      </c>
      <c r="E3901" s="79" t="s">
        <v>970</v>
      </c>
      <c r="F3901" s="79"/>
    </row>
    <row r="3902" spans="1:6">
      <c r="A3902" s="77">
        <f t="shared" ca="1" si="385"/>
        <v>46019</v>
      </c>
      <c r="B3902" s="80">
        <f t="shared" ca="1" si="389"/>
        <v>46019.335397569441</v>
      </c>
      <c r="C3902" s="76" t="s">
        <v>628</v>
      </c>
      <c r="D3902" s="76" t="s">
        <v>902</v>
      </c>
      <c r="E3902" s="79" t="s">
        <v>2652</v>
      </c>
      <c r="F3902" s="79"/>
    </row>
    <row r="3903" spans="1:6">
      <c r="A3903" s="77">
        <f t="shared" ca="1" si="385"/>
        <v>46019</v>
      </c>
      <c r="B3903" s="80">
        <f t="shared" ca="1" si="389"/>
        <v>46019.336873495369</v>
      </c>
      <c r="C3903" s="76" t="s">
        <v>628</v>
      </c>
      <c r="D3903" s="76" t="s">
        <v>902</v>
      </c>
      <c r="E3903" s="79" t="s">
        <v>2649</v>
      </c>
      <c r="F3903" s="79"/>
    </row>
    <row r="3904" spans="1:6">
      <c r="A3904" s="77">
        <f t="shared" ca="1" si="385"/>
        <v>46019</v>
      </c>
      <c r="B3904" s="80">
        <f t="shared" ref="B3904:B3906" ca="1" si="390">IF(C3904&lt;&gt;0,IF(B3904=0,NOW(),B3904),)</f>
        <v>46019.340388657409</v>
      </c>
      <c r="C3904" s="76" t="s">
        <v>628</v>
      </c>
      <c r="D3904" s="76" t="s">
        <v>902</v>
      </c>
      <c r="E3904" s="79" t="s">
        <v>2000</v>
      </c>
      <c r="F3904" s="79"/>
    </row>
    <row r="3905" spans="1:6">
      <c r="A3905" s="77">
        <f t="shared" ca="1" si="385"/>
        <v>46019</v>
      </c>
      <c r="B3905" s="80">
        <f t="shared" ca="1" si="390"/>
        <v>46019.34060023148</v>
      </c>
      <c r="C3905" s="76" t="s">
        <v>628</v>
      </c>
      <c r="D3905" s="76" t="s">
        <v>902</v>
      </c>
      <c r="E3905" s="79" t="s">
        <v>2000</v>
      </c>
      <c r="F3905" s="79"/>
    </row>
    <row r="3906" spans="1:6">
      <c r="A3906" s="77">
        <f t="shared" ca="1" si="385"/>
        <v>46019</v>
      </c>
      <c r="B3906" s="80">
        <f t="shared" ca="1" si="390"/>
        <v>46019.341127083331</v>
      </c>
      <c r="C3906" s="76" t="s">
        <v>628</v>
      </c>
      <c r="D3906" s="76" t="s">
        <v>902</v>
      </c>
      <c r="E3906" s="79" t="s">
        <v>1109</v>
      </c>
      <c r="F3906" s="79"/>
    </row>
    <row r="3907" spans="1:6">
      <c r="A3907" s="77">
        <f t="shared" ca="1" si="385"/>
        <v>46019</v>
      </c>
      <c r="B3907" s="80">
        <f t="shared" ref="B3907:B3913" ca="1" si="391">IF(C3907&lt;&gt;0,IF(B3907=0,NOW(),B3907),)</f>
        <v>46019.355053009262</v>
      </c>
      <c r="C3907" s="76" t="s">
        <v>628</v>
      </c>
      <c r="D3907" s="76" t="s">
        <v>902</v>
      </c>
      <c r="E3907" s="79" t="s">
        <v>2000</v>
      </c>
      <c r="F3907" s="79"/>
    </row>
    <row r="3908" spans="1:6">
      <c r="A3908" s="77">
        <f t="shared" ca="1" si="385"/>
        <v>46019</v>
      </c>
      <c r="B3908" s="80">
        <f t="shared" ca="1" si="391"/>
        <v>46019.35679189815</v>
      </c>
      <c r="C3908" s="76" t="s">
        <v>628</v>
      </c>
      <c r="D3908" s="76" t="s">
        <v>902</v>
      </c>
      <c r="E3908" s="79" t="s">
        <v>2651</v>
      </c>
      <c r="F3908" s="79"/>
    </row>
    <row r="3909" spans="1:6">
      <c r="A3909" s="77">
        <f t="shared" ca="1" si="385"/>
        <v>46019</v>
      </c>
      <c r="B3909" s="80">
        <f t="shared" ca="1" si="391"/>
        <v>46019.361220601852</v>
      </c>
      <c r="C3909" s="76" t="s">
        <v>628</v>
      </c>
      <c r="D3909" s="76" t="s">
        <v>902</v>
      </c>
      <c r="E3909" s="79" t="s">
        <v>1538</v>
      </c>
      <c r="F3909" s="79"/>
    </row>
    <row r="3910" spans="1:6">
      <c r="A3910" s="77">
        <f t="shared" ca="1" si="385"/>
        <v>46019</v>
      </c>
      <c r="B3910" s="80">
        <f t="shared" ca="1" si="391"/>
        <v>46019.362945138892</v>
      </c>
      <c r="C3910" s="76" t="s">
        <v>628</v>
      </c>
      <c r="D3910" s="76" t="s">
        <v>902</v>
      </c>
      <c r="E3910" s="79" t="s">
        <v>2349</v>
      </c>
      <c r="F3910" s="79"/>
    </row>
    <row r="3911" spans="1:6">
      <c r="A3911" s="77">
        <f t="shared" ca="1" si="385"/>
        <v>46019</v>
      </c>
      <c r="B3911" s="80">
        <f t="shared" ca="1" si="391"/>
        <v>46019.364348263887</v>
      </c>
      <c r="C3911" s="76" t="s">
        <v>628</v>
      </c>
      <c r="D3911" s="76" t="s">
        <v>902</v>
      </c>
      <c r="E3911" s="79" t="s">
        <v>1109</v>
      </c>
      <c r="F3911" s="79"/>
    </row>
    <row r="3912" spans="1:6">
      <c r="A3912" s="77">
        <f t="shared" ca="1" si="385"/>
        <v>46019</v>
      </c>
      <c r="B3912" s="80">
        <f t="shared" ca="1" si="391"/>
        <v>46019.371887615744</v>
      </c>
      <c r="C3912" s="76" t="s">
        <v>628</v>
      </c>
      <c r="D3912" s="76" t="s">
        <v>902</v>
      </c>
      <c r="E3912" s="79" t="s">
        <v>2653</v>
      </c>
      <c r="F3912" s="79"/>
    </row>
    <row r="3913" spans="1:6">
      <c r="A3913" s="77">
        <f t="shared" ca="1" si="385"/>
        <v>46019</v>
      </c>
      <c r="B3913" s="80">
        <f t="shared" ca="1" si="391"/>
        <v>46019.377369675924</v>
      </c>
      <c r="C3913" s="76" t="s">
        <v>628</v>
      </c>
      <c r="D3913" s="76" t="s">
        <v>902</v>
      </c>
      <c r="E3913" s="79" t="s">
        <v>2650</v>
      </c>
      <c r="F3913" s="79"/>
    </row>
    <row r="3914" spans="1:6">
      <c r="A3914" s="77">
        <f t="shared" ca="1" si="385"/>
        <v>46019</v>
      </c>
      <c r="B3914" s="80">
        <f t="shared" ref="B3914:B3917" ca="1" si="392">IF(C3914&lt;&gt;0,IF(B3914=0,NOW(),B3914),)</f>
        <v>46019.38476828704</v>
      </c>
      <c r="C3914" s="76" t="s">
        <v>628</v>
      </c>
      <c r="D3914" s="76" t="s">
        <v>902</v>
      </c>
      <c r="E3914" s="79" t="s">
        <v>2654</v>
      </c>
      <c r="F3914" s="79"/>
    </row>
    <row r="3915" spans="1:6">
      <c r="A3915" s="77">
        <f t="shared" ca="1" si="385"/>
        <v>46019</v>
      </c>
      <c r="B3915" s="80">
        <f t="shared" ca="1" si="392"/>
        <v>46019.385055439816</v>
      </c>
      <c r="C3915" s="76" t="s">
        <v>628</v>
      </c>
      <c r="D3915" s="210" t="s">
        <v>922</v>
      </c>
      <c r="E3915" s="79"/>
      <c r="F3915" s="79"/>
    </row>
    <row r="3916" spans="1:6">
      <c r="A3916" s="77">
        <f t="shared" ca="1" si="385"/>
        <v>46019</v>
      </c>
      <c r="B3916" s="80">
        <f t="shared" ca="1" si="392"/>
        <v>46019.402063888891</v>
      </c>
      <c r="C3916" s="76" t="s">
        <v>628</v>
      </c>
      <c r="D3916" s="210" t="s">
        <v>1098</v>
      </c>
      <c r="E3916" s="79"/>
      <c r="F3916" s="79"/>
    </row>
    <row r="3917" spans="1:6">
      <c r="A3917" s="77">
        <f t="shared" ca="1" si="385"/>
        <v>46019</v>
      </c>
      <c r="B3917" s="80">
        <f t="shared" ca="1" si="392"/>
        <v>46019.453458796299</v>
      </c>
      <c r="C3917" s="76" t="s">
        <v>631</v>
      </c>
      <c r="D3917" s="210" t="s">
        <v>906</v>
      </c>
      <c r="E3917" s="79"/>
      <c r="F3917" s="79"/>
    </row>
    <row r="3918" spans="1:6">
      <c r="A3918" s="77">
        <f t="shared" ca="1" si="385"/>
        <v>46019</v>
      </c>
      <c r="B3918" s="80">
        <f t="shared" ref="B3918:B3928" ca="1" si="393">IF(C3918&lt;&gt;0,IF(B3918=0,NOW(),B3918),)</f>
        <v>46019.501757175924</v>
      </c>
      <c r="C3918" s="76" t="s">
        <v>631</v>
      </c>
      <c r="D3918" s="210" t="s">
        <v>909</v>
      </c>
      <c r="E3918" s="79"/>
      <c r="F3918" s="79"/>
    </row>
    <row r="3919" spans="1:6">
      <c r="A3919" s="77">
        <f t="shared" ca="1" si="385"/>
        <v>46019</v>
      </c>
      <c r="B3919" s="80">
        <f t="shared" ca="1" si="393"/>
        <v>46019.50393402778</v>
      </c>
      <c r="C3919" s="76" t="s">
        <v>631</v>
      </c>
      <c r="D3919" s="76" t="s">
        <v>902</v>
      </c>
      <c r="E3919" s="79" t="s">
        <v>2349</v>
      </c>
      <c r="F3919" s="79"/>
    </row>
    <row r="3920" spans="1:6">
      <c r="A3920" s="77">
        <f t="shared" ca="1" si="385"/>
        <v>46019</v>
      </c>
      <c r="B3920" s="80">
        <f t="shared" ca="1" si="393"/>
        <v>46019.50482037037</v>
      </c>
      <c r="C3920" s="76" t="s">
        <v>631</v>
      </c>
      <c r="D3920" s="76" t="s">
        <v>902</v>
      </c>
      <c r="E3920" s="79" t="s">
        <v>2000</v>
      </c>
      <c r="F3920" s="79"/>
    </row>
    <row r="3921" spans="1:6">
      <c r="A3921" s="77">
        <f t="shared" ca="1" si="385"/>
        <v>46019</v>
      </c>
      <c r="B3921" s="80">
        <f t="shared" ca="1" si="393"/>
        <v>46019.505149305558</v>
      </c>
      <c r="C3921" s="76" t="s">
        <v>631</v>
      </c>
      <c r="D3921" s="76" t="s">
        <v>902</v>
      </c>
      <c r="E3921" s="79" t="s">
        <v>1562</v>
      </c>
      <c r="F3921" s="79"/>
    </row>
    <row r="3922" spans="1:6">
      <c r="A3922" s="77">
        <f t="shared" ca="1" si="385"/>
        <v>46019</v>
      </c>
      <c r="B3922" s="80">
        <f t="shared" ca="1" si="393"/>
        <v>46019.511982638891</v>
      </c>
      <c r="C3922" s="76" t="s">
        <v>631</v>
      </c>
      <c r="D3922" s="76" t="s">
        <v>902</v>
      </c>
      <c r="E3922" s="79" t="s">
        <v>1692</v>
      </c>
      <c r="F3922" s="79"/>
    </row>
    <row r="3923" spans="1:6">
      <c r="A3923" s="77">
        <f t="shared" ca="1" si="385"/>
        <v>46019</v>
      </c>
      <c r="B3923" s="80">
        <f t="shared" ca="1" si="393"/>
        <v>46019.516554629627</v>
      </c>
      <c r="C3923" s="76" t="s">
        <v>631</v>
      </c>
      <c r="D3923" s="76" t="s">
        <v>902</v>
      </c>
      <c r="E3923" s="79" t="s">
        <v>2381</v>
      </c>
      <c r="F3923" s="79"/>
    </row>
    <row r="3924" spans="1:6">
      <c r="A3924" s="77">
        <f t="shared" ca="1" si="385"/>
        <v>46019</v>
      </c>
      <c r="B3924" s="80">
        <f t="shared" ca="1" si="393"/>
        <v>46019.521510763887</v>
      </c>
      <c r="C3924" s="76" t="s">
        <v>631</v>
      </c>
      <c r="D3924" s="76" t="s">
        <v>902</v>
      </c>
      <c r="E3924" s="79" t="s">
        <v>2000</v>
      </c>
      <c r="F3924" s="79"/>
    </row>
    <row r="3925" spans="1:6">
      <c r="A3925" s="77">
        <f t="shared" ca="1" si="385"/>
        <v>46019</v>
      </c>
      <c r="B3925" s="80">
        <f t="shared" ca="1" si="393"/>
        <v>46019.524166435185</v>
      </c>
      <c r="C3925" s="76" t="s">
        <v>631</v>
      </c>
      <c r="D3925" s="76" t="s">
        <v>902</v>
      </c>
      <c r="E3925" s="79" t="s">
        <v>2655</v>
      </c>
      <c r="F3925" s="79" t="s">
        <v>2656</v>
      </c>
    </row>
    <row r="3926" spans="1:6">
      <c r="A3926" s="77">
        <f t="shared" ca="1" si="385"/>
        <v>46019</v>
      </c>
      <c r="B3926" s="80">
        <f t="shared" ca="1" si="393"/>
        <v>46019.52649571759</v>
      </c>
      <c r="C3926" s="76" t="s">
        <v>631</v>
      </c>
      <c r="D3926" s="76" t="s">
        <v>902</v>
      </c>
      <c r="E3926" s="79" t="s">
        <v>1063</v>
      </c>
      <c r="F3926" s="79"/>
    </row>
    <row r="3927" spans="1:6">
      <c r="A3927" s="77">
        <f t="shared" ca="1" si="385"/>
        <v>46019</v>
      </c>
      <c r="B3927" s="80">
        <f t="shared" ca="1" si="393"/>
        <v>46019.527809375002</v>
      </c>
      <c r="C3927" s="76" t="s">
        <v>631</v>
      </c>
      <c r="D3927" s="76" t="s">
        <v>902</v>
      </c>
      <c r="E3927" s="79" t="s">
        <v>1064</v>
      </c>
      <c r="F3927" s="79"/>
    </row>
    <row r="3928" spans="1:6">
      <c r="A3928" s="77">
        <f t="shared" ca="1" si="385"/>
        <v>46019</v>
      </c>
      <c r="B3928" s="80">
        <f t="shared" ca="1" si="393"/>
        <v>46019.532365856481</v>
      </c>
      <c r="C3928" s="76" t="s">
        <v>631</v>
      </c>
      <c r="D3928" s="76" t="s">
        <v>902</v>
      </c>
      <c r="E3928" s="79" t="s">
        <v>1063</v>
      </c>
      <c r="F3928" s="79"/>
    </row>
    <row r="3929" spans="1:6">
      <c r="A3929" s="77">
        <f t="shared" ca="1" si="385"/>
        <v>46019</v>
      </c>
      <c r="B3929" s="80">
        <f t="shared" ref="B3929:B3937" ca="1" si="394">IF(C3929&lt;&gt;0,IF(B3929=0,NOW(),B3929),)</f>
        <v>46019.536547916665</v>
      </c>
      <c r="C3929" s="76" t="s">
        <v>631</v>
      </c>
      <c r="D3929" s="76" t="s">
        <v>902</v>
      </c>
      <c r="E3929" s="79" t="s">
        <v>2657</v>
      </c>
      <c r="F3929" s="79" t="s">
        <v>1525</v>
      </c>
    </row>
    <row r="3930" spans="1:6">
      <c r="A3930" s="77">
        <f t="shared" ca="1" si="385"/>
        <v>46019</v>
      </c>
      <c r="B3930" s="80">
        <f t="shared" ca="1" si="394"/>
        <v>46019.538912384261</v>
      </c>
      <c r="C3930" s="76" t="s">
        <v>631</v>
      </c>
      <c r="D3930" s="76" t="s">
        <v>902</v>
      </c>
      <c r="E3930" s="79" t="s">
        <v>2658</v>
      </c>
      <c r="F3930" s="79"/>
    </row>
    <row r="3931" spans="1:6" ht="16.5" customHeight="1">
      <c r="A3931" s="77">
        <f t="shared" ca="1" si="385"/>
        <v>46019</v>
      </c>
      <c r="B3931" s="80">
        <f t="shared" ca="1" si="394"/>
        <v>46019.540510995372</v>
      </c>
      <c r="C3931" s="76" t="s">
        <v>631</v>
      </c>
      <c r="D3931" s="76" t="s">
        <v>902</v>
      </c>
      <c r="E3931" s="79" t="s">
        <v>2659</v>
      </c>
      <c r="F3931" s="79" t="s">
        <v>2660</v>
      </c>
    </row>
    <row r="3932" spans="1:6">
      <c r="A3932" s="77">
        <f t="shared" ca="1" si="385"/>
        <v>46019</v>
      </c>
      <c r="B3932" s="80">
        <f t="shared" ca="1" si="394"/>
        <v>46019.541353587963</v>
      </c>
      <c r="C3932" s="76" t="s">
        <v>631</v>
      </c>
      <c r="D3932" s="76" t="s">
        <v>902</v>
      </c>
      <c r="E3932" s="79" t="s">
        <v>1109</v>
      </c>
      <c r="F3932" s="79"/>
    </row>
    <row r="3933" spans="1:6">
      <c r="A3933" s="77">
        <f t="shared" ca="1" si="385"/>
        <v>46019</v>
      </c>
      <c r="B3933" s="80">
        <f t="shared" ca="1" si="394"/>
        <v>46019.545150810183</v>
      </c>
      <c r="C3933" s="76" t="s">
        <v>631</v>
      </c>
      <c r="D3933" s="76" t="s">
        <v>902</v>
      </c>
      <c r="E3933" s="79" t="s">
        <v>2661</v>
      </c>
      <c r="F3933" s="79"/>
    </row>
    <row r="3934" spans="1:6">
      <c r="A3934" s="77">
        <f t="shared" ca="1" si="385"/>
        <v>46019</v>
      </c>
      <c r="B3934" s="80">
        <f t="shared" ca="1" si="394"/>
        <v>46019.548155787037</v>
      </c>
      <c r="C3934" s="76" t="s">
        <v>631</v>
      </c>
      <c r="D3934" s="76" t="s">
        <v>902</v>
      </c>
      <c r="E3934" s="79" t="s">
        <v>1063</v>
      </c>
      <c r="F3934" s="79"/>
    </row>
    <row r="3935" spans="1:6">
      <c r="A3935" s="77">
        <f t="shared" ca="1" si="385"/>
        <v>46019</v>
      </c>
      <c r="B3935" s="80">
        <f t="shared" ca="1" si="394"/>
        <v>46019.551908449073</v>
      </c>
      <c r="C3935" s="76" t="s">
        <v>631</v>
      </c>
      <c r="D3935" s="76" t="s">
        <v>902</v>
      </c>
      <c r="E3935" s="79" t="s">
        <v>1063</v>
      </c>
      <c r="F3935" s="79"/>
    </row>
    <row r="3936" spans="1:6">
      <c r="A3936" s="77">
        <f t="shared" ca="1" si="385"/>
        <v>46019</v>
      </c>
      <c r="B3936" s="80">
        <f t="shared" ca="1" si="394"/>
        <v>46019.553805787036</v>
      </c>
      <c r="C3936" s="76" t="s">
        <v>631</v>
      </c>
      <c r="D3936" s="76" t="s">
        <v>902</v>
      </c>
      <c r="E3936" s="79" t="s">
        <v>1063</v>
      </c>
      <c r="F3936" s="79"/>
    </row>
    <row r="3937" spans="1:6">
      <c r="A3937" s="77">
        <f t="shared" ca="1" si="385"/>
        <v>46019</v>
      </c>
      <c r="B3937" s="80">
        <f t="shared" ca="1" si="394"/>
        <v>46019.554967361109</v>
      </c>
      <c r="C3937" s="76" t="s">
        <v>631</v>
      </c>
      <c r="D3937" s="76" t="s">
        <v>902</v>
      </c>
      <c r="E3937" s="79" t="s">
        <v>1063</v>
      </c>
      <c r="F3937" s="79"/>
    </row>
    <row r="3938" spans="1:6">
      <c r="A3938" s="77">
        <f t="shared" ca="1" si="385"/>
        <v>46019</v>
      </c>
      <c r="B3938" s="80">
        <f t="shared" ref="B3938:B3942" ca="1" si="395">IF(C3938&lt;&gt;0,IF(B3938=0,NOW(),B3938),)</f>
        <v>46019.557230787039</v>
      </c>
      <c r="C3938" s="76" t="s">
        <v>631</v>
      </c>
      <c r="D3938" s="76" t="s">
        <v>902</v>
      </c>
      <c r="E3938" s="79" t="s">
        <v>2349</v>
      </c>
      <c r="F3938" s="79"/>
    </row>
    <row r="3939" spans="1:6">
      <c r="A3939" s="77">
        <f t="shared" ca="1" si="385"/>
        <v>46019</v>
      </c>
      <c r="B3939" s="80">
        <f t="shared" ca="1" si="395"/>
        <v>46019.560276736112</v>
      </c>
      <c r="C3939" s="76" t="s">
        <v>631</v>
      </c>
      <c r="D3939" s="76" t="s">
        <v>902</v>
      </c>
      <c r="E3939" s="79" t="s">
        <v>1063</v>
      </c>
      <c r="F3939" s="79"/>
    </row>
    <row r="3940" spans="1:6">
      <c r="A3940" s="77">
        <f t="shared" ref="A3940:A3989" ca="1" si="396">IF(C3940&lt;&gt;0,IF(A3940=0,TODAY(),A3940),)</f>
        <v>46019</v>
      </c>
      <c r="B3940" s="80">
        <f t="shared" ca="1" si="395"/>
        <v>46019.560871527778</v>
      </c>
      <c r="C3940" s="76" t="s">
        <v>631</v>
      </c>
      <c r="D3940" s="76" t="s">
        <v>902</v>
      </c>
      <c r="E3940" s="79" t="s">
        <v>1063</v>
      </c>
      <c r="F3940" s="79"/>
    </row>
    <row r="3941" spans="1:6">
      <c r="A3941" s="77">
        <f t="shared" ca="1" si="396"/>
        <v>46019</v>
      </c>
      <c r="B3941" s="80">
        <f t="shared" ca="1" si="395"/>
        <v>46019.561487037034</v>
      </c>
      <c r="C3941" s="76" t="s">
        <v>631</v>
      </c>
      <c r="D3941" s="76" t="s">
        <v>902</v>
      </c>
      <c r="E3941" s="79" t="s">
        <v>1063</v>
      </c>
      <c r="F3941" s="79"/>
    </row>
    <row r="3942" spans="1:6">
      <c r="A3942" s="77">
        <f t="shared" ca="1" si="396"/>
        <v>46019</v>
      </c>
      <c r="B3942" s="80">
        <f t="shared" ca="1" si="395"/>
        <v>46019.562474305552</v>
      </c>
      <c r="C3942" s="76" t="s">
        <v>631</v>
      </c>
      <c r="D3942" s="76" t="s">
        <v>902</v>
      </c>
      <c r="E3942" s="79" t="s">
        <v>1505</v>
      </c>
      <c r="F3942" s="79"/>
    </row>
    <row r="3943" spans="1:6">
      <c r="A3943" s="77">
        <f t="shared" ca="1" si="396"/>
        <v>46019</v>
      </c>
      <c r="B3943" s="80">
        <f t="shared" ref="B3943:B3947" ca="1" si="397">IF(C3943&lt;&gt;0,IF(B3943=0,NOW(),B3943),)</f>
        <v>46019.566143750002</v>
      </c>
      <c r="C3943" s="76" t="s">
        <v>631</v>
      </c>
      <c r="D3943" s="76" t="s">
        <v>902</v>
      </c>
      <c r="E3943" s="79" t="s">
        <v>2662</v>
      </c>
      <c r="F3943" s="79"/>
    </row>
    <row r="3944" spans="1:6">
      <c r="A3944" s="77">
        <f t="shared" ca="1" si="396"/>
        <v>46019</v>
      </c>
      <c r="B3944" s="80">
        <f t="shared" ca="1" si="397"/>
        <v>46019.570707638886</v>
      </c>
      <c r="C3944" s="76" t="s">
        <v>631</v>
      </c>
      <c r="D3944" s="76" t="s">
        <v>902</v>
      </c>
      <c r="E3944" s="79" t="s">
        <v>1109</v>
      </c>
      <c r="F3944" s="79"/>
    </row>
    <row r="3945" spans="1:6">
      <c r="A3945" s="77">
        <f t="shared" ca="1" si="396"/>
        <v>46019</v>
      </c>
      <c r="B3945" s="80">
        <f t="shared" ca="1" si="397"/>
        <v>46019.573024768521</v>
      </c>
      <c r="C3945" s="76" t="s">
        <v>631</v>
      </c>
      <c r="D3945" s="76" t="s">
        <v>902</v>
      </c>
      <c r="E3945" s="79" t="s">
        <v>1109</v>
      </c>
      <c r="F3945" s="79"/>
    </row>
    <row r="3946" spans="1:6">
      <c r="A3946" s="77">
        <f t="shared" ca="1" si="396"/>
        <v>46019</v>
      </c>
      <c r="B3946" s="80">
        <f t="shared" ca="1" si="397"/>
        <v>46019.573621527779</v>
      </c>
      <c r="C3946" s="76" t="s">
        <v>631</v>
      </c>
      <c r="D3946" s="76" t="s">
        <v>902</v>
      </c>
      <c r="E3946" s="79" t="s">
        <v>2663</v>
      </c>
      <c r="F3946" s="79"/>
    </row>
    <row r="3947" spans="1:6">
      <c r="A3947" s="77">
        <f t="shared" ca="1" si="396"/>
        <v>46019</v>
      </c>
      <c r="B3947" s="80">
        <f t="shared" ca="1" si="397"/>
        <v>46019.574764583333</v>
      </c>
      <c r="C3947" s="76" t="s">
        <v>631</v>
      </c>
      <c r="D3947" s="76" t="s">
        <v>902</v>
      </c>
      <c r="E3947" s="79" t="s">
        <v>2000</v>
      </c>
      <c r="F3947" s="79"/>
    </row>
    <row r="3948" spans="1:6">
      <c r="A3948" s="77">
        <f t="shared" ca="1" si="396"/>
        <v>46019</v>
      </c>
      <c r="B3948" s="80">
        <f t="shared" ref="B3948:B3953" ca="1" si="398">IF(C3948&lt;&gt;0,IF(B3948=0,NOW(),B3948),)</f>
        <v>46019.576477546296</v>
      </c>
      <c r="C3948" s="76" t="s">
        <v>631</v>
      </c>
      <c r="D3948" s="76" t="s">
        <v>902</v>
      </c>
      <c r="E3948" s="79" t="s">
        <v>2662</v>
      </c>
      <c r="F3948" s="79"/>
    </row>
    <row r="3949" spans="1:6">
      <c r="A3949" s="77">
        <f t="shared" ca="1" si="396"/>
        <v>46019</v>
      </c>
      <c r="B3949" s="80">
        <f t="shared" ca="1" si="398"/>
        <v>46019.591813888888</v>
      </c>
      <c r="C3949" s="76" t="s">
        <v>631</v>
      </c>
      <c r="D3949" s="76" t="s">
        <v>902</v>
      </c>
      <c r="E3949" s="79" t="s">
        <v>1109</v>
      </c>
      <c r="F3949" s="79"/>
    </row>
    <row r="3950" spans="1:6">
      <c r="A3950" s="77">
        <f t="shared" ca="1" si="396"/>
        <v>46019</v>
      </c>
      <c r="B3950" s="80">
        <f t="shared" ca="1" si="398"/>
        <v>46019.601946296294</v>
      </c>
      <c r="C3950" s="76" t="s">
        <v>631</v>
      </c>
      <c r="D3950" s="76" t="s">
        <v>902</v>
      </c>
      <c r="E3950" s="79" t="s">
        <v>2663</v>
      </c>
      <c r="F3950" s="79"/>
    </row>
    <row r="3951" spans="1:6">
      <c r="A3951" s="77">
        <f t="shared" ca="1" si="396"/>
        <v>46019</v>
      </c>
      <c r="B3951" s="80">
        <f t="shared" ca="1" si="398"/>
        <v>46019.60366400463</v>
      </c>
      <c r="C3951" s="76" t="s">
        <v>631</v>
      </c>
      <c r="D3951" s="76" t="s">
        <v>902</v>
      </c>
      <c r="E3951" s="79" t="s">
        <v>1109</v>
      </c>
      <c r="F3951" s="79"/>
    </row>
    <row r="3952" spans="1:6">
      <c r="A3952" s="77">
        <f t="shared" ca="1" si="396"/>
        <v>46019</v>
      </c>
      <c r="B3952" s="80">
        <f t="shared" ca="1" si="398"/>
        <v>46019.607869444444</v>
      </c>
      <c r="C3952" s="76" t="s">
        <v>631</v>
      </c>
      <c r="D3952" s="76" t="s">
        <v>902</v>
      </c>
      <c r="E3952" s="79" t="s">
        <v>2000</v>
      </c>
      <c r="F3952" s="79"/>
    </row>
    <row r="3953" spans="1:6">
      <c r="A3953" s="77">
        <f t="shared" ca="1" si="396"/>
        <v>46019</v>
      </c>
      <c r="B3953" s="80">
        <f t="shared" ca="1" si="398"/>
        <v>46019.612293749997</v>
      </c>
      <c r="C3953" s="76" t="s">
        <v>631</v>
      </c>
      <c r="D3953" s="76" t="s">
        <v>902</v>
      </c>
      <c r="E3953" s="79" t="s">
        <v>1583</v>
      </c>
      <c r="F3953" s="79"/>
    </row>
    <row r="3954" spans="1:6">
      <c r="A3954" s="77">
        <f t="shared" ca="1" si="396"/>
        <v>46019</v>
      </c>
      <c r="B3954" s="80">
        <f t="shared" ref="B3954:B3957" ca="1" si="399">IF(C3954&lt;&gt;0,IF(B3954=0,NOW(),B3954),)</f>
        <v>46019.619079282405</v>
      </c>
      <c r="C3954" s="76" t="s">
        <v>631</v>
      </c>
      <c r="D3954" s="150" t="s">
        <v>1007</v>
      </c>
      <c r="E3954" s="79" t="s">
        <v>2664</v>
      </c>
      <c r="F3954" s="79"/>
    </row>
    <row r="3955" spans="1:6">
      <c r="A3955" s="77">
        <f t="shared" ca="1" si="396"/>
        <v>46019</v>
      </c>
      <c r="B3955" s="80">
        <f t="shared" ca="1" si="399"/>
        <v>46019.620016319444</v>
      </c>
      <c r="C3955" s="76" t="s">
        <v>631</v>
      </c>
      <c r="D3955" s="76" t="s">
        <v>902</v>
      </c>
      <c r="E3955" s="79" t="s">
        <v>1109</v>
      </c>
      <c r="F3955" s="79"/>
    </row>
    <row r="3956" spans="1:6">
      <c r="A3956" s="77">
        <f t="shared" ca="1" si="396"/>
        <v>46019</v>
      </c>
      <c r="B3956" s="80">
        <f t="shared" ca="1" si="399"/>
        <v>46019.624206250002</v>
      </c>
      <c r="C3956" s="76" t="s">
        <v>631</v>
      </c>
      <c r="D3956" s="76" t="s">
        <v>902</v>
      </c>
      <c r="E3956" s="79" t="s">
        <v>1229</v>
      </c>
      <c r="F3956" s="79"/>
    </row>
    <row r="3957" spans="1:6">
      <c r="A3957" s="77">
        <f t="shared" ca="1" si="396"/>
        <v>46019</v>
      </c>
      <c r="B3957" s="80">
        <f t="shared" ca="1" si="399"/>
        <v>46019.62468148148</v>
      </c>
      <c r="C3957" s="76" t="s">
        <v>631</v>
      </c>
      <c r="D3957" s="76" t="s">
        <v>902</v>
      </c>
      <c r="E3957" s="79" t="s">
        <v>2639</v>
      </c>
      <c r="F3957" s="79"/>
    </row>
    <row r="3958" spans="1:6">
      <c r="A3958" s="77">
        <f t="shared" ca="1" si="396"/>
        <v>46019</v>
      </c>
      <c r="B3958" s="80">
        <f t="shared" ref="B3958:B3961" ca="1" si="400">IF(C3958&lt;&gt;0,IF(B3958=0,NOW(),B3958),)</f>
        <v>46019.626470370371</v>
      </c>
      <c r="C3958" s="76" t="s">
        <v>631</v>
      </c>
      <c r="D3958" s="76" t="s">
        <v>902</v>
      </c>
      <c r="E3958" s="79" t="s">
        <v>932</v>
      </c>
      <c r="F3958" s="79"/>
    </row>
    <row r="3959" spans="1:6">
      <c r="A3959" s="77">
        <f t="shared" ca="1" si="396"/>
        <v>46019</v>
      </c>
      <c r="B3959" s="80">
        <f t="shared" ca="1" si="400"/>
        <v>46019.626625115743</v>
      </c>
      <c r="C3959" s="76" t="s">
        <v>631</v>
      </c>
      <c r="D3959" s="76" t="s">
        <v>902</v>
      </c>
      <c r="E3959" s="79" t="s">
        <v>2665</v>
      </c>
      <c r="F3959" s="79"/>
    </row>
    <row r="3960" spans="1:6">
      <c r="A3960" s="77">
        <f t="shared" ca="1" si="396"/>
        <v>46019</v>
      </c>
      <c r="B3960" s="80">
        <f t="shared" ca="1" si="400"/>
        <v>46019.627283680558</v>
      </c>
      <c r="C3960" s="76" t="s">
        <v>631</v>
      </c>
      <c r="D3960" s="76" t="s">
        <v>902</v>
      </c>
      <c r="E3960" s="79" t="s">
        <v>932</v>
      </c>
      <c r="F3960" s="79"/>
    </row>
    <row r="3961" spans="1:6">
      <c r="A3961" s="77">
        <f t="shared" ca="1" si="396"/>
        <v>46019</v>
      </c>
      <c r="B3961" s="80">
        <f t="shared" ca="1" si="400"/>
        <v>46019.634786921299</v>
      </c>
      <c r="C3961" s="76" t="s">
        <v>631</v>
      </c>
      <c r="D3961" s="76" t="s">
        <v>902</v>
      </c>
      <c r="E3961" s="79" t="s">
        <v>1063</v>
      </c>
      <c r="F3961" s="79"/>
    </row>
    <row r="3962" spans="1:6">
      <c r="A3962" s="77">
        <f t="shared" ca="1" si="396"/>
        <v>46019</v>
      </c>
      <c r="B3962" s="80">
        <f t="shared" ref="B3962:B3965" ca="1" si="401">IF(C3962&lt;&gt;0,IF(B3962=0,NOW(),B3962),)</f>
        <v>46019.641770138885</v>
      </c>
      <c r="C3962" s="76" t="s">
        <v>631</v>
      </c>
      <c r="D3962" s="76" t="s">
        <v>902</v>
      </c>
      <c r="E3962" s="79" t="s">
        <v>1775</v>
      </c>
      <c r="F3962" s="79"/>
    </row>
    <row r="3963" spans="1:6">
      <c r="A3963" s="77">
        <f t="shared" ca="1" si="396"/>
        <v>46019</v>
      </c>
      <c r="B3963" s="80">
        <f t="shared" ca="1" si="401"/>
        <v>46019.641971643519</v>
      </c>
      <c r="C3963" s="76" t="s">
        <v>631</v>
      </c>
      <c r="D3963" s="76" t="s">
        <v>902</v>
      </c>
      <c r="E3963" s="79" t="s">
        <v>1063</v>
      </c>
      <c r="F3963" s="79"/>
    </row>
    <row r="3964" spans="1:6">
      <c r="A3964" s="77">
        <f t="shared" ca="1" si="396"/>
        <v>46019</v>
      </c>
      <c r="B3964" s="80">
        <f t="shared" ca="1" si="401"/>
        <v>46019.642482407406</v>
      </c>
      <c r="C3964" s="76" t="s">
        <v>631</v>
      </c>
      <c r="D3964" s="76" t="s">
        <v>902</v>
      </c>
      <c r="E3964" s="79" t="s">
        <v>1775</v>
      </c>
      <c r="F3964" s="79"/>
    </row>
    <row r="3965" spans="1:6">
      <c r="A3965" s="77">
        <f t="shared" ca="1" si="396"/>
        <v>46019</v>
      </c>
      <c r="B3965" s="80">
        <f t="shared" ca="1" si="401"/>
        <v>46019.642715624999</v>
      </c>
      <c r="C3965" s="76" t="s">
        <v>631</v>
      </c>
      <c r="D3965" s="76" t="s">
        <v>902</v>
      </c>
      <c r="E3965" s="29" t="s">
        <v>1775</v>
      </c>
      <c r="F3965" s="79"/>
    </row>
    <row r="3966" spans="1:6">
      <c r="A3966" s="77">
        <f t="shared" ca="1" si="396"/>
        <v>46019</v>
      </c>
      <c r="B3966" s="80">
        <f t="shared" ref="B3966:B3969" ca="1" si="402">IF(C3966&lt;&gt;0,IF(B3966=0,NOW(),B3966),)</f>
        <v>46019.646066203706</v>
      </c>
      <c r="C3966" s="76" t="s">
        <v>631</v>
      </c>
      <c r="D3966" s="76" t="s">
        <v>902</v>
      </c>
      <c r="E3966" s="79" t="s">
        <v>1775</v>
      </c>
      <c r="F3966" s="79"/>
    </row>
    <row r="3967" spans="1:6">
      <c r="A3967" s="77">
        <f t="shared" ca="1" si="396"/>
        <v>46019</v>
      </c>
      <c r="B3967" s="80">
        <f t="shared" ca="1" si="402"/>
        <v>46019.646278009262</v>
      </c>
      <c r="C3967" s="76" t="s">
        <v>631</v>
      </c>
      <c r="D3967" s="76" t="s">
        <v>902</v>
      </c>
      <c r="E3967" s="79" t="s">
        <v>1063</v>
      </c>
      <c r="F3967" s="79"/>
    </row>
    <row r="3968" spans="1:6">
      <c r="A3968" s="77">
        <f t="shared" ca="1" si="396"/>
        <v>46019</v>
      </c>
      <c r="B3968" s="80">
        <f t="shared" ca="1" si="402"/>
        <v>46019.64659502315</v>
      </c>
      <c r="C3968" s="76" t="s">
        <v>631</v>
      </c>
      <c r="D3968" s="76" t="s">
        <v>902</v>
      </c>
      <c r="E3968" s="79" t="s">
        <v>1063</v>
      </c>
      <c r="F3968" s="79"/>
    </row>
    <row r="3969" spans="1:6">
      <c r="A3969" s="77">
        <f t="shared" ca="1" si="396"/>
        <v>46019</v>
      </c>
      <c r="B3969" s="80">
        <f t="shared" ca="1" si="402"/>
        <v>46019.648517592592</v>
      </c>
      <c r="C3969" s="76" t="s">
        <v>631</v>
      </c>
      <c r="D3969" s="76" t="s">
        <v>902</v>
      </c>
      <c r="E3969" s="79" t="s">
        <v>1063</v>
      </c>
      <c r="F3969" s="79"/>
    </row>
    <row r="3970" spans="1:6">
      <c r="A3970" s="77">
        <f t="shared" ca="1" si="396"/>
        <v>46019</v>
      </c>
      <c r="B3970" s="80">
        <f t="shared" ref="B3970:B3971" ca="1" si="403">IF(C3970&lt;&gt;0,IF(B3970=0,NOW(),B3970),)</f>
        <v>46019.64855150463</v>
      </c>
      <c r="C3970" s="76" t="s">
        <v>631</v>
      </c>
      <c r="D3970" s="76" t="s">
        <v>902</v>
      </c>
      <c r="E3970" s="79" t="s">
        <v>1063</v>
      </c>
      <c r="F3970" s="79"/>
    </row>
    <row r="3971" spans="1:6">
      <c r="A3971" s="77">
        <f t="shared" ca="1" si="396"/>
        <v>46019</v>
      </c>
      <c r="B3971" s="80">
        <f t="shared" ca="1" si="403"/>
        <v>46019.648580092595</v>
      </c>
      <c r="C3971" s="76" t="s">
        <v>631</v>
      </c>
      <c r="D3971" s="76" t="s">
        <v>902</v>
      </c>
      <c r="E3971" s="79" t="s">
        <v>1063</v>
      </c>
      <c r="F3971" s="79"/>
    </row>
    <row r="3972" spans="1:6">
      <c r="A3972" s="77">
        <f t="shared" ca="1" si="396"/>
        <v>46019</v>
      </c>
      <c r="B3972" s="80">
        <f t="shared" ref="B3972:B3976" ca="1" si="404">IF(C3972&lt;&gt;0,IF(B3972=0,NOW(),B3972),)</f>
        <v>46019.648721180558</v>
      </c>
      <c r="C3972" s="76" t="s">
        <v>631</v>
      </c>
      <c r="D3972" s="76" t="s">
        <v>902</v>
      </c>
      <c r="E3972" s="79" t="s">
        <v>1063</v>
      </c>
      <c r="F3972" s="79"/>
    </row>
    <row r="3973" spans="1:6">
      <c r="A3973" s="77">
        <f t="shared" ca="1" si="396"/>
        <v>46019</v>
      </c>
      <c r="B3973" s="80">
        <f t="shared" ca="1" si="404"/>
        <v>46019.64874340278</v>
      </c>
      <c r="C3973" s="76" t="s">
        <v>631</v>
      </c>
      <c r="D3973" s="76" t="s">
        <v>902</v>
      </c>
      <c r="E3973" s="79" t="s">
        <v>1775</v>
      </c>
      <c r="F3973" s="79"/>
    </row>
    <row r="3974" spans="1:6">
      <c r="A3974" s="77">
        <f t="shared" ca="1" si="396"/>
        <v>46019</v>
      </c>
      <c r="B3974" s="80">
        <f t="shared" ca="1" si="404"/>
        <v>46019.648770370368</v>
      </c>
      <c r="C3974" s="76" t="s">
        <v>631</v>
      </c>
      <c r="D3974" s="76" t="s">
        <v>902</v>
      </c>
      <c r="E3974" s="79" t="s">
        <v>1063</v>
      </c>
      <c r="F3974" s="79"/>
    </row>
    <row r="3975" spans="1:6">
      <c r="A3975" s="77">
        <f t="shared" ca="1" si="396"/>
        <v>46019</v>
      </c>
      <c r="B3975" s="80">
        <f t="shared" ca="1" si="404"/>
        <v>46019.648793865737</v>
      </c>
      <c r="C3975" s="76" t="s">
        <v>631</v>
      </c>
      <c r="D3975" s="76" t="s">
        <v>902</v>
      </c>
      <c r="E3975" s="79" t="s">
        <v>1781</v>
      </c>
      <c r="F3975" s="79"/>
    </row>
    <row r="3976" spans="1:6">
      <c r="A3976" s="77">
        <f t="shared" ca="1" si="396"/>
        <v>46019</v>
      </c>
      <c r="B3976" s="80">
        <f t="shared" ca="1" si="404"/>
        <v>46019.649316319446</v>
      </c>
      <c r="C3976" s="76" t="s">
        <v>631</v>
      </c>
      <c r="D3976" s="76" t="s">
        <v>902</v>
      </c>
      <c r="E3976" s="79" t="s">
        <v>2666</v>
      </c>
      <c r="F3976" s="79"/>
    </row>
    <row r="3977" spans="1:6">
      <c r="A3977" s="77">
        <f t="shared" ca="1" si="396"/>
        <v>46019</v>
      </c>
      <c r="B3977" s="80">
        <f t="shared" ref="B3977:B3982" ca="1" si="405">IF(C3977&lt;&gt;0,IF(B3977=0,NOW(),B3977),)</f>
        <v>46019.65342534722</v>
      </c>
      <c r="C3977" s="76" t="s">
        <v>631</v>
      </c>
      <c r="D3977" s="76" t="s">
        <v>902</v>
      </c>
      <c r="E3977" s="79" t="s">
        <v>1505</v>
      </c>
      <c r="F3977" s="79"/>
    </row>
    <row r="3978" spans="1:6">
      <c r="A3978" s="77">
        <f t="shared" ca="1" si="396"/>
        <v>46019</v>
      </c>
      <c r="B3978" s="80">
        <f t="shared" ca="1" si="405"/>
        <v>46019.656078125001</v>
      </c>
      <c r="C3978" s="76" t="s">
        <v>631</v>
      </c>
      <c r="D3978" s="76" t="s">
        <v>902</v>
      </c>
      <c r="E3978" s="79" t="s">
        <v>1505</v>
      </c>
      <c r="F3978" s="79"/>
    </row>
    <row r="3979" spans="1:6">
      <c r="A3979" s="77">
        <f t="shared" ca="1" si="396"/>
        <v>46019</v>
      </c>
      <c r="B3979" s="80">
        <f t="shared" ca="1" si="405"/>
        <v>46019.658624305557</v>
      </c>
      <c r="C3979" s="76" t="s">
        <v>631</v>
      </c>
      <c r="D3979" s="76" t="s">
        <v>902</v>
      </c>
      <c r="E3979" s="79" t="s">
        <v>1775</v>
      </c>
      <c r="F3979" s="79"/>
    </row>
    <row r="3980" spans="1:6">
      <c r="A3980" s="77">
        <f t="shared" ca="1" si="396"/>
        <v>46019</v>
      </c>
      <c r="B3980" s="80">
        <f t="shared" ca="1" si="405"/>
        <v>46019.661599999999</v>
      </c>
      <c r="C3980" s="76" t="s">
        <v>631</v>
      </c>
      <c r="D3980" s="76" t="s">
        <v>902</v>
      </c>
      <c r="E3980" s="79" t="s">
        <v>1583</v>
      </c>
      <c r="F3980" s="79"/>
    </row>
    <row r="3981" spans="1:6">
      <c r="A3981" s="77">
        <f t="shared" ca="1" si="396"/>
        <v>46019</v>
      </c>
      <c r="B3981" s="80">
        <f t="shared" ca="1" si="405"/>
        <v>46019.66407939815</v>
      </c>
      <c r="C3981" s="76" t="s">
        <v>631</v>
      </c>
      <c r="D3981" s="150" t="s">
        <v>1007</v>
      </c>
      <c r="E3981" s="79" t="s">
        <v>2667</v>
      </c>
      <c r="F3981" s="79"/>
    </row>
    <row r="3982" spans="1:6">
      <c r="A3982" s="77">
        <f t="shared" ca="1" si="396"/>
        <v>46019</v>
      </c>
      <c r="B3982" s="80">
        <f t="shared" ca="1" si="405"/>
        <v>46019.665597453706</v>
      </c>
      <c r="C3982" s="76" t="s">
        <v>631</v>
      </c>
      <c r="D3982" s="76" t="s">
        <v>902</v>
      </c>
      <c r="E3982" s="79" t="s">
        <v>1064</v>
      </c>
      <c r="F3982" s="79"/>
    </row>
    <row r="3983" spans="1:6">
      <c r="A3983" s="77">
        <f t="shared" ca="1" si="396"/>
        <v>46019</v>
      </c>
      <c r="B3983" s="80">
        <f t="shared" ref="B3983:B3985" ca="1" si="406">IF(C3983&lt;&gt;0,IF(B3983=0,NOW(),B3983),)</f>
        <v>46019.670582523147</v>
      </c>
      <c r="C3983" s="76" t="s">
        <v>631</v>
      </c>
      <c r="D3983" s="76" t="s">
        <v>902</v>
      </c>
      <c r="E3983" s="79" t="s">
        <v>1775</v>
      </c>
      <c r="F3983" s="79"/>
    </row>
    <row r="3984" spans="1:6">
      <c r="A3984" s="77">
        <f t="shared" ca="1" si="396"/>
        <v>46019</v>
      </c>
      <c r="B3984" s="80">
        <f t="shared" ca="1" si="406"/>
        <v>46019.671092476849</v>
      </c>
      <c r="C3984" s="76" t="s">
        <v>631</v>
      </c>
      <c r="D3984" s="76" t="s">
        <v>902</v>
      </c>
      <c r="E3984" s="79" t="s">
        <v>1775</v>
      </c>
      <c r="F3984" s="79"/>
    </row>
    <row r="3985" spans="1:6">
      <c r="A3985" s="77">
        <f t="shared" ca="1" si="396"/>
        <v>46019</v>
      </c>
      <c r="B3985" s="80">
        <f t="shared" ca="1" si="406"/>
        <v>46019.671628124997</v>
      </c>
      <c r="C3985" s="76" t="s">
        <v>631</v>
      </c>
      <c r="D3985" s="76" t="s">
        <v>902</v>
      </c>
      <c r="E3985" s="79" t="s">
        <v>1775</v>
      </c>
      <c r="F3985" s="79"/>
    </row>
    <row r="3986" spans="1:6">
      <c r="A3986" s="77">
        <f t="shared" ca="1" si="396"/>
        <v>46019</v>
      </c>
      <c r="B3986" s="80">
        <f t="shared" ref="B3986:B4003" ca="1" si="407">IF(C3986&lt;&gt;0,IF(B3986=0,NOW(),B3986),)</f>
        <v>46019.671702662039</v>
      </c>
      <c r="C3986" s="76" t="s">
        <v>631</v>
      </c>
      <c r="D3986" s="76" t="s">
        <v>902</v>
      </c>
      <c r="E3986" s="79" t="s">
        <v>1775</v>
      </c>
      <c r="F3986" s="79"/>
    </row>
    <row r="3987" spans="1:6">
      <c r="A3987" s="77">
        <f t="shared" ca="1" si="396"/>
        <v>46019</v>
      </c>
      <c r="B3987" s="80">
        <f t="shared" ca="1" si="407"/>
        <v>46019.672770486111</v>
      </c>
      <c r="C3987" s="76" t="s">
        <v>631</v>
      </c>
      <c r="D3987" s="76" t="s">
        <v>902</v>
      </c>
      <c r="E3987" s="79" t="s">
        <v>1775</v>
      </c>
      <c r="F3987" s="79"/>
    </row>
    <row r="3988" spans="1:6">
      <c r="A3988" s="77">
        <f t="shared" ca="1" si="396"/>
        <v>46019</v>
      </c>
      <c r="B3988" s="80">
        <f t="shared" ca="1" si="407"/>
        <v>46019.673732754629</v>
      </c>
      <c r="C3988" s="76" t="s">
        <v>631</v>
      </c>
      <c r="D3988" s="210" t="s">
        <v>922</v>
      </c>
      <c r="E3988" s="79" t="s">
        <v>2668</v>
      </c>
      <c r="F3988" s="79"/>
    </row>
    <row r="3989" spans="1:6">
      <c r="A3989" s="77">
        <f t="shared" ca="1" si="396"/>
        <v>46019</v>
      </c>
      <c r="B3989" s="80">
        <f t="shared" ca="1" si="407"/>
        <v>46019.694388888885</v>
      </c>
      <c r="C3989" s="76" t="s">
        <v>631</v>
      </c>
      <c r="D3989" s="210" t="s">
        <v>1098</v>
      </c>
      <c r="E3989" s="79"/>
      <c r="F3989" s="79"/>
    </row>
    <row r="3990" spans="1:6">
      <c r="A3990" s="77">
        <f t="shared" ref="A3990:A3992" ca="1" si="408">IF(C3990&lt;&gt;0,IF(A3990=0,TODAY(),A3990),)</f>
        <v>46019</v>
      </c>
      <c r="B3990" s="80">
        <f t="shared" ca="1" si="407"/>
        <v>46019.753696874999</v>
      </c>
      <c r="C3990" s="76" t="s">
        <v>634</v>
      </c>
      <c r="D3990" s="210" t="s">
        <v>906</v>
      </c>
      <c r="E3990" s="79"/>
      <c r="F3990" s="79"/>
    </row>
    <row r="3991" spans="1:6">
      <c r="A3991" s="77">
        <f t="shared" ca="1" si="408"/>
        <v>46019</v>
      </c>
      <c r="B3991" s="80">
        <f t="shared" ca="1" si="407"/>
        <v>46019.780151041668</v>
      </c>
      <c r="C3991" s="76" t="s">
        <v>634</v>
      </c>
      <c r="D3991" s="210" t="s">
        <v>909</v>
      </c>
      <c r="E3991" s="79"/>
      <c r="F3991" s="79"/>
    </row>
    <row r="3992" spans="1:6">
      <c r="A3992" s="77">
        <f t="shared" ca="1" si="408"/>
        <v>46019</v>
      </c>
      <c r="B3992" s="80">
        <f t="shared" ca="1" si="407"/>
        <v>46019.78712025463</v>
      </c>
      <c r="C3992" s="76" t="s">
        <v>634</v>
      </c>
      <c r="D3992" s="76" t="s">
        <v>902</v>
      </c>
      <c r="E3992" s="79" t="s">
        <v>2669</v>
      </c>
      <c r="F3992" s="79"/>
    </row>
    <row r="3993" spans="1:6">
      <c r="A3993" s="77">
        <f t="shared" ref="A3993:A4001" ca="1" si="409">IF(C3993&lt;&gt;0,IF(A3993=0,TODAY(),A3993),)</f>
        <v>46019</v>
      </c>
      <c r="B3993" s="80">
        <f t="shared" ca="1" si="407"/>
        <v>46019.788075578705</v>
      </c>
      <c r="C3993" s="76" t="s">
        <v>634</v>
      </c>
      <c r="D3993" s="76" t="s">
        <v>902</v>
      </c>
      <c r="E3993" s="79" t="s">
        <v>1239</v>
      </c>
      <c r="F3993" s="79"/>
    </row>
    <row r="3994" spans="1:6">
      <c r="A3994" s="77">
        <f t="shared" ca="1" si="409"/>
        <v>46019</v>
      </c>
      <c r="B3994" s="80">
        <f t="shared" ca="1" si="407"/>
        <v>46019.788330787036</v>
      </c>
      <c r="C3994" s="76" t="s">
        <v>634</v>
      </c>
      <c r="D3994" s="76" t="s">
        <v>902</v>
      </c>
      <c r="E3994" s="79" t="s">
        <v>1239</v>
      </c>
      <c r="F3994" s="79"/>
    </row>
    <row r="3995" spans="1:6">
      <c r="A3995" s="77">
        <f t="shared" ca="1" si="409"/>
        <v>46019</v>
      </c>
      <c r="B3995" s="80">
        <f t="shared" ca="1" si="407"/>
        <v>46019.788398611112</v>
      </c>
      <c r="C3995" s="76" t="s">
        <v>634</v>
      </c>
      <c r="D3995" s="76" t="s">
        <v>902</v>
      </c>
      <c r="E3995" s="79" t="s">
        <v>2670</v>
      </c>
      <c r="F3995" s="79"/>
    </row>
    <row r="3996" spans="1:6">
      <c r="A3996" s="77">
        <f t="shared" ca="1" si="409"/>
        <v>46019</v>
      </c>
      <c r="B3996" s="80">
        <f t="shared" ca="1" si="407"/>
        <v>46019.789848495369</v>
      </c>
      <c r="C3996" s="76" t="s">
        <v>634</v>
      </c>
      <c r="D3996" s="76" t="s">
        <v>902</v>
      </c>
      <c r="E3996" s="79" t="s">
        <v>2671</v>
      </c>
      <c r="F3996" s="79"/>
    </row>
    <row r="3997" spans="1:6">
      <c r="A3997" s="77">
        <f t="shared" ca="1" si="409"/>
        <v>46019</v>
      </c>
      <c r="B3997" s="80">
        <f t="shared" ca="1" si="407"/>
        <v>46019.808994907406</v>
      </c>
      <c r="C3997" s="76" t="s">
        <v>634</v>
      </c>
      <c r="D3997" s="76" t="s">
        <v>902</v>
      </c>
      <c r="E3997" s="79" t="s">
        <v>1234</v>
      </c>
      <c r="F3997" s="79"/>
    </row>
    <row r="3998" spans="1:6">
      <c r="A3998" s="77">
        <f t="shared" ca="1" si="409"/>
        <v>46019</v>
      </c>
      <c r="B3998" s="80">
        <f t="shared" ca="1" si="407"/>
        <v>46019.811550694445</v>
      </c>
      <c r="C3998" s="76" t="s">
        <v>634</v>
      </c>
      <c r="D3998" s="76" t="s">
        <v>902</v>
      </c>
      <c r="E3998" s="79" t="s">
        <v>1234</v>
      </c>
      <c r="F3998" s="79"/>
    </row>
    <row r="3999" spans="1:6">
      <c r="A3999" s="77">
        <f t="shared" ca="1" si="409"/>
        <v>46019</v>
      </c>
      <c r="B3999" s="80">
        <f t="shared" ca="1" si="407"/>
        <v>46019.815776967589</v>
      </c>
      <c r="C3999" s="76" t="s">
        <v>634</v>
      </c>
      <c r="D3999" s="76" t="s">
        <v>902</v>
      </c>
      <c r="E3999" s="79" t="s">
        <v>1234</v>
      </c>
      <c r="F3999" s="79"/>
    </row>
    <row r="4000" spans="1:6">
      <c r="A4000" s="77">
        <f t="shared" ca="1" si="409"/>
        <v>46019</v>
      </c>
      <c r="B4000" s="80">
        <f t="shared" ca="1" si="407"/>
        <v>46019.815800231481</v>
      </c>
      <c r="C4000" s="76" t="s">
        <v>634</v>
      </c>
      <c r="D4000" s="76" t="s">
        <v>902</v>
      </c>
      <c r="E4000" s="79" t="s">
        <v>1234</v>
      </c>
      <c r="F4000" s="79"/>
    </row>
    <row r="4001" spans="1:6">
      <c r="A4001" s="77">
        <f t="shared" ca="1" si="409"/>
        <v>46019</v>
      </c>
      <c r="B4001" s="80">
        <f t="shared" ca="1" si="407"/>
        <v>46019.815821990742</v>
      </c>
      <c r="C4001" s="76" t="s">
        <v>634</v>
      </c>
      <c r="D4001" s="76" t="s">
        <v>902</v>
      </c>
      <c r="E4001" s="79" t="s">
        <v>1816</v>
      </c>
      <c r="F4001" s="79"/>
    </row>
    <row r="4002" spans="1:6">
      <c r="A4002" s="77">
        <f t="shared" ref="A4002:A4003" ca="1" si="410">IF(C4002&lt;&gt;0,IF(A4002=0,TODAY(),A4002),)</f>
        <v>46019</v>
      </c>
      <c r="B4002" s="80">
        <f t="shared" ca="1" si="407"/>
        <v>46019.819450462965</v>
      </c>
      <c r="C4002" s="76" t="s">
        <v>634</v>
      </c>
      <c r="D4002" s="76" t="s">
        <v>902</v>
      </c>
      <c r="E4002" s="79" t="s">
        <v>2672</v>
      </c>
      <c r="F4002" s="79"/>
    </row>
    <row r="4003" spans="1:6">
      <c r="A4003" s="77">
        <f t="shared" ca="1" si="410"/>
        <v>46019</v>
      </c>
      <c r="B4003" s="80">
        <f t="shared" ca="1" si="407"/>
        <v>46019.820083449071</v>
      </c>
      <c r="C4003" s="76" t="s">
        <v>634</v>
      </c>
      <c r="D4003" s="76" t="s">
        <v>902</v>
      </c>
      <c r="E4003" s="79" t="s">
        <v>1640</v>
      </c>
      <c r="F4003" s="79"/>
    </row>
    <row r="4004" spans="1:6">
      <c r="A4004" s="77">
        <f t="shared" ref="A4004:A4013" ca="1" si="411">IF(C4004&lt;&gt;0,IF(A4004=0,TODAY(),A4004),)</f>
        <v>46019</v>
      </c>
      <c r="B4004" s="80">
        <f t="shared" ref="B4004:B4013" ca="1" si="412">IF(C4004&lt;&gt;0,IF(B4004=0,NOW(),B4004),)</f>
        <v>46019.823353935186</v>
      </c>
      <c r="C4004" s="76" t="s">
        <v>634</v>
      </c>
      <c r="D4004" s="76" t="s">
        <v>902</v>
      </c>
      <c r="E4004" s="79" t="s">
        <v>2673</v>
      </c>
      <c r="F4004" s="79"/>
    </row>
    <row r="4005" spans="1:6">
      <c r="A4005" s="77">
        <f t="shared" ca="1" si="411"/>
        <v>46019</v>
      </c>
      <c r="B4005" s="80">
        <f t="shared" ca="1" si="412"/>
        <v>46019.842692013888</v>
      </c>
      <c r="C4005" s="76" t="s">
        <v>634</v>
      </c>
      <c r="D4005" s="76" t="s">
        <v>902</v>
      </c>
      <c r="E4005" s="79" t="s">
        <v>2674</v>
      </c>
      <c r="F4005" s="79"/>
    </row>
    <row r="4006" spans="1:6">
      <c r="A4006" s="77">
        <f t="shared" ca="1" si="411"/>
        <v>46019</v>
      </c>
      <c r="B4006" s="80">
        <f t="shared" ca="1" si="412"/>
        <v>46019.847441666665</v>
      </c>
      <c r="C4006" s="76" t="s">
        <v>634</v>
      </c>
      <c r="D4006" s="76" t="s">
        <v>902</v>
      </c>
      <c r="E4006" s="79" t="s">
        <v>1234</v>
      </c>
      <c r="F4006" s="79"/>
    </row>
    <row r="4007" spans="1:6">
      <c r="A4007" s="77">
        <f t="shared" ca="1" si="411"/>
        <v>46019</v>
      </c>
      <c r="B4007" s="80">
        <f t="shared" ca="1" si="412"/>
        <v>46019.848071064815</v>
      </c>
      <c r="C4007" s="76" t="s">
        <v>634</v>
      </c>
      <c r="D4007" s="76" t="s">
        <v>902</v>
      </c>
      <c r="E4007" s="79" t="s">
        <v>1234</v>
      </c>
      <c r="F4007" s="79"/>
    </row>
    <row r="4008" spans="1:6">
      <c r="A4008" s="77">
        <f t="shared" ca="1" si="411"/>
        <v>46019</v>
      </c>
      <c r="B4008" s="80">
        <f t="shared" ca="1" si="412"/>
        <v>46019.851325810188</v>
      </c>
      <c r="C4008" s="76" t="s">
        <v>634</v>
      </c>
      <c r="D4008" s="76" t="s">
        <v>902</v>
      </c>
      <c r="E4008" s="79" t="s">
        <v>1234</v>
      </c>
      <c r="F4008" s="79"/>
    </row>
    <row r="4009" spans="1:6">
      <c r="A4009" s="77">
        <f t="shared" ca="1" si="411"/>
        <v>46019</v>
      </c>
      <c r="B4009" s="80">
        <f t="shared" ca="1" si="412"/>
        <v>46019.853280555559</v>
      </c>
      <c r="C4009" s="76" t="s">
        <v>634</v>
      </c>
      <c r="D4009" s="76" t="s">
        <v>902</v>
      </c>
      <c r="E4009" s="79" t="s">
        <v>1234</v>
      </c>
      <c r="F4009" s="79"/>
    </row>
    <row r="4010" spans="1:6">
      <c r="A4010" s="77">
        <f t="shared" ca="1" si="411"/>
        <v>46019</v>
      </c>
      <c r="B4010" s="80">
        <f t="shared" ca="1" si="412"/>
        <v>46019.856564236114</v>
      </c>
      <c r="C4010" s="76" t="s">
        <v>634</v>
      </c>
      <c r="D4010" s="76" t="s">
        <v>902</v>
      </c>
      <c r="E4010" s="79" t="s">
        <v>1234</v>
      </c>
      <c r="F4010" s="79"/>
    </row>
    <row r="4011" spans="1:6">
      <c r="A4011" s="77">
        <f t="shared" ca="1" si="411"/>
        <v>46019</v>
      </c>
      <c r="B4011" s="80">
        <f t="shared" ca="1" si="412"/>
        <v>46019.857033912034</v>
      </c>
      <c r="C4011" s="76" t="s">
        <v>634</v>
      </c>
      <c r="D4011" s="76" t="s">
        <v>902</v>
      </c>
      <c r="E4011" s="79" t="s">
        <v>1816</v>
      </c>
      <c r="F4011" s="79"/>
    </row>
    <row r="4012" spans="1:6">
      <c r="A4012" s="77">
        <f t="shared" ca="1" si="411"/>
        <v>46019</v>
      </c>
      <c r="B4012" s="80">
        <f t="shared" ca="1" si="412"/>
        <v>46019.860672569448</v>
      </c>
      <c r="C4012" s="76" t="s">
        <v>634</v>
      </c>
      <c r="D4012" s="76" t="s">
        <v>902</v>
      </c>
      <c r="E4012" s="79" t="s">
        <v>1567</v>
      </c>
      <c r="F4012" s="79"/>
    </row>
    <row r="4013" spans="1:6">
      <c r="A4013" s="77">
        <f t="shared" ca="1" si="411"/>
        <v>46019</v>
      </c>
      <c r="B4013" s="80">
        <f t="shared" ca="1" si="412"/>
        <v>46019.860695023148</v>
      </c>
      <c r="C4013" s="76" t="s">
        <v>634</v>
      </c>
      <c r="D4013" s="76" t="s">
        <v>902</v>
      </c>
      <c r="E4013" s="79" t="s">
        <v>2669</v>
      </c>
      <c r="F4013" s="79"/>
    </row>
    <row r="4014" spans="1:6">
      <c r="A4014" s="77">
        <f t="shared" ref="A4014:A4020" ca="1" si="413">IF(C4014&lt;&gt;0,IF(A4014=0,TODAY(),A4014),)</f>
        <v>46019</v>
      </c>
      <c r="B4014" s="80">
        <f t="shared" ref="B4014:B4023" ca="1" si="414">IF(C4014&lt;&gt;0,IF(B4014=0,NOW(),B4014),)</f>
        <v>46019.869347337961</v>
      </c>
      <c r="C4014" s="76" t="s">
        <v>634</v>
      </c>
      <c r="D4014" s="150" t="s">
        <v>1007</v>
      </c>
      <c r="E4014" s="79" t="s">
        <v>2675</v>
      </c>
      <c r="F4014" s="79"/>
    </row>
    <row r="4015" spans="1:6">
      <c r="A4015" s="77">
        <f t="shared" ca="1" si="413"/>
        <v>46019</v>
      </c>
      <c r="B4015" s="80">
        <f t="shared" ca="1" si="414"/>
        <v>46019.869391666667</v>
      </c>
      <c r="C4015" s="76" t="s">
        <v>634</v>
      </c>
      <c r="D4015" s="150" t="s">
        <v>1007</v>
      </c>
      <c r="E4015" s="79" t="s">
        <v>2676</v>
      </c>
      <c r="F4015" s="79"/>
    </row>
    <row r="4016" spans="1:6">
      <c r="A4016" s="77">
        <f t="shared" ca="1" si="413"/>
        <v>46019</v>
      </c>
      <c r="B4016" s="80">
        <f t="shared" ca="1" si="414"/>
        <v>46019.873340162034</v>
      </c>
      <c r="C4016" s="76" t="s">
        <v>634</v>
      </c>
      <c r="D4016" s="76" t="s">
        <v>902</v>
      </c>
      <c r="E4016" s="79" t="s">
        <v>1234</v>
      </c>
      <c r="F4016" s="79"/>
    </row>
    <row r="4017" spans="1:6">
      <c r="A4017" s="77">
        <f t="shared" ca="1" si="413"/>
        <v>46019</v>
      </c>
      <c r="B4017" s="80">
        <f t="shared" ca="1" si="414"/>
        <v>46019.87508726852</v>
      </c>
      <c r="C4017" s="76" t="s">
        <v>634</v>
      </c>
      <c r="D4017" s="76" t="s">
        <v>902</v>
      </c>
      <c r="E4017" s="79" t="s">
        <v>1234</v>
      </c>
      <c r="F4017" s="79"/>
    </row>
    <row r="4018" spans="1:6">
      <c r="A4018" s="77">
        <f t="shared" ca="1" si="413"/>
        <v>46019</v>
      </c>
      <c r="B4018" s="80">
        <f t="shared" ca="1" si="414"/>
        <v>46019.87913854167</v>
      </c>
      <c r="C4018" s="76" t="s">
        <v>634</v>
      </c>
      <c r="D4018" s="76" t="s">
        <v>902</v>
      </c>
      <c r="E4018" s="79" t="s">
        <v>1234</v>
      </c>
      <c r="F4018" s="79"/>
    </row>
    <row r="4019" spans="1:6">
      <c r="A4019" s="77">
        <f t="shared" ca="1" si="413"/>
        <v>46019</v>
      </c>
      <c r="B4019" s="80">
        <f t="shared" ca="1" si="414"/>
        <v>46019.882183680558</v>
      </c>
      <c r="C4019" s="76" t="s">
        <v>634</v>
      </c>
      <c r="D4019" s="76" t="s">
        <v>902</v>
      </c>
      <c r="E4019" s="79" t="s">
        <v>1816</v>
      </c>
      <c r="F4019" s="79"/>
    </row>
    <row r="4020" spans="1:6">
      <c r="A4020" s="77">
        <f t="shared" ca="1" si="413"/>
        <v>46019</v>
      </c>
      <c r="B4020" s="80">
        <f t="shared" ca="1" si="414"/>
        <v>46019.884594907409</v>
      </c>
      <c r="C4020" s="76" t="s">
        <v>634</v>
      </c>
      <c r="D4020" s="76" t="s">
        <v>902</v>
      </c>
      <c r="E4020" s="79" t="s">
        <v>1234</v>
      </c>
      <c r="F4020" s="79"/>
    </row>
    <row r="4021" spans="1:6">
      <c r="A4021" s="77">
        <f t="shared" ref="A4021:A4023" ca="1" si="415">IF(C4021&lt;&gt;0,IF(A4021=0,TODAY(),A4021),)</f>
        <v>46019</v>
      </c>
      <c r="B4021" s="80">
        <f t="shared" ca="1" si="414"/>
        <v>46019.885977083337</v>
      </c>
      <c r="C4021" s="76" t="s">
        <v>634</v>
      </c>
      <c r="D4021" s="76" t="s">
        <v>902</v>
      </c>
      <c r="E4021" s="79" t="s">
        <v>1640</v>
      </c>
      <c r="F4021" s="79"/>
    </row>
    <row r="4022" spans="1:6">
      <c r="A4022" s="77">
        <f t="shared" ca="1" si="415"/>
        <v>46019</v>
      </c>
      <c r="B4022" s="80">
        <f t="shared" ca="1" si="414"/>
        <v>46019.888184143521</v>
      </c>
      <c r="C4022" s="76" t="s">
        <v>634</v>
      </c>
      <c r="D4022" s="76" t="s">
        <v>902</v>
      </c>
      <c r="E4022" s="79" t="s">
        <v>1234</v>
      </c>
      <c r="F4022" s="79"/>
    </row>
    <row r="4023" spans="1:6">
      <c r="A4023" s="77">
        <f t="shared" ca="1" si="415"/>
        <v>46019</v>
      </c>
      <c r="B4023" s="80">
        <f t="shared" ca="1" si="414"/>
        <v>46019.890368287037</v>
      </c>
      <c r="C4023" s="76" t="s">
        <v>634</v>
      </c>
      <c r="D4023" s="76" t="s">
        <v>902</v>
      </c>
      <c r="E4023" s="79" t="s">
        <v>1234</v>
      </c>
      <c r="F4023" s="79"/>
    </row>
    <row r="4024" spans="1:6">
      <c r="A4024" s="77">
        <f t="shared" ref="A4024:A4030" ca="1" si="416">IF(C4024&lt;&gt;0,IF(A4024=0,TODAY(),A4024),)</f>
        <v>46019</v>
      </c>
      <c r="B4024" s="80">
        <f t="shared" ref="B4024:B4030" ca="1" si="417">IF(C4024&lt;&gt;0,IF(B4024=0,NOW(),B4024),)</f>
        <v>46019.894382407409</v>
      </c>
      <c r="C4024" s="76" t="s">
        <v>634</v>
      </c>
      <c r="D4024" s="76" t="s">
        <v>902</v>
      </c>
      <c r="E4024" s="79" t="s">
        <v>2677</v>
      </c>
      <c r="F4024" s="79"/>
    </row>
    <row r="4025" spans="1:6">
      <c r="A4025" s="77">
        <f t="shared" ca="1" si="416"/>
        <v>46019</v>
      </c>
      <c r="B4025" s="80">
        <f t="shared" ca="1" si="417"/>
        <v>46019.895512384261</v>
      </c>
      <c r="C4025" s="76" t="s">
        <v>634</v>
      </c>
      <c r="D4025" s="76" t="s">
        <v>902</v>
      </c>
      <c r="E4025" s="79" t="s">
        <v>1208</v>
      </c>
      <c r="F4025" s="79"/>
    </row>
    <row r="4026" spans="1:6">
      <c r="A4026" s="77">
        <f t="shared" ca="1" si="416"/>
        <v>46019</v>
      </c>
      <c r="B4026" s="80">
        <f t="shared" ca="1" si="417"/>
        <v>46019.895535416668</v>
      </c>
      <c r="C4026" s="76" t="s">
        <v>634</v>
      </c>
      <c r="D4026" s="76" t="s">
        <v>902</v>
      </c>
      <c r="E4026" s="79" t="s">
        <v>1234</v>
      </c>
      <c r="F4026" s="79"/>
    </row>
    <row r="4027" spans="1:6">
      <c r="A4027" s="77">
        <f t="shared" ca="1" si="416"/>
        <v>46019</v>
      </c>
      <c r="B4027" s="80">
        <f t="shared" ca="1" si="417"/>
        <v>46019.900745370367</v>
      </c>
      <c r="C4027" s="76" t="s">
        <v>634</v>
      </c>
      <c r="D4027" s="76" t="s">
        <v>902</v>
      </c>
      <c r="E4027" s="79" t="s">
        <v>2646</v>
      </c>
      <c r="F4027" s="79"/>
    </row>
    <row r="4028" spans="1:6">
      <c r="A4028" s="77">
        <f t="shared" ca="1" si="416"/>
        <v>46019</v>
      </c>
      <c r="B4028" s="80">
        <f t="shared" ca="1" si="417"/>
        <v>46019.93556377315</v>
      </c>
      <c r="C4028" s="76" t="s">
        <v>634</v>
      </c>
      <c r="D4028" s="76" t="s">
        <v>902</v>
      </c>
      <c r="E4028" s="79" t="s">
        <v>2678</v>
      </c>
      <c r="F4028" s="79"/>
    </row>
    <row r="4029" spans="1:6">
      <c r="A4029" s="77">
        <f t="shared" ca="1" si="416"/>
        <v>46019</v>
      </c>
      <c r="B4029" s="80">
        <f t="shared" ca="1" si="417"/>
        <v>46019.935792476848</v>
      </c>
      <c r="C4029" s="76" t="s">
        <v>634</v>
      </c>
      <c r="D4029" s="76" t="s">
        <v>902</v>
      </c>
      <c r="E4029" s="79" t="s">
        <v>2679</v>
      </c>
      <c r="F4029" s="79"/>
    </row>
    <row r="4030" spans="1:6">
      <c r="A4030" s="77">
        <f t="shared" ca="1" si="416"/>
        <v>46019</v>
      </c>
      <c r="B4030" s="80">
        <f t="shared" ca="1" si="417"/>
        <v>46019.940545370373</v>
      </c>
      <c r="C4030" s="76" t="s">
        <v>634</v>
      </c>
      <c r="D4030" s="210" t="s">
        <v>922</v>
      </c>
      <c r="E4030" s="79"/>
      <c r="F4030" s="79"/>
    </row>
    <row r="4031" spans="1:6">
      <c r="A4031" s="77">
        <f t="shared" ref="A4031:A4038" ca="1" si="418">IF(C4031&lt;&gt;0,IF(A4031=0,TODAY(),A4031),)</f>
        <v>46019</v>
      </c>
      <c r="B4031" s="80">
        <f t="shared" ref="B4031:B4038" ca="1" si="419">IF(C4031&lt;&gt;0,IF(B4031=0,NOW(),B4031),)</f>
        <v>46019.948487037036</v>
      </c>
      <c r="C4031" s="76" t="s">
        <v>634</v>
      </c>
      <c r="D4031" s="210" t="s">
        <v>1098</v>
      </c>
      <c r="E4031" s="79"/>
      <c r="F4031" s="79"/>
    </row>
    <row r="4032" spans="1:6">
      <c r="A4032" s="151">
        <f t="shared" ca="1" si="418"/>
        <v>46021</v>
      </c>
      <c r="B4032" s="149">
        <f t="shared" ca="1" si="419"/>
        <v>46021.986076273148</v>
      </c>
      <c r="C4032" s="150" t="s">
        <v>638</v>
      </c>
      <c r="D4032" s="210" t="s">
        <v>906</v>
      </c>
      <c r="E4032" s="79"/>
      <c r="F4032" s="79"/>
    </row>
    <row r="4033" spans="1:6">
      <c r="A4033" s="77">
        <f t="shared" ca="1" si="418"/>
        <v>46022</v>
      </c>
      <c r="B4033" s="80">
        <f t="shared" ca="1" si="419"/>
        <v>46022.04670914352</v>
      </c>
      <c r="C4033" s="76" t="s">
        <v>638</v>
      </c>
      <c r="D4033" s="210" t="s">
        <v>909</v>
      </c>
      <c r="E4033" s="79" t="s">
        <v>2680</v>
      </c>
      <c r="F4033" s="79"/>
    </row>
    <row r="4034" spans="1:6">
      <c r="A4034" s="77">
        <f t="shared" ca="1" si="418"/>
        <v>46022</v>
      </c>
      <c r="B4034" s="80">
        <f t="shared" ca="1" si="419"/>
        <v>46022.052285763886</v>
      </c>
      <c r="C4034" s="76" t="s">
        <v>638</v>
      </c>
      <c r="D4034" s="76" t="s">
        <v>902</v>
      </c>
      <c r="E4034" s="79" t="s">
        <v>2681</v>
      </c>
      <c r="F4034" s="79"/>
    </row>
    <row r="4035" spans="1:6">
      <c r="A4035" s="77">
        <f t="shared" ref="A4035" ca="1" si="420">IF(C4035&lt;&gt;0,IF(A4035=0,TODAY(),A4035),)</f>
        <v>46022</v>
      </c>
      <c r="B4035" s="80">
        <v>6.1111111111111109E-2</v>
      </c>
      <c r="C4035" s="76" t="s">
        <v>638</v>
      </c>
      <c r="D4035" s="210" t="s">
        <v>909</v>
      </c>
      <c r="E4035" s="79" t="s">
        <v>1566</v>
      </c>
      <c r="F4035" s="79"/>
    </row>
    <row r="4036" spans="1:6">
      <c r="A4036" s="77">
        <f t="shared" ca="1" si="418"/>
        <v>46022</v>
      </c>
      <c r="B4036" s="80">
        <f t="shared" ca="1" si="419"/>
        <v>46022.061278240741</v>
      </c>
      <c r="C4036" s="76" t="s">
        <v>638</v>
      </c>
      <c r="D4036" s="76" t="s">
        <v>902</v>
      </c>
      <c r="E4036" s="79" t="s">
        <v>1487</v>
      </c>
      <c r="F4036" s="79"/>
    </row>
    <row r="4037" spans="1:6">
      <c r="A4037" s="77">
        <f t="shared" ca="1" si="418"/>
        <v>46022</v>
      </c>
      <c r="B4037" s="80">
        <f t="shared" ca="1" si="419"/>
        <v>46022.067947916665</v>
      </c>
      <c r="C4037" s="76" t="s">
        <v>638</v>
      </c>
      <c r="D4037" s="76" t="s">
        <v>902</v>
      </c>
      <c r="E4037" s="79" t="s">
        <v>2682</v>
      </c>
      <c r="F4037" s="79"/>
    </row>
    <row r="4038" spans="1:6">
      <c r="A4038" s="77">
        <f t="shared" ca="1" si="418"/>
        <v>46022</v>
      </c>
      <c r="B4038" s="80">
        <f t="shared" ca="1" si="419"/>
        <v>46022.069510648151</v>
      </c>
      <c r="C4038" s="76" t="s">
        <v>638</v>
      </c>
      <c r="D4038" s="210" t="s">
        <v>909</v>
      </c>
      <c r="E4038" s="79" t="s">
        <v>2683</v>
      </c>
      <c r="F4038" s="79"/>
    </row>
    <row r="4039" spans="1:6">
      <c r="A4039" s="77">
        <f t="shared" ref="A4039:A4047" ca="1" si="421">IF(C4039&lt;&gt;0,IF(A4039=0,TODAY(),A4039),)</f>
        <v>46022</v>
      </c>
      <c r="B4039" s="80">
        <f t="shared" ref="B4039:B4047" ca="1" si="422">IF(C4039&lt;&gt;0,IF(B4039=0,NOW(),B4039),)</f>
        <v>46022.076803356482</v>
      </c>
      <c r="C4039" s="76" t="s">
        <v>638</v>
      </c>
      <c r="D4039" s="76" t="s">
        <v>902</v>
      </c>
      <c r="E4039" s="79" t="s">
        <v>2145</v>
      </c>
      <c r="F4039" s="79"/>
    </row>
    <row r="4040" spans="1:6">
      <c r="A4040" s="77">
        <f t="shared" ca="1" si="421"/>
        <v>46022</v>
      </c>
      <c r="B4040" s="80">
        <f t="shared" ca="1" si="422"/>
        <v>46022.077266319444</v>
      </c>
      <c r="C4040" s="76" t="s">
        <v>638</v>
      </c>
      <c r="D4040" s="76" t="s">
        <v>902</v>
      </c>
      <c r="E4040" s="79" t="s">
        <v>2684</v>
      </c>
      <c r="F4040" s="79"/>
    </row>
    <row r="4041" spans="1:6">
      <c r="A4041" s="77">
        <f t="shared" ca="1" si="421"/>
        <v>46022</v>
      </c>
      <c r="B4041" s="80">
        <f t="shared" ca="1" si="422"/>
        <v>46022.084177893521</v>
      </c>
      <c r="C4041" s="76" t="s">
        <v>638</v>
      </c>
      <c r="D4041" s="76" t="s">
        <v>902</v>
      </c>
      <c r="E4041" s="79" t="s">
        <v>2684</v>
      </c>
      <c r="F4041" s="79"/>
    </row>
    <row r="4042" spans="1:6">
      <c r="A4042" s="77">
        <f t="shared" ca="1" si="421"/>
        <v>46022</v>
      </c>
      <c r="B4042" s="80">
        <f t="shared" ca="1" si="422"/>
        <v>46022.093252546299</v>
      </c>
      <c r="C4042" s="76" t="s">
        <v>638</v>
      </c>
      <c r="D4042" s="76" t="s">
        <v>902</v>
      </c>
      <c r="E4042" s="79" t="s">
        <v>2685</v>
      </c>
      <c r="F4042" s="79"/>
    </row>
    <row r="4043" spans="1:6">
      <c r="A4043" s="77">
        <f t="shared" ca="1" si="421"/>
        <v>46022</v>
      </c>
      <c r="B4043" s="80">
        <f t="shared" ca="1" si="422"/>
        <v>46022.113620023149</v>
      </c>
      <c r="C4043" s="76" t="s">
        <v>638</v>
      </c>
      <c r="D4043" s="76" t="s">
        <v>902</v>
      </c>
      <c r="E4043" s="79" t="s">
        <v>2027</v>
      </c>
      <c r="F4043" s="79"/>
    </row>
    <row r="4044" spans="1:6">
      <c r="A4044" s="77">
        <f t="shared" ca="1" si="421"/>
        <v>46022</v>
      </c>
      <c r="B4044" s="80">
        <f t="shared" ca="1" si="422"/>
        <v>46022.11635462963</v>
      </c>
      <c r="C4044" s="76" t="s">
        <v>638</v>
      </c>
      <c r="D4044" s="76" t="s">
        <v>902</v>
      </c>
      <c r="E4044" s="79" t="s">
        <v>2685</v>
      </c>
      <c r="F4044" s="79"/>
    </row>
    <row r="4045" spans="1:6">
      <c r="A4045" s="77">
        <f t="shared" ca="1" si="421"/>
        <v>46022</v>
      </c>
      <c r="B4045" s="80">
        <f t="shared" ca="1" si="422"/>
        <v>46022.117561342595</v>
      </c>
      <c r="C4045" s="76" t="s">
        <v>638</v>
      </c>
      <c r="D4045" s="76" t="s">
        <v>902</v>
      </c>
      <c r="E4045" s="79" t="s">
        <v>2027</v>
      </c>
      <c r="F4045" s="79"/>
    </row>
    <row r="4046" spans="1:6">
      <c r="A4046" s="77">
        <f t="shared" ca="1" si="421"/>
        <v>46022</v>
      </c>
      <c r="B4046" s="80">
        <f t="shared" ca="1" si="422"/>
        <v>46022.140276967591</v>
      </c>
      <c r="C4046" s="76" t="s">
        <v>638</v>
      </c>
      <c r="D4046" s="76" t="s">
        <v>902</v>
      </c>
      <c r="E4046" s="79" t="s">
        <v>1229</v>
      </c>
      <c r="F4046" s="79"/>
    </row>
    <row r="4047" spans="1:6">
      <c r="A4047" s="77">
        <f t="shared" ca="1" si="421"/>
        <v>46022</v>
      </c>
      <c r="B4047" s="80">
        <f t="shared" ca="1" si="422"/>
        <v>46022.156052662038</v>
      </c>
      <c r="C4047" s="76" t="s">
        <v>638</v>
      </c>
      <c r="D4047" s="76" t="s">
        <v>902</v>
      </c>
      <c r="E4047" s="79" t="s">
        <v>2686</v>
      </c>
      <c r="F4047" s="79"/>
    </row>
    <row r="4048" spans="1:6">
      <c r="A4048" s="77">
        <f t="shared" ref="A4048:A4062" ca="1" si="423">IF(C4048&lt;&gt;0,IF(A4048=0,TODAY(),A4048),)</f>
        <v>46022</v>
      </c>
      <c r="B4048" s="80">
        <f t="shared" ref="B4048:B4062" ca="1" si="424">IF(C4048&lt;&gt;0,IF(B4048=0,NOW(),B4048),)</f>
        <v>46022.156268865743</v>
      </c>
      <c r="C4048" s="76" t="s">
        <v>638</v>
      </c>
      <c r="D4048" s="210" t="s">
        <v>922</v>
      </c>
      <c r="E4048" s="79"/>
      <c r="F4048" s="79"/>
    </row>
    <row r="4049" spans="1:7">
      <c r="A4049" s="151">
        <f t="shared" ca="1" si="423"/>
        <v>46022</v>
      </c>
      <c r="B4049" s="149">
        <f t="shared" ca="1" si="424"/>
        <v>46022.192961111112</v>
      </c>
      <c r="C4049" s="150" t="s">
        <v>638</v>
      </c>
      <c r="D4049" s="210" t="s">
        <v>1098</v>
      </c>
      <c r="E4049" s="79"/>
      <c r="F4049" s="79"/>
      <c r="G4049" s="76" t="s">
        <v>2687</v>
      </c>
    </row>
    <row r="4050" spans="1:7">
      <c r="A4050" s="152">
        <f t="shared" ca="1" si="423"/>
        <v>46022</v>
      </c>
      <c r="B4050" s="115">
        <v>0.24305555555555555</v>
      </c>
      <c r="C4050" s="79" t="s">
        <v>643</v>
      </c>
      <c r="D4050" s="210" t="s">
        <v>906</v>
      </c>
      <c r="E4050" s="79"/>
      <c r="F4050" s="79"/>
    </row>
    <row r="4051" spans="1:7">
      <c r="A4051" s="77">
        <f t="shared" ca="1" si="423"/>
        <v>46022</v>
      </c>
      <c r="B4051" s="80">
        <f t="shared" ca="1" si="424"/>
        <v>46022.279832060187</v>
      </c>
      <c r="C4051" s="76" t="s">
        <v>643</v>
      </c>
      <c r="D4051" s="210" t="s">
        <v>909</v>
      </c>
      <c r="E4051" s="79"/>
      <c r="F4051" s="79"/>
    </row>
    <row r="4052" spans="1:7">
      <c r="A4052" s="77">
        <f t="shared" ca="1" si="423"/>
        <v>46022</v>
      </c>
      <c r="B4052" s="80">
        <f t="shared" ca="1" si="424"/>
        <v>46022.281355671294</v>
      </c>
      <c r="C4052" s="76" t="s">
        <v>643</v>
      </c>
      <c r="D4052" s="76" t="s">
        <v>902</v>
      </c>
      <c r="E4052" s="79" t="s">
        <v>2688</v>
      </c>
      <c r="F4052" s="79"/>
    </row>
    <row r="4053" spans="1:7">
      <c r="A4053" s="77">
        <f t="shared" ca="1" si="423"/>
        <v>46022</v>
      </c>
      <c r="B4053" s="80">
        <f t="shared" ca="1" si="424"/>
        <v>46022.285025925928</v>
      </c>
      <c r="C4053" s="76" t="s">
        <v>643</v>
      </c>
      <c r="D4053" s="76" t="s">
        <v>902</v>
      </c>
      <c r="E4053" s="79" t="s">
        <v>1311</v>
      </c>
      <c r="F4053" s="79"/>
    </row>
    <row r="4054" spans="1:7">
      <c r="A4054" s="77">
        <f t="shared" ca="1" si="423"/>
        <v>46022</v>
      </c>
      <c r="B4054" s="80">
        <f t="shared" ca="1" si="424"/>
        <v>46022.286601967593</v>
      </c>
      <c r="C4054" s="76" t="s">
        <v>643</v>
      </c>
      <c r="D4054" s="76" t="s">
        <v>902</v>
      </c>
      <c r="E4054" s="79" t="s">
        <v>1781</v>
      </c>
      <c r="F4054" s="79"/>
    </row>
    <row r="4055" spans="1:7">
      <c r="A4055" s="77">
        <f t="shared" ca="1" si="423"/>
        <v>46022</v>
      </c>
      <c r="B4055" s="80">
        <f t="shared" ca="1" si="424"/>
        <v>46022.289194791665</v>
      </c>
      <c r="C4055" s="76" t="s">
        <v>643</v>
      </c>
      <c r="D4055" s="76" t="s">
        <v>902</v>
      </c>
      <c r="E4055" s="79" t="s">
        <v>1781</v>
      </c>
      <c r="F4055" s="79"/>
    </row>
    <row r="4056" spans="1:7">
      <c r="A4056" s="77">
        <f t="shared" ca="1" si="423"/>
        <v>46022</v>
      </c>
      <c r="B4056" s="80">
        <f t="shared" ca="1" si="424"/>
        <v>46022.289206944442</v>
      </c>
      <c r="C4056" s="76" t="s">
        <v>643</v>
      </c>
      <c r="D4056" s="76" t="s">
        <v>902</v>
      </c>
      <c r="E4056" s="79" t="s">
        <v>1781</v>
      </c>
      <c r="F4056" s="79"/>
    </row>
    <row r="4057" spans="1:7">
      <c r="A4057" s="77">
        <f t="shared" ca="1" si="423"/>
        <v>46022</v>
      </c>
      <c r="B4057" s="80">
        <f t="shared" ca="1" si="424"/>
        <v>46022.289355208333</v>
      </c>
      <c r="C4057" s="76" t="s">
        <v>643</v>
      </c>
      <c r="D4057" s="76" t="s">
        <v>902</v>
      </c>
      <c r="E4057" s="79" t="s">
        <v>1781</v>
      </c>
      <c r="F4057" s="79"/>
    </row>
    <row r="4058" spans="1:7">
      <c r="A4058" s="77">
        <f t="shared" ca="1" si="423"/>
        <v>46022</v>
      </c>
      <c r="B4058" s="80">
        <f t="shared" ca="1" si="424"/>
        <v>46022.290685532411</v>
      </c>
      <c r="C4058" s="76" t="s">
        <v>643</v>
      </c>
      <c r="D4058" s="76" t="s">
        <v>902</v>
      </c>
      <c r="E4058" s="79" t="s">
        <v>2689</v>
      </c>
      <c r="F4058" s="79"/>
    </row>
    <row r="4059" spans="1:7">
      <c r="A4059" s="77">
        <f t="shared" ca="1" si="423"/>
        <v>46022</v>
      </c>
      <c r="B4059" s="80">
        <f t="shared" ca="1" si="424"/>
        <v>46022.291293518516</v>
      </c>
      <c r="C4059" s="76" t="s">
        <v>643</v>
      </c>
      <c r="D4059" s="76" t="s">
        <v>902</v>
      </c>
      <c r="E4059" s="79" t="s">
        <v>1345</v>
      </c>
      <c r="F4059" s="79"/>
    </row>
    <row r="4060" spans="1:7">
      <c r="A4060" s="77">
        <f t="shared" ca="1" si="423"/>
        <v>46022</v>
      </c>
      <c r="B4060" s="80">
        <f t="shared" ca="1" si="424"/>
        <v>46022.296667708331</v>
      </c>
      <c r="C4060" s="76" t="s">
        <v>643</v>
      </c>
      <c r="D4060" s="76" t="s">
        <v>902</v>
      </c>
      <c r="E4060" s="79" t="s">
        <v>1344</v>
      </c>
      <c r="F4060" s="79"/>
    </row>
    <row r="4061" spans="1:7">
      <c r="A4061" s="77">
        <f t="shared" ca="1" si="423"/>
        <v>46022</v>
      </c>
      <c r="B4061" s="80">
        <f t="shared" ca="1" si="424"/>
        <v>46022.300470833332</v>
      </c>
      <c r="C4061" s="76" t="s">
        <v>643</v>
      </c>
      <c r="D4061" s="76" t="s">
        <v>902</v>
      </c>
      <c r="E4061" s="79" t="s">
        <v>1781</v>
      </c>
      <c r="F4061" s="79"/>
    </row>
    <row r="4062" spans="1:7">
      <c r="A4062" s="77">
        <f t="shared" ca="1" si="423"/>
        <v>46022</v>
      </c>
      <c r="B4062" s="80">
        <f t="shared" ca="1" si="424"/>
        <v>46022.302098263892</v>
      </c>
      <c r="C4062" s="76" t="s">
        <v>643</v>
      </c>
      <c r="D4062" s="76" t="s">
        <v>902</v>
      </c>
      <c r="E4062" s="79" t="s">
        <v>2690</v>
      </c>
      <c r="F4062" s="79"/>
    </row>
    <row r="4063" spans="1:7">
      <c r="A4063" s="77">
        <f t="shared" ref="A4063:A4092" ca="1" si="425">IF(C4063&lt;&gt;0,IF(A4063=0,TODAY(),A4063),)</f>
        <v>46022</v>
      </c>
      <c r="B4063" s="80">
        <f t="shared" ref="B4063:B4092" ca="1" si="426">IF(C4063&lt;&gt;0,IF(B4063=0,NOW(),B4063),)</f>
        <v>46022.304676736108</v>
      </c>
      <c r="C4063" s="76" t="s">
        <v>643</v>
      </c>
      <c r="D4063" s="76" t="s">
        <v>902</v>
      </c>
      <c r="E4063" s="79" t="s">
        <v>1344</v>
      </c>
      <c r="F4063" s="79"/>
    </row>
    <row r="4064" spans="1:7">
      <c r="A4064" s="77">
        <f t="shared" ca="1" si="425"/>
        <v>46022</v>
      </c>
      <c r="B4064" s="80">
        <f t="shared" ca="1" si="426"/>
        <v>46022.311709837966</v>
      </c>
      <c r="C4064" s="76" t="s">
        <v>643</v>
      </c>
      <c r="D4064" s="76" t="s">
        <v>902</v>
      </c>
      <c r="E4064" s="79" t="s">
        <v>1781</v>
      </c>
      <c r="F4064" s="79"/>
    </row>
    <row r="4065" spans="1:6">
      <c r="A4065" s="77">
        <f t="shared" ca="1" si="425"/>
        <v>46022</v>
      </c>
      <c r="B4065" s="80">
        <f t="shared" ca="1" si="426"/>
        <v>46022.31530451389</v>
      </c>
      <c r="C4065" s="76" t="s">
        <v>643</v>
      </c>
      <c r="D4065" s="76" t="s">
        <v>902</v>
      </c>
      <c r="E4065" s="79" t="s">
        <v>2690</v>
      </c>
      <c r="F4065" s="79"/>
    </row>
    <row r="4066" spans="1:6">
      <c r="A4066" s="77">
        <f t="shared" ca="1" si="425"/>
        <v>46022</v>
      </c>
      <c r="B4066" s="80">
        <f t="shared" ca="1" si="426"/>
        <v>46022.321362037037</v>
      </c>
      <c r="C4066" s="76" t="s">
        <v>643</v>
      </c>
      <c r="D4066" s="76" t="s">
        <v>902</v>
      </c>
      <c r="E4066" s="79" t="s">
        <v>1504</v>
      </c>
      <c r="F4066" s="79"/>
    </row>
    <row r="4067" spans="1:6">
      <c r="A4067" s="77">
        <f t="shared" ca="1" si="425"/>
        <v>46022</v>
      </c>
      <c r="B4067" s="80">
        <f t="shared" ca="1" si="426"/>
        <v>46022.323094560183</v>
      </c>
      <c r="C4067" s="76" t="s">
        <v>643</v>
      </c>
      <c r="D4067" s="76" t="s">
        <v>902</v>
      </c>
      <c r="E4067" s="79" t="s">
        <v>1504</v>
      </c>
      <c r="F4067" s="79"/>
    </row>
    <row r="4068" spans="1:6">
      <c r="A4068" s="77">
        <f t="shared" ca="1" si="425"/>
        <v>46022</v>
      </c>
      <c r="B4068" s="80">
        <f t="shared" ca="1" si="426"/>
        <v>46022.324048032409</v>
      </c>
      <c r="C4068" s="76" t="s">
        <v>643</v>
      </c>
      <c r="D4068" s="76" t="s">
        <v>902</v>
      </c>
      <c r="E4068" s="79" t="s">
        <v>1344</v>
      </c>
      <c r="F4068" s="79"/>
    </row>
    <row r="4069" spans="1:6">
      <c r="A4069" s="77">
        <f t="shared" ca="1" si="425"/>
        <v>46022</v>
      </c>
      <c r="B4069" s="80">
        <f t="shared" ca="1" si="426"/>
        <v>46022.331065162034</v>
      </c>
      <c r="C4069" s="76" t="s">
        <v>643</v>
      </c>
      <c r="D4069" s="76" t="s">
        <v>902</v>
      </c>
      <c r="E4069" s="79" t="s">
        <v>1489</v>
      </c>
      <c r="F4069" s="79"/>
    </row>
    <row r="4070" spans="1:6">
      <c r="A4070" s="77">
        <f t="shared" ca="1" si="425"/>
        <v>46022</v>
      </c>
      <c r="B4070" s="80">
        <f t="shared" ca="1" si="426"/>
        <v>46022.336234374998</v>
      </c>
      <c r="C4070" s="76" t="s">
        <v>643</v>
      </c>
      <c r="D4070" s="76" t="s">
        <v>902</v>
      </c>
      <c r="E4070" s="79" t="s">
        <v>2690</v>
      </c>
      <c r="F4070" s="79"/>
    </row>
    <row r="4071" spans="1:6">
      <c r="A4071" s="77">
        <f t="shared" ca="1" si="425"/>
        <v>46022</v>
      </c>
      <c r="B4071" s="80">
        <f t="shared" ca="1" si="426"/>
        <v>46022.34217650463</v>
      </c>
      <c r="C4071" s="76" t="s">
        <v>643</v>
      </c>
      <c r="D4071" s="76" t="s">
        <v>902</v>
      </c>
      <c r="E4071" s="79" t="s">
        <v>2690</v>
      </c>
      <c r="F4071" s="79"/>
    </row>
    <row r="4072" spans="1:6">
      <c r="A4072" s="77">
        <f t="shared" ca="1" si="425"/>
        <v>46022</v>
      </c>
      <c r="B4072" s="80">
        <f t="shared" ca="1" si="426"/>
        <v>46022.346392476851</v>
      </c>
      <c r="C4072" s="76" t="s">
        <v>643</v>
      </c>
      <c r="D4072" s="76" t="s">
        <v>902</v>
      </c>
      <c r="E4072" s="79" t="s">
        <v>2691</v>
      </c>
      <c r="F4072" s="79"/>
    </row>
    <row r="4073" spans="1:6">
      <c r="A4073" s="77">
        <f t="shared" ca="1" si="425"/>
        <v>46022</v>
      </c>
      <c r="B4073" s="80">
        <f t="shared" ca="1" si="426"/>
        <v>46022.354799421293</v>
      </c>
      <c r="C4073" s="76" t="s">
        <v>643</v>
      </c>
      <c r="D4073" s="76" t="s">
        <v>902</v>
      </c>
      <c r="E4073" s="79" t="s">
        <v>1311</v>
      </c>
      <c r="F4073" s="79"/>
    </row>
    <row r="4074" spans="1:6">
      <c r="A4074" s="77">
        <f t="shared" ca="1" si="425"/>
        <v>46022</v>
      </c>
      <c r="B4074" s="80">
        <f t="shared" ca="1" si="426"/>
        <v>46022.357489351853</v>
      </c>
      <c r="C4074" s="76" t="s">
        <v>643</v>
      </c>
      <c r="D4074" s="76" t="s">
        <v>902</v>
      </c>
      <c r="E4074" s="79" t="s">
        <v>2692</v>
      </c>
      <c r="F4074" s="79"/>
    </row>
    <row r="4075" spans="1:6">
      <c r="A4075" s="77">
        <f t="shared" ca="1" si="425"/>
        <v>46022</v>
      </c>
      <c r="B4075" s="80">
        <f t="shared" ca="1" si="426"/>
        <v>46022.358183796299</v>
      </c>
      <c r="C4075" s="76" t="s">
        <v>643</v>
      </c>
      <c r="D4075" s="76" t="s">
        <v>902</v>
      </c>
      <c r="E4075" s="79" t="s">
        <v>1311</v>
      </c>
      <c r="F4075" s="79"/>
    </row>
    <row r="4076" spans="1:6">
      <c r="A4076" s="77">
        <f t="shared" ca="1" si="425"/>
        <v>46022</v>
      </c>
      <c r="B4076" s="80">
        <f t="shared" ca="1" si="426"/>
        <v>46022.359336805559</v>
      </c>
      <c r="C4076" s="76" t="s">
        <v>643</v>
      </c>
      <c r="D4076" s="76" t="s">
        <v>902</v>
      </c>
      <c r="E4076" s="79" t="s">
        <v>1311</v>
      </c>
      <c r="F4076" s="79"/>
    </row>
    <row r="4077" spans="1:6">
      <c r="A4077" s="77">
        <f t="shared" ca="1" si="425"/>
        <v>46022</v>
      </c>
      <c r="B4077" s="80">
        <f t="shared" ca="1" si="426"/>
        <v>46022.363844560183</v>
      </c>
      <c r="C4077" s="76" t="s">
        <v>643</v>
      </c>
      <c r="D4077" s="76" t="s">
        <v>902</v>
      </c>
      <c r="E4077" s="79" t="s">
        <v>2025</v>
      </c>
      <c r="F4077" s="79"/>
    </row>
    <row r="4078" spans="1:6">
      <c r="A4078" s="77">
        <f t="shared" ca="1" si="425"/>
        <v>46022</v>
      </c>
      <c r="B4078" s="80">
        <f t="shared" ca="1" si="426"/>
        <v>46022.365529861112</v>
      </c>
      <c r="C4078" s="76" t="s">
        <v>643</v>
      </c>
      <c r="D4078" s="76" t="s">
        <v>902</v>
      </c>
      <c r="E4078" s="79" t="s">
        <v>1513</v>
      </c>
      <c r="F4078" s="79"/>
    </row>
    <row r="4079" spans="1:6">
      <c r="A4079" s="77">
        <f t="shared" ca="1" si="425"/>
        <v>46022</v>
      </c>
      <c r="B4079" s="80">
        <f t="shared" ca="1" si="426"/>
        <v>46022.366736458331</v>
      </c>
      <c r="C4079" s="76" t="s">
        <v>643</v>
      </c>
      <c r="D4079" s="76" t="s">
        <v>902</v>
      </c>
      <c r="E4079" s="79" t="s">
        <v>1311</v>
      </c>
      <c r="F4079" s="79"/>
    </row>
    <row r="4080" spans="1:6">
      <c r="A4080" s="77">
        <f t="shared" ca="1" si="425"/>
        <v>46022</v>
      </c>
      <c r="B4080" s="80">
        <f t="shared" ca="1" si="426"/>
        <v>46022.37269502315</v>
      </c>
      <c r="C4080" s="76" t="s">
        <v>643</v>
      </c>
      <c r="D4080" s="76" t="s">
        <v>902</v>
      </c>
      <c r="E4080" s="79" t="s">
        <v>1311</v>
      </c>
      <c r="F4080" s="79"/>
    </row>
    <row r="4081" spans="1:7">
      <c r="A4081" s="77">
        <f t="shared" ca="1" si="425"/>
        <v>46022</v>
      </c>
      <c r="B4081" s="80">
        <f t="shared" ca="1" si="426"/>
        <v>46022.37438321759</v>
      </c>
      <c r="C4081" s="76" t="s">
        <v>643</v>
      </c>
      <c r="D4081" s="76" t="s">
        <v>902</v>
      </c>
      <c r="E4081" s="76" t="s">
        <v>2693</v>
      </c>
      <c r="F4081" s="79"/>
    </row>
    <row r="4082" spans="1:7">
      <c r="A4082" s="77">
        <f t="shared" ca="1" si="425"/>
        <v>46022</v>
      </c>
      <c r="B4082" s="80">
        <f t="shared" ca="1" si="426"/>
        <v>46022.376714699072</v>
      </c>
      <c r="C4082" s="76" t="s">
        <v>643</v>
      </c>
      <c r="D4082" s="150" t="s">
        <v>1007</v>
      </c>
      <c r="E4082" s="79" t="s">
        <v>1002</v>
      </c>
      <c r="F4082" s="79"/>
    </row>
    <row r="4083" spans="1:7">
      <c r="A4083" s="77">
        <f t="shared" ca="1" si="425"/>
        <v>46022</v>
      </c>
      <c r="B4083" s="80">
        <f t="shared" ca="1" si="426"/>
        <v>46022.377198726848</v>
      </c>
      <c r="C4083" s="76" t="s">
        <v>643</v>
      </c>
      <c r="D4083" s="76" t="s">
        <v>902</v>
      </c>
      <c r="E4083" s="79" t="s">
        <v>2694</v>
      </c>
      <c r="F4083" s="79"/>
    </row>
    <row r="4084" spans="1:7">
      <c r="A4084" s="77">
        <f t="shared" ca="1" si="425"/>
        <v>46022</v>
      </c>
      <c r="B4084" s="80">
        <f t="shared" ca="1" si="426"/>
        <v>46022.37953622685</v>
      </c>
      <c r="C4084" s="76" t="s">
        <v>643</v>
      </c>
      <c r="D4084" s="76" t="s">
        <v>902</v>
      </c>
      <c r="E4084" s="79" t="s">
        <v>2695</v>
      </c>
      <c r="F4084" s="79"/>
    </row>
    <row r="4085" spans="1:7">
      <c r="A4085" s="77">
        <f t="shared" ca="1" si="425"/>
        <v>46022</v>
      </c>
      <c r="B4085" s="80">
        <f t="shared" ca="1" si="426"/>
        <v>46022.380307175925</v>
      </c>
      <c r="C4085" s="76" t="s">
        <v>643</v>
      </c>
      <c r="D4085" s="76" t="s">
        <v>902</v>
      </c>
      <c r="E4085" s="79" t="s">
        <v>2690</v>
      </c>
      <c r="F4085" s="79"/>
    </row>
    <row r="4086" spans="1:7">
      <c r="A4086" s="77">
        <f t="shared" ca="1" si="425"/>
        <v>46022</v>
      </c>
      <c r="B4086" s="80">
        <f t="shared" ca="1" si="426"/>
        <v>46022.380539699072</v>
      </c>
      <c r="C4086" s="76" t="s">
        <v>643</v>
      </c>
      <c r="D4086" s="76" t="s">
        <v>902</v>
      </c>
      <c r="E4086" s="79" t="s">
        <v>1311</v>
      </c>
      <c r="F4086" s="79"/>
    </row>
    <row r="4087" spans="1:7">
      <c r="A4087" s="77">
        <f t="shared" ca="1" si="425"/>
        <v>46022</v>
      </c>
      <c r="B4087" s="80">
        <f t="shared" ca="1" si="426"/>
        <v>46022.38407615741</v>
      </c>
      <c r="C4087" s="76" t="s">
        <v>643</v>
      </c>
      <c r="D4087" s="76" t="s">
        <v>902</v>
      </c>
      <c r="E4087" s="79" t="s">
        <v>1344</v>
      </c>
      <c r="F4087" s="79"/>
    </row>
    <row r="4088" spans="1:7">
      <c r="A4088" s="77">
        <f t="shared" ca="1" si="425"/>
        <v>46022</v>
      </c>
      <c r="B4088" s="80">
        <f t="shared" ca="1" si="426"/>
        <v>46022.384204745373</v>
      </c>
      <c r="C4088" s="76" t="s">
        <v>643</v>
      </c>
      <c r="D4088" s="76" t="s">
        <v>902</v>
      </c>
      <c r="E4088" s="79" t="s">
        <v>1504</v>
      </c>
      <c r="F4088" s="79"/>
    </row>
    <row r="4089" spans="1:7">
      <c r="A4089" s="77">
        <f t="shared" ca="1" si="425"/>
        <v>46022</v>
      </c>
      <c r="B4089" s="80">
        <f t="shared" ca="1" si="426"/>
        <v>46022.38629722222</v>
      </c>
      <c r="C4089" s="76" t="s">
        <v>643</v>
      </c>
      <c r="D4089" s="76" t="s">
        <v>902</v>
      </c>
      <c r="E4089" s="79" t="s">
        <v>2696</v>
      </c>
      <c r="F4089" s="79"/>
    </row>
    <row r="4090" spans="1:7">
      <c r="A4090" s="77">
        <f t="shared" ca="1" si="425"/>
        <v>46022</v>
      </c>
      <c r="B4090" s="80">
        <f t="shared" ca="1" si="426"/>
        <v>46022.388232986108</v>
      </c>
      <c r="C4090" s="76" t="s">
        <v>643</v>
      </c>
      <c r="D4090" s="76" t="s">
        <v>902</v>
      </c>
      <c r="E4090" s="79" t="s">
        <v>2004</v>
      </c>
      <c r="F4090" s="79"/>
    </row>
    <row r="4091" spans="1:7">
      <c r="A4091" s="77">
        <f t="shared" ca="1" si="425"/>
        <v>46022</v>
      </c>
      <c r="B4091" s="80">
        <f t="shared" ca="1" si="426"/>
        <v>46022.390128819447</v>
      </c>
      <c r="C4091" s="76" t="s">
        <v>643</v>
      </c>
      <c r="D4091" s="76" t="s">
        <v>902</v>
      </c>
      <c r="E4091" s="79" t="s">
        <v>2690</v>
      </c>
      <c r="F4091" s="79"/>
    </row>
    <row r="4092" spans="1:7">
      <c r="A4092" s="77">
        <f t="shared" ca="1" si="425"/>
        <v>46022</v>
      </c>
      <c r="B4092" s="80">
        <f t="shared" ca="1" si="426"/>
        <v>46022.392594444442</v>
      </c>
      <c r="C4092" s="76" t="s">
        <v>643</v>
      </c>
      <c r="D4092" s="76" t="s">
        <v>902</v>
      </c>
      <c r="E4092" s="79" t="s">
        <v>1311</v>
      </c>
      <c r="F4092" s="79"/>
    </row>
    <row r="4093" spans="1:7">
      <c r="A4093" s="77">
        <f t="shared" ref="A4093:A4123" ca="1" si="427">IF(C4093&lt;&gt;0,IF(A4093=0,TODAY(),A4093),)</f>
        <v>46022</v>
      </c>
      <c r="B4093" s="80">
        <f t="shared" ref="B4093:B4123" ca="1" si="428">IF(C4093&lt;&gt;0,IF(B4093=0,NOW(),B4093),)</f>
        <v>46022.395272106478</v>
      </c>
      <c r="C4093" s="76" t="s">
        <v>643</v>
      </c>
      <c r="D4093" s="76" t="s">
        <v>902</v>
      </c>
      <c r="E4093" s="79" t="s">
        <v>2697</v>
      </c>
      <c r="F4093" s="79"/>
    </row>
    <row r="4094" spans="1:7">
      <c r="A4094" s="77">
        <f t="shared" ca="1" si="427"/>
        <v>46022</v>
      </c>
      <c r="B4094" s="80">
        <f t="shared" ca="1" si="428"/>
        <v>46022.39924583333</v>
      </c>
      <c r="C4094" s="76" t="s">
        <v>643</v>
      </c>
      <c r="D4094" s="76" t="s">
        <v>902</v>
      </c>
      <c r="E4094" s="79" t="s">
        <v>2697</v>
      </c>
      <c r="F4094" s="79"/>
    </row>
    <row r="4095" spans="1:7">
      <c r="A4095" s="77">
        <f t="shared" ca="1" si="427"/>
        <v>46022</v>
      </c>
      <c r="B4095" s="80">
        <f t="shared" ca="1" si="428"/>
        <v>46022.401871180555</v>
      </c>
      <c r="C4095" s="76" t="s">
        <v>643</v>
      </c>
      <c r="D4095" s="210" t="s">
        <v>922</v>
      </c>
      <c r="E4095" s="79"/>
      <c r="F4095" s="79"/>
    </row>
    <row r="4096" spans="1:7">
      <c r="A4096" s="151">
        <f t="shared" ca="1" si="427"/>
        <v>46022</v>
      </c>
      <c r="B4096" s="149">
        <f t="shared" ca="1" si="428"/>
        <v>46022.426931018519</v>
      </c>
      <c r="C4096" s="150" t="s">
        <v>643</v>
      </c>
      <c r="D4096" s="210" t="s">
        <v>1098</v>
      </c>
      <c r="E4096" s="79"/>
      <c r="F4096" s="79"/>
      <c r="G4096" s="76" t="s">
        <v>2698</v>
      </c>
    </row>
    <row r="4097" spans="1:6">
      <c r="A4097" s="151">
        <f t="shared" ca="1" si="427"/>
        <v>46022</v>
      </c>
      <c r="B4097" s="149">
        <f t="shared" ca="1" si="428"/>
        <v>46022.477257060185</v>
      </c>
      <c r="C4097" s="150" t="s">
        <v>647</v>
      </c>
      <c r="D4097" s="210" t="s">
        <v>906</v>
      </c>
      <c r="E4097" s="79"/>
      <c r="F4097" s="79"/>
    </row>
    <row r="4098" spans="1:6">
      <c r="A4098" s="77">
        <f t="shared" ca="1" si="427"/>
        <v>46022</v>
      </c>
      <c r="B4098" s="80">
        <f t="shared" ca="1" si="428"/>
        <v>46022.524415624997</v>
      </c>
      <c r="C4098" s="76" t="s">
        <v>647</v>
      </c>
      <c r="D4098" s="210" t="s">
        <v>909</v>
      </c>
      <c r="E4098" s="79"/>
      <c r="F4098" s="79"/>
    </row>
    <row r="4099" spans="1:6">
      <c r="A4099" s="77">
        <f t="shared" ca="1" si="427"/>
        <v>46022</v>
      </c>
      <c r="B4099" s="80">
        <f t="shared" ca="1" si="428"/>
        <v>46022.528700578703</v>
      </c>
      <c r="C4099" s="76" t="s">
        <v>647</v>
      </c>
      <c r="D4099" s="76" t="s">
        <v>902</v>
      </c>
      <c r="E4099" s="79" t="s">
        <v>1504</v>
      </c>
      <c r="F4099" s="79"/>
    </row>
    <row r="4100" spans="1:6">
      <c r="A4100" s="77">
        <f t="shared" ca="1" si="427"/>
        <v>46022</v>
      </c>
      <c r="B4100" s="80">
        <f t="shared" ca="1" si="428"/>
        <v>46022.530828819443</v>
      </c>
      <c r="C4100" s="76" t="s">
        <v>647</v>
      </c>
      <c r="D4100" s="76" t="s">
        <v>902</v>
      </c>
      <c r="E4100" s="79" t="s">
        <v>1504</v>
      </c>
      <c r="F4100" s="79"/>
    </row>
    <row r="4101" spans="1:6">
      <c r="A4101" s="77">
        <f t="shared" ca="1" si="427"/>
        <v>46022</v>
      </c>
      <c r="B4101" s="80">
        <f t="shared" ca="1" si="428"/>
        <v>46022.531325578704</v>
      </c>
      <c r="C4101" s="76" t="s">
        <v>647</v>
      </c>
      <c r="D4101" s="76" t="s">
        <v>902</v>
      </c>
      <c r="E4101" s="79" t="s">
        <v>1344</v>
      </c>
      <c r="F4101" s="79"/>
    </row>
    <row r="4102" spans="1:6">
      <c r="A4102" s="77">
        <f t="shared" ca="1" si="427"/>
        <v>46022</v>
      </c>
      <c r="B4102" s="80">
        <f t="shared" ca="1" si="428"/>
        <v>46022.532314583332</v>
      </c>
      <c r="C4102" s="76" t="s">
        <v>647</v>
      </c>
      <c r="D4102" s="76" t="s">
        <v>902</v>
      </c>
      <c r="E4102" s="79" t="s">
        <v>2699</v>
      </c>
      <c r="F4102" s="79"/>
    </row>
    <row r="4103" spans="1:6">
      <c r="A4103" s="77">
        <f t="shared" ca="1" si="427"/>
        <v>46022</v>
      </c>
      <c r="B4103" s="80">
        <f t="shared" ca="1" si="428"/>
        <v>46022.539988310185</v>
      </c>
      <c r="C4103" s="76" t="s">
        <v>647</v>
      </c>
      <c r="D4103" s="76" t="s">
        <v>902</v>
      </c>
      <c r="E4103" s="79" t="s">
        <v>1446</v>
      </c>
      <c r="F4103" s="79"/>
    </row>
    <row r="4104" spans="1:6">
      <c r="A4104" s="77">
        <f t="shared" ca="1" si="427"/>
        <v>46022</v>
      </c>
      <c r="B4104" s="80">
        <f t="shared" ca="1" si="428"/>
        <v>46022.545381597221</v>
      </c>
      <c r="C4104" s="76" t="s">
        <v>647</v>
      </c>
      <c r="D4104" s="76" t="s">
        <v>902</v>
      </c>
      <c r="E4104" s="79" t="s">
        <v>2700</v>
      </c>
      <c r="F4104" s="79"/>
    </row>
    <row r="4105" spans="1:6">
      <c r="A4105" s="77">
        <f t="shared" ca="1" si="427"/>
        <v>46022</v>
      </c>
      <c r="B4105" s="80">
        <f t="shared" ca="1" si="428"/>
        <v>46022.552082175927</v>
      </c>
      <c r="C4105" s="76" t="s">
        <v>647</v>
      </c>
      <c r="D4105" s="76" t="s">
        <v>902</v>
      </c>
      <c r="E4105" s="79" t="s">
        <v>2701</v>
      </c>
      <c r="F4105" s="79"/>
    </row>
    <row r="4106" spans="1:6">
      <c r="A4106" s="77">
        <f t="shared" ca="1" si="427"/>
        <v>46022</v>
      </c>
      <c r="B4106" s="80">
        <f t="shared" ca="1" si="428"/>
        <v>46022.559628587966</v>
      </c>
      <c r="C4106" s="76" t="s">
        <v>647</v>
      </c>
      <c r="D4106" s="76" t="s">
        <v>902</v>
      </c>
      <c r="E4106" s="79" t="s">
        <v>2702</v>
      </c>
      <c r="F4106" s="79"/>
    </row>
    <row r="4107" spans="1:6">
      <c r="A4107" s="77">
        <f t="shared" ca="1" si="427"/>
        <v>46022</v>
      </c>
      <c r="B4107" s="80">
        <f t="shared" ca="1" si="428"/>
        <v>46022.571458680555</v>
      </c>
      <c r="C4107" s="76" t="s">
        <v>647</v>
      </c>
      <c r="D4107" s="76" t="s">
        <v>902</v>
      </c>
      <c r="E4107" s="79" t="s">
        <v>2027</v>
      </c>
      <c r="F4107" s="79"/>
    </row>
    <row r="4108" spans="1:6">
      <c r="A4108" s="77">
        <f t="shared" ca="1" si="427"/>
        <v>46022</v>
      </c>
      <c r="B4108" s="80">
        <f t="shared" ca="1" si="428"/>
        <v>46022.572150925924</v>
      </c>
      <c r="C4108" s="76" t="s">
        <v>647</v>
      </c>
      <c r="D4108" s="76" t="s">
        <v>902</v>
      </c>
      <c r="E4108" s="79" t="s">
        <v>1504</v>
      </c>
      <c r="F4108" s="79"/>
    </row>
    <row r="4109" spans="1:6">
      <c r="A4109" s="77">
        <f t="shared" ca="1" si="427"/>
        <v>46022</v>
      </c>
      <c r="B4109" s="80">
        <f t="shared" ca="1" si="428"/>
        <v>46022.572328703704</v>
      </c>
      <c r="C4109" s="76" t="s">
        <v>647</v>
      </c>
      <c r="D4109" s="76" t="s">
        <v>902</v>
      </c>
      <c r="E4109" s="79" t="s">
        <v>1504</v>
      </c>
      <c r="F4109" s="79"/>
    </row>
    <row r="4110" spans="1:6">
      <c r="A4110" s="77">
        <f t="shared" ca="1" si="427"/>
        <v>46022</v>
      </c>
      <c r="B4110" s="80">
        <f t="shared" ca="1" si="428"/>
        <v>46022.575938078706</v>
      </c>
      <c r="C4110" s="76" t="s">
        <v>647</v>
      </c>
      <c r="D4110" s="76" t="s">
        <v>902</v>
      </c>
      <c r="E4110" s="79" t="s">
        <v>1504</v>
      </c>
      <c r="F4110" s="79"/>
    </row>
    <row r="4111" spans="1:6">
      <c r="A4111" s="77">
        <f t="shared" ca="1" si="427"/>
        <v>46022</v>
      </c>
      <c r="B4111" s="80">
        <f t="shared" ca="1" si="428"/>
        <v>46022.577976388886</v>
      </c>
      <c r="C4111" s="76" t="s">
        <v>647</v>
      </c>
      <c r="D4111" s="76" t="s">
        <v>902</v>
      </c>
      <c r="E4111" s="79" t="s">
        <v>1504</v>
      </c>
      <c r="F4111" s="79"/>
    </row>
    <row r="4112" spans="1:6">
      <c r="A4112" s="77">
        <f t="shared" ca="1" si="427"/>
        <v>46022</v>
      </c>
      <c r="B4112" s="80">
        <f t="shared" ca="1" si="428"/>
        <v>46022.615142708331</v>
      </c>
      <c r="C4112" s="76" t="s">
        <v>647</v>
      </c>
      <c r="D4112" s="76" t="s">
        <v>902</v>
      </c>
      <c r="E4112" s="79" t="s">
        <v>1504</v>
      </c>
      <c r="F4112" s="79"/>
    </row>
    <row r="4113" spans="1:7">
      <c r="A4113" s="77">
        <f t="shared" ca="1" si="427"/>
        <v>46022</v>
      </c>
      <c r="B4113" s="80">
        <f t="shared" ca="1" si="428"/>
        <v>46022.617899189812</v>
      </c>
      <c r="C4113" s="76" t="s">
        <v>647</v>
      </c>
      <c r="D4113" s="76" t="s">
        <v>902</v>
      </c>
      <c r="E4113" s="79" t="s">
        <v>1504</v>
      </c>
      <c r="F4113" s="79"/>
    </row>
    <row r="4114" spans="1:7">
      <c r="A4114" s="77">
        <f t="shared" ca="1" si="427"/>
        <v>46022</v>
      </c>
      <c r="B4114" s="80">
        <f t="shared" ca="1" si="428"/>
        <v>46022.622179050923</v>
      </c>
      <c r="C4114" s="76" t="s">
        <v>647</v>
      </c>
      <c r="D4114" s="210" t="s">
        <v>922</v>
      </c>
      <c r="E4114" s="79"/>
      <c r="F4114" s="79"/>
    </row>
    <row r="4115" spans="1:7">
      <c r="A4115" s="151">
        <f t="shared" ca="1" si="427"/>
        <v>46022</v>
      </c>
      <c r="B4115" s="149">
        <v>0.66111111111111109</v>
      </c>
      <c r="C4115" s="150" t="s">
        <v>647</v>
      </c>
      <c r="D4115" s="210" t="s">
        <v>1098</v>
      </c>
      <c r="E4115" s="79"/>
      <c r="F4115" s="79"/>
      <c r="G4115" s="76" t="s">
        <v>2703</v>
      </c>
    </row>
    <row r="4116" spans="1:7">
      <c r="A4116" s="151">
        <f t="shared" ca="1" si="427"/>
        <v>46022</v>
      </c>
      <c r="B4116" s="149">
        <f t="shared" ca="1" si="428"/>
        <v>46022.772622453704</v>
      </c>
      <c r="C4116" s="150" t="s">
        <v>651</v>
      </c>
      <c r="D4116" s="210" t="s">
        <v>906</v>
      </c>
      <c r="E4116" s="79"/>
      <c r="F4116" s="79"/>
    </row>
    <row r="4117" spans="1:7">
      <c r="A4117" s="77">
        <f t="shared" ca="1" si="427"/>
        <v>46022</v>
      </c>
      <c r="B4117" s="80">
        <f t="shared" ca="1" si="428"/>
        <v>46022.814722916664</v>
      </c>
      <c r="C4117" s="76" t="s">
        <v>651</v>
      </c>
      <c r="D4117" s="210" t="s">
        <v>909</v>
      </c>
      <c r="E4117" s="79"/>
      <c r="F4117" s="79"/>
    </row>
    <row r="4118" spans="1:7">
      <c r="A4118" s="77">
        <f t="shared" ca="1" si="427"/>
        <v>46022</v>
      </c>
      <c r="B4118" s="80">
        <f t="shared" ca="1" si="428"/>
        <v>46022.815196296295</v>
      </c>
      <c r="C4118" s="76" t="s">
        <v>651</v>
      </c>
      <c r="D4118" s="76" t="s">
        <v>902</v>
      </c>
      <c r="E4118" s="79" t="s">
        <v>2704</v>
      </c>
      <c r="F4118" s="79"/>
    </row>
    <row r="4119" spans="1:7">
      <c r="A4119" s="77">
        <f t="shared" ca="1" si="427"/>
        <v>46022</v>
      </c>
      <c r="B4119" s="80">
        <f t="shared" ca="1" si="428"/>
        <v>46022.815474074072</v>
      </c>
      <c r="C4119" s="76" t="s">
        <v>651</v>
      </c>
      <c r="D4119" s="76" t="s">
        <v>902</v>
      </c>
      <c r="E4119" s="79" t="s">
        <v>2705</v>
      </c>
      <c r="F4119" s="79"/>
    </row>
    <row r="4120" spans="1:7">
      <c r="A4120" s="77">
        <f t="shared" ca="1" si="427"/>
        <v>46022</v>
      </c>
      <c r="B4120" s="80">
        <f t="shared" ca="1" si="428"/>
        <v>46022.816047337961</v>
      </c>
      <c r="C4120" s="76" t="s">
        <v>651</v>
      </c>
      <c r="D4120" s="76" t="s">
        <v>902</v>
      </c>
      <c r="E4120" s="79" t="s">
        <v>2706</v>
      </c>
      <c r="F4120" s="79"/>
    </row>
    <row r="4121" spans="1:7">
      <c r="A4121" s="77">
        <f t="shared" ca="1" si="427"/>
        <v>46022</v>
      </c>
      <c r="B4121" s="80">
        <f t="shared" ca="1" si="428"/>
        <v>46022.816230902776</v>
      </c>
      <c r="C4121" s="76" t="s">
        <v>651</v>
      </c>
      <c r="D4121" s="76" t="s">
        <v>902</v>
      </c>
      <c r="E4121" s="79" t="s">
        <v>932</v>
      </c>
      <c r="F4121" s="79"/>
    </row>
    <row r="4122" spans="1:7">
      <c r="A4122" s="77">
        <f t="shared" ca="1" si="427"/>
        <v>46022</v>
      </c>
      <c r="B4122" s="80">
        <f t="shared" ca="1" si="428"/>
        <v>46022.817033449071</v>
      </c>
      <c r="C4122" s="76" t="s">
        <v>651</v>
      </c>
      <c r="D4122" s="76" t="s">
        <v>902</v>
      </c>
      <c r="E4122" s="79" t="s">
        <v>2704</v>
      </c>
      <c r="F4122" s="79"/>
    </row>
    <row r="4123" spans="1:7">
      <c r="A4123" s="77">
        <f t="shared" ca="1" si="427"/>
        <v>46022</v>
      </c>
      <c r="B4123" s="80">
        <f t="shared" ca="1" si="428"/>
        <v>46022.819281249998</v>
      </c>
      <c r="C4123" s="76" t="s">
        <v>651</v>
      </c>
      <c r="D4123" s="76" t="s">
        <v>902</v>
      </c>
      <c r="E4123" s="79" t="s">
        <v>2707</v>
      </c>
      <c r="F4123" s="79"/>
    </row>
    <row r="4124" spans="1:7">
      <c r="A4124" s="77">
        <f t="shared" ref="A4124:A4140" ca="1" si="429">IF(C4124&lt;&gt;0,IF(A4124=0,TODAY(),A4124),)</f>
        <v>46022</v>
      </c>
      <c r="B4124" s="80">
        <f t="shared" ref="B4124:B4140" ca="1" si="430">IF(C4124&lt;&gt;0,IF(B4124=0,NOW(),B4124),)</f>
        <v>46022.820809722223</v>
      </c>
      <c r="C4124" s="76" t="s">
        <v>651</v>
      </c>
      <c r="D4124" s="76" t="s">
        <v>902</v>
      </c>
      <c r="E4124" s="79" t="s">
        <v>1489</v>
      </c>
      <c r="F4124" s="79"/>
    </row>
    <row r="4125" spans="1:7">
      <c r="A4125" s="77">
        <f t="shared" ca="1" si="429"/>
        <v>46022</v>
      </c>
      <c r="B4125" s="80">
        <f t="shared" ca="1" si="430"/>
        <v>46022.821695833336</v>
      </c>
      <c r="C4125" s="76" t="s">
        <v>651</v>
      </c>
      <c r="D4125" s="76" t="s">
        <v>902</v>
      </c>
      <c r="E4125" s="79" t="s">
        <v>1489</v>
      </c>
      <c r="F4125" s="79"/>
    </row>
    <row r="4126" spans="1:7">
      <c r="A4126" s="77">
        <f t="shared" ca="1" si="429"/>
        <v>46022</v>
      </c>
      <c r="B4126" s="80">
        <f t="shared" ca="1" si="430"/>
        <v>46022.821823148151</v>
      </c>
      <c r="C4126" s="76" t="s">
        <v>651</v>
      </c>
      <c r="D4126" s="76" t="s">
        <v>902</v>
      </c>
      <c r="E4126" s="79" t="s">
        <v>2708</v>
      </c>
      <c r="F4126" s="79"/>
    </row>
    <row r="4127" spans="1:7">
      <c r="A4127" s="77">
        <f t="shared" ca="1" si="429"/>
        <v>46022</v>
      </c>
      <c r="B4127" s="80">
        <f t="shared" ca="1" si="430"/>
        <v>46022.824160416669</v>
      </c>
      <c r="C4127" s="76" t="s">
        <v>651</v>
      </c>
      <c r="D4127" s="76" t="s">
        <v>902</v>
      </c>
      <c r="E4127" s="79" t="s">
        <v>2704</v>
      </c>
      <c r="F4127" s="79"/>
    </row>
    <row r="4128" spans="1:7">
      <c r="A4128" s="77">
        <f t="shared" ca="1" si="429"/>
        <v>46022</v>
      </c>
      <c r="B4128" s="80">
        <f t="shared" ca="1" si="430"/>
        <v>46022.825510763891</v>
      </c>
      <c r="C4128" s="76" t="s">
        <v>651</v>
      </c>
      <c r="D4128" s="76" t="s">
        <v>902</v>
      </c>
      <c r="E4128" s="79" t="s">
        <v>2708</v>
      </c>
      <c r="F4128" s="79"/>
    </row>
    <row r="4129" spans="1:6">
      <c r="A4129" s="77">
        <f t="shared" ca="1" si="429"/>
        <v>46022</v>
      </c>
      <c r="B4129" s="80">
        <f t="shared" ca="1" si="430"/>
        <v>46022.825710300924</v>
      </c>
      <c r="C4129" s="76" t="s">
        <v>651</v>
      </c>
      <c r="D4129" s="76" t="s">
        <v>902</v>
      </c>
      <c r="E4129" s="79" t="s">
        <v>2704</v>
      </c>
      <c r="F4129" s="79"/>
    </row>
    <row r="4130" spans="1:6">
      <c r="A4130" s="77">
        <f t="shared" ca="1" si="429"/>
        <v>46022</v>
      </c>
      <c r="B4130" s="80">
        <f t="shared" ca="1" si="430"/>
        <v>46022.82675601852</v>
      </c>
      <c r="C4130" s="76" t="s">
        <v>651</v>
      </c>
      <c r="D4130" s="76" t="s">
        <v>902</v>
      </c>
      <c r="E4130" s="79" t="s">
        <v>1062</v>
      </c>
      <c r="F4130" s="79"/>
    </row>
    <row r="4131" spans="1:6">
      <c r="A4131" s="77">
        <f t="shared" ca="1" si="429"/>
        <v>46022</v>
      </c>
      <c r="B4131" s="80">
        <f t="shared" ca="1" si="430"/>
        <v>46022.834950231481</v>
      </c>
      <c r="C4131" s="76" t="s">
        <v>651</v>
      </c>
      <c r="D4131" s="76" t="s">
        <v>902</v>
      </c>
      <c r="E4131" s="79" t="s">
        <v>2707</v>
      </c>
      <c r="F4131" s="79"/>
    </row>
    <row r="4132" spans="1:6">
      <c r="A4132" s="77">
        <f t="shared" ca="1" si="429"/>
        <v>46022</v>
      </c>
      <c r="B4132" s="80">
        <f t="shared" ca="1" si="430"/>
        <v>46022.837755555556</v>
      </c>
      <c r="C4132" s="76" t="s">
        <v>651</v>
      </c>
      <c r="D4132" s="76" t="s">
        <v>902</v>
      </c>
      <c r="E4132" s="79" t="s">
        <v>1062</v>
      </c>
      <c r="F4132" s="79"/>
    </row>
    <row r="4133" spans="1:6">
      <c r="A4133" s="77">
        <f t="shared" ca="1" si="429"/>
        <v>46022</v>
      </c>
      <c r="B4133" s="80">
        <f t="shared" ca="1" si="430"/>
        <v>46022.840038078706</v>
      </c>
      <c r="C4133" s="76" t="s">
        <v>651</v>
      </c>
      <c r="D4133" s="76" t="s">
        <v>902</v>
      </c>
      <c r="E4133" s="79" t="s">
        <v>2707</v>
      </c>
      <c r="F4133" s="79"/>
    </row>
    <row r="4134" spans="1:6">
      <c r="A4134" s="77">
        <f t="shared" ca="1" si="429"/>
        <v>46022</v>
      </c>
      <c r="B4134" s="80">
        <f t="shared" ca="1" si="430"/>
        <v>46022.842671296297</v>
      </c>
      <c r="C4134" s="76" t="s">
        <v>651</v>
      </c>
      <c r="D4134" s="76" t="s">
        <v>902</v>
      </c>
      <c r="E4134" s="79" t="s">
        <v>955</v>
      </c>
      <c r="F4134" s="79"/>
    </row>
    <row r="4135" spans="1:6">
      <c r="A4135" s="77">
        <f t="shared" ca="1" si="429"/>
        <v>46022</v>
      </c>
      <c r="B4135" s="80">
        <f t="shared" ca="1" si="430"/>
        <v>46022.844309143518</v>
      </c>
      <c r="C4135" s="76" t="s">
        <v>651</v>
      </c>
      <c r="D4135" s="76" t="s">
        <v>902</v>
      </c>
      <c r="E4135" s="79" t="s">
        <v>2707</v>
      </c>
      <c r="F4135" s="79"/>
    </row>
    <row r="4136" spans="1:6">
      <c r="A4136" s="77">
        <f t="shared" ca="1" si="429"/>
        <v>46022</v>
      </c>
      <c r="B4136" s="80">
        <f t="shared" ca="1" si="430"/>
        <v>46022.845854050924</v>
      </c>
      <c r="C4136" s="76" t="s">
        <v>651</v>
      </c>
      <c r="D4136" s="76" t="s">
        <v>902</v>
      </c>
      <c r="E4136" s="79" t="s">
        <v>1324</v>
      </c>
      <c r="F4136" s="79"/>
    </row>
    <row r="4137" spans="1:6">
      <c r="A4137" s="77">
        <f t="shared" ca="1" si="429"/>
        <v>46022</v>
      </c>
      <c r="B4137" s="80">
        <f t="shared" ca="1" si="430"/>
        <v>46022.850824537039</v>
      </c>
      <c r="C4137" s="76" t="s">
        <v>651</v>
      </c>
      <c r="D4137" s="76" t="s">
        <v>902</v>
      </c>
      <c r="E4137" s="79" t="s">
        <v>1588</v>
      </c>
      <c r="F4137" s="79"/>
    </row>
    <row r="4138" spans="1:6">
      <c r="A4138" s="77">
        <f t="shared" ca="1" si="429"/>
        <v>46022</v>
      </c>
      <c r="B4138" s="80">
        <f t="shared" ca="1" si="430"/>
        <v>46022.851480671299</v>
      </c>
      <c r="C4138" s="76" t="s">
        <v>651</v>
      </c>
      <c r="D4138" s="76" t="s">
        <v>902</v>
      </c>
      <c r="E4138" s="79" t="s">
        <v>932</v>
      </c>
      <c r="F4138" s="79"/>
    </row>
    <row r="4139" spans="1:6">
      <c r="A4139" s="77">
        <f t="shared" ca="1" si="429"/>
        <v>46022</v>
      </c>
      <c r="B4139" s="80">
        <f t="shared" ca="1" si="430"/>
        <v>46022.851601504626</v>
      </c>
      <c r="C4139" s="76" t="s">
        <v>651</v>
      </c>
      <c r="D4139" s="76" t="s">
        <v>902</v>
      </c>
      <c r="E4139" s="79" t="s">
        <v>2707</v>
      </c>
      <c r="F4139" s="79"/>
    </row>
    <row r="4140" spans="1:6">
      <c r="A4140" s="77">
        <f t="shared" ca="1" si="429"/>
        <v>46022</v>
      </c>
      <c r="B4140" s="80">
        <f t="shared" ca="1" si="430"/>
        <v>46022.856273379628</v>
      </c>
      <c r="C4140" s="76" t="s">
        <v>651</v>
      </c>
      <c r="D4140" s="76" t="s">
        <v>902</v>
      </c>
      <c r="E4140" s="79" t="s">
        <v>1489</v>
      </c>
      <c r="F4140" s="79"/>
    </row>
    <row r="4141" spans="1:6">
      <c r="A4141" s="77">
        <f t="shared" ref="A4141:A4148" ca="1" si="431">IF(C4141&lt;&gt;0,IF(A4141=0,TODAY(),A4141),)</f>
        <v>46022</v>
      </c>
      <c r="B4141" s="80">
        <f t="shared" ref="B4141:B4148" ca="1" si="432">IF(C4141&lt;&gt;0,IF(B4141=0,NOW(),B4141),)</f>
        <v>46022.862037847219</v>
      </c>
      <c r="C4141" s="76" t="s">
        <v>651</v>
      </c>
      <c r="D4141" s="76" t="s">
        <v>902</v>
      </c>
      <c r="E4141" s="79" t="s">
        <v>2596</v>
      </c>
      <c r="F4141" s="79"/>
    </row>
    <row r="4142" spans="1:6">
      <c r="A4142" s="77">
        <f t="shared" ca="1" si="431"/>
        <v>46022</v>
      </c>
      <c r="B4142" s="80">
        <f t="shared" ca="1" si="432"/>
        <v>46022.863323032405</v>
      </c>
      <c r="C4142" s="76" t="s">
        <v>651</v>
      </c>
      <c r="D4142" s="76" t="s">
        <v>902</v>
      </c>
      <c r="E4142" s="79" t="s">
        <v>997</v>
      </c>
      <c r="F4142" s="79"/>
    </row>
    <row r="4143" spans="1:6">
      <c r="A4143" s="77">
        <f t="shared" ca="1" si="431"/>
        <v>46022</v>
      </c>
      <c r="B4143" s="80">
        <f t="shared" ca="1" si="432"/>
        <v>46022.865702430558</v>
      </c>
      <c r="C4143" s="76" t="s">
        <v>651</v>
      </c>
      <c r="D4143" s="76" t="s">
        <v>902</v>
      </c>
      <c r="E4143" s="79" t="s">
        <v>2596</v>
      </c>
      <c r="F4143" s="79"/>
    </row>
    <row r="4144" spans="1:6">
      <c r="A4144" s="77">
        <f t="shared" ca="1" si="431"/>
        <v>46022</v>
      </c>
      <c r="B4144" s="80">
        <f t="shared" ca="1" si="432"/>
        <v>46022.868032060185</v>
      </c>
      <c r="C4144" s="76" t="s">
        <v>651</v>
      </c>
      <c r="D4144" s="76" t="s">
        <v>902</v>
      </c>
      <c r="E4144" s="79" t="s">
        <v>932</v>
      </c>
      <c r="F4144" s="79"/>
    </row>
    <row r="4145" spans="1:7">
      <c r="A4145" s="77">
        <f t="shared" ca="1" si="431"/>
        <v>46022</v>
      </c>
      <c r="B4145" s="80">
        <f t="shared" ca="1" si="432"/>
        <v>46022.868426041663</v>
      </c>
      <c r="C4145" s="76" t="s">
        <v>651</v>
      </c>
      <c r="D4145" s="76" t="s">
        <v>902</v>
      </c>
      <c r="E4145" s="79" t="s">
        <v>2025</v>
      </c>
      <c r="F4145" s="79"/>
    </row>
    <row r="4146" spans="1:7">
      <c r="A4146" s="77">
        <f t="shared" ca="1" si="431"/>
        <v>46022</v>
      </c>
      <c r="B4146" s="80">
        <f t="shared" ca="1" si="432"/>
        <v>46022.869259606479</v>
      </c>
      <c r="C4146" s="76" t="s">
        <v>651</v>
      </c>
      <c r="D4146" s="76" t="s">
        <v>902</v>
      </c>
      <c r="E4146" s="79" t="s">
        <v>2709</v>
      </c>
      <c r="F4146" s="79"/>
    </row>
    <row r="4147" spans="1:7">
      <c r="A4147" s="77">
        <f t="shared" ca="1" si="431"/>
        <v>46022</v>
      </c>
      <c r="B4147" s="80">
        <f t="shared" ca="1" si="432"/>
        <v>46022.874914236112</v>
      </c>
      <c r="C4147" s="76" t="s">
        <v>651</v>
      </c>
      <c r="D4147" s="150" t="s">
        <v>1007</v>
      </c>
      <c r="E4147" s="79" t="s">
        <v>2710</v>
      </c>
      <c r="F4147" s="79"/>
    </row>
    <row r="4148" spans="1:7">
      <c r="A4148" s="77">
        <f t="shared" ca="1" si="431"/>
        <v>46022</v>
      </c>
      <c r="B4148" s="80">
        <f t="shared" ca="1" si="432"/>
        <v>46022.886033101851</v>
      </c>
      <c r="C4148" s="76" t="s">
        <v>651</v>
      </c>
      <c r="D4148" s="76" t="s">
        <v>902</v>
      </c>
      <c r="E4148" s="79" t="s">
        <v>1931</v>
      </c>
      <c r="F4148" s="79"/>
    </row>
    <row r="4149" spans="1:7">
      <c r="A4149" s="77">
        <f t="shared" ref="A4149:A4163" ca="1" si="433">IF(C4149&lt;&gt;0,IF(A4149=0,TODAY(),A4149),)</f>
        <v>46022</v>
      </c>
      <c r="B4149" s="80">
        <f t="shared" ref="B4149:B4163" ca="1" si="434">IF(C4149&lt;&gt;0,IF(B4149=0,NOW(),B4149),)</f>
        <v>46022.886884722226</v>
      </c>
      <c r="C4149" s="76" t="s">
        <v>651</v>
      </c>
      <c r="D4149" s="76" t="s">
        <v>902</v>
      </c>
      <c r="E4149" s="79" t="s">
        <v>2711</v>
      </c>
      <c r="F4149" s="79"/>
    </row>
    <row r="4150" spans="1:7">
      <c r="A4150" s="77">
        <f t="shared" ca="1" si="433"/>
        <v>46022</v>
      </c>
      <c r="B4150" s="80">
        <f t="shared" ca="1" si="434"/>
        <v>46022.891400578701</v>
      </c>
      <c r="C4150" s="76" t="s">
        <v>651</v>
      </c>
      <c r="D4150" s="76" t="s">
        <v>902</v>
      </c>
      <c r="E4150" s="79" t="s">
        <v>942</v>
      </c>
      <c r="F4150" s="79"/>
    </row>
    <row r="4151" spans="1:7">
      <c r="A4151" s="77">
        <f t="shared" ca="1" si="433"/>
        <v>46022</v>
      </c>
      <c r="B4151" s="80">
        <f t="shared" ca="1" si="434"/>
        <v>46022.89371527778</v>
      </c>
      <c r="C4151" s="76" t="s">
        <v>651</v>
      </c>
      <c r="D4151" s="76" t="s">
        <v>902</v>
      </c>
      <c r="E4151" s="79" t="s">
        <v>1931</v>
      </c>
      <c r="F4151" s="79"/>
    </row>
    <row r="4152" spans="1:7">
      <c r="A4152" s="77">
        <f t="shared" ca="1" si="433"/>
        <v>46022</v>
      </c>
      <c r="B4152" s="80">
        <f t="shared" ca="1" si="434"/>
        <v>46022.898274537038</v>
      </c>
      <c r="C4152" s="76" t="s">
        <v>651</v>
      </c>
      <c r="D4152" s="76" t="s">
        <v>902</v>
      </c>
      <c r="E4152" s="79" t="s">
        <v>1931</v>
      </c>
      <c r="F4152" s="79"/>
    </row>
    <row r="4153" spans="1:7">
      <c r="A4153" s="77">
        <f t="shared" ca="1" si="433"/>
        <v>46022</v>
      </c>
      <c r="B4153" s="80">
        <f t="shared" ca="1" si="434"/>
        <v>46022.908555208334</v>
      </c>
      <c r="C4153" s="76" t="s">
        <v>651</v>
      </c>
      <c r="D4153" s="76" t="s">
        <v>902</v>
      </c>
      <c r="E4153" s="79" t="s">
        <v>1062</v>
      </c>
      <c r="F4153" s="79"/>
    </row>
    <row r="4154" spans="1:7">
      <c r="A4154" s="77">
        <f t="shared" ca="1" si="433"/>
        <v>46022</v>
      </c>
      <c r="B4154" s="80">
        <f t="shared" ca="1" si="434"/>
        <v>46022.912924189812</v>
      </c>
      <c r="C4154" s="76" t="s">
        <v>651</v>
      </c>
      <c r="D4154" s="76" t="s">
        <v>902</v>
      </c>
      <c r="E4154" s="79" t="s">
        <v>2025</v>
      </c>
      <c r="F4154" s="79"/>
    </row>
    <row r="4155" spans="1:7">
      <c r="A4155" s="77">
        <f t="shared" ca="1" si="433"/>
        <v>46022</v>
      </c>
      <c r="B4155" s="80">
        <f t="shared" ca="1" si="434"/>
        <v>46022.926079745368</v>
      </c>
      <c r="C4155" s="76" t="s">
        <v>651</v>
      </c>
      <c r="D4155" s="76" t="s">
        <v>902</v>
      </c>
      <c r="E4155" s="79" t="s">
        <v>1062</v>
      </c>
      <c r="F4155" s="79"/>
    </row>
    <row r="4156" spans="1:7">
      <c r="A4156" s="77">
        <f t="shared" ca="1" si="433"/>
        <v>46022</v>
      </c>
      <c r="B4156" s="80">
        <f t="shared" ca="1" si="434"/>
        <v>46022.928143865742</v>
      </c>
      <c r="C4156" s="76" t="s">
        <v>651</v>
      </c>
      <c r="D4156" s="76" t="s">
        <v>902</v>
      </c>
      <c r="E4156" s="79" t="s">
        <v>2030</v>
      </c>
      <c r="F4156" s="79"/>
    </row>
    <row r="4157" spans="1:7">
      <c r="A4157" s="77">
        <f t="shared" ca="1" si="433"/>
        <v>46022</v>
      </c>
      <c r="B4157" s="80">
        <f t="shared" ca="1" si="434"/>
        <v>46022.94029791667</v>
      </c>
      <c r="C4157" s="76" t="s">
        <v>651</v>
      </c>
      <c r="D4157" s="210" t="s">
        <v>922</v>
      </c>
      <c r="E4157" s="79"/>
      <c r="F4157" s="79"/>
    </row>
    <row r="4158" spans="1:7">
      <c r="A4158" s="151">
        <f t="shared" ca="1" si="433"/>
        <v>46022</v>
      </c>
      <c r="B4158" s="149">
        <f t="shared" ca="1" si="434"/>
        <v>46022.962370138892</v>
      </c>
      <c r="C4158" s="150" t="s">
        <v>651</v>
      </c>
      <c r="D4158" s="210" t="s">
        <v>1098</v>
      </c>
      <c r="E4158" s="79"/>
      <c r="F4158" s="79"/>
      <c r="G4158" s="76" t="s">
        <v>2712</v>
      </c>
    </row>
    <row r="4159" spans="1:7">
      <c r="A4159" s="151">
        <f t="shared" ca="1" si="433"/>
        <v>46023</v>
      </c>
      <c r="B4159" s="149">
        <f t="shared" ca="1" si="434"/>
        <v>46023.046311921295</v>
      </c>
      <c r="C4159" s="79" t="s">
        <v>655</v>
      </c>
      <c r="D4159" s="210" t="s">
        <v>906</v>
      </c>
      <c r="E4159" s="79"/>
      <c r="F4159" s="79"/>
    </row>
    <row r="4160" spans="1:7">
      <c r="A4160" s="77">
        <f t="shared" ca="1" si="433"/>
        <v>46023</v>
      </c>
      <c r="B4160" s="80">
        <f t="shared" ca="1" si="434"/>
        <v>46023.077612847221</v>
      </c>
      <c r="C4160" s="79" t="s">
        <v>655</v>
      </c>
      <c r="D4160" s="210" t="s">
        <v>909</v>
      </c>
      <c r="E4160" s="79"/>
      <c r="F4160" s="79"/>
    </row>
    <row r="4161" spans="1:6">
      <c r="A4161" s="77">
        <f t="shared" ca="1" si="433"/>
        <v>46023</v>
      </c>
      <c r="B4161" s="80">
        <f t="shared" ca="1" si="434"/>
        <v>46023.082508449072</v>
      </c>
      <c r="C4161" s="79" t="s">
        <v>655</v>
      </c>
      <c r="D4161" s="76" t="s">
        <v>902</v>
      </c>
      <c r="E4161" s="79" t="s">
        <v>955</v>
      </c>
      <c r="F4161" s="79"/>
    </row>
    <row r="4162" spans="1:6">
      <c r="A4162" s="77">
        <f t="shared" ca="1" si="433"/>
        <v>46023</v>
      </c>
      <c r="B4162" s="80">
        <f t="shared" ca="1" si="434"/>
        <v>46023.083240277774</v>
      </c>
      <c r="C4162" s="79" t="s">
        <v>655</v>
      </c>
      <c r="D4162" s="76" t="s">
        <v>902</v>
      </c>
      <c r="E4162" s="79" t="s">
        <v>2030</v>
      </c>
      <c r="F4162" s="79"/>
    </row>
    <row r="4163" spans="1:6">
      <c r="A4163" s="77">
        <f t="shared" ca="1" si="433"/>
        <v>46023</v>
      </c>
      <c r="B4163" s="80">
        <f t="shared" ca="1" si="434"/>
        <v>46023.085702777775</v>
      </c>
      <c r="C4163" s="79" t="s">
        <v>655</v>
      </c>
      <c r="D4163" s="76" t="s">
        <v>902</v>
      </c>
      <c r="E4163" s="79" t="s">
        <v>1734</v>
      </c>
      <c r="F4163" s="79"/>
    </row>
    <row r="4164" spans="1:6">
      <c r="A4164" s="77">
        <f t="shared" ref="A4164:A4169" ca="1" si="435">IF(C4164&lt;&gt;0,IF(A4164=0,TODAY(),A4164),)</f>
        <v>46023</v>
      </c>
      <c r="B4164" s="80">
        <f t="shared" ref="B4164:B4169" ca="1" si="436">IF(C4164&lt;&gt;0,IF(B4164=0,NOW(),B4164),)</f>
        <v>46023.095243171294</v>
      </c>
      <c r="C4164" s="79" t="s">
        <v>655</v>
      </c>
      <c r="D4164" s="76" t="s">
        <v>902</v>
      </c>
      <c r="E4164" s="79" t="s">
        <v>2713</v>
      </c>
      <c r="F4164" s="79"/>
    </row>
    <row r="4165" spans="1:6">
      <c r="A4165" s="77">
        <f t="shared" ca="1" si="435"/>
        <v>46023</v>
      </c>
      <c r="B4165" s="80">
        <f t="shared" ca="1" si="436"/>
        <v>46023.108018865743</v>
      </c>
      <c r="C4165" s="79" t="s">
        <v>655</v>
      </c>
      <c r="D4165" s="76" t="s">
        <v>902</v>
      </c>
      <c r="E4165" s="79" t="s">
        <v>2714</v>
      </c>
      <c r="F4165" s="79"/>
    </row>
    <row r="4166" spans="1:6">
      <c r="A4166" s="77">
        <f t="shared" ca="1" si="435"/>
        <v>46023</v>
      </c>
      <c r="B4166" s="80">
        <f t="shared" ca="1" si="436"/>
        <v>46023.108105555555</v>
      </c>
      <c r="C4166" s="79" t="s">
        <v>655</v>
      </c>
      <c r="D4166" s="76" t="s">
        <v>902</v>
      </c>
      <c r="E4166" s="79" t="s">
        <v>1158</v>
      </c>
      <c r="F4166" s="79"/>
    </row>
    <row r="4167" spans="1:6">
      <c r="A4167" s="77">
        <f t="shared" ca="1" si="435"/>
        <v>46023</v>
      </c>
      <c r="B4167" s="80">
        <f t="shared" ca="1" si="436"/>
        <v>46023.108378472221</v>
      </c>
      <c r="C4167" s="79" t="s">
        <v>655</v>
      </c>
      <c r="D4167" s="76" t="s">
        <v>902</v>
      </c>
      <c r="E4167" s="79" t="s">
        <v>1745</v>
      </c>
      <c r="F4167" s="79"/>
    </row>
    <row r="4168" spans="1:6">
      <c r="A4168" s="77">
        <f t="shared" ca="1" si="435"/>
        <v>46023</v>
      </c>
      <c r="B4168" s="80">
        <f t="shared" ca="1" si="436"/>
        <v>46023.111545949076</v>
      </c>
      <c r="C4168" s="79" t="s">
        <v>655</v>
      </c>
      <c r="D4168" s="76" t="s">
        <v>902</v>
      </c>
      <c r="E4168" s="79" t="s">
        <v>2715</v>
      </c>
      <c r="F4168" s="79"/>
    </row>
    <row r="4169" spans="1:6">
      <c r="A4169" s="77">
        <f t="shared" ca="1" si="435"/>
        <v>46023</v>
      </c>
      <c r="B4169" s="80">
        <f t="shared" ca="1" si="436"/>
        <v>46023.113470370372</v>
      </c>
      <c r="C4169" s="79" t="s">
        <v>655</v>
      </c>
      <c r="D4169" s="76" t="s">
        <v>902</v>
      </c>
      <c r="E4169" s="79" t="s">
        <v>1237</v>
      </c>
      <c r="F4169" s="79"/>
    </row>
    <row r="4170" spans="1:6">
      <c r="A4170" s="77">
        <f t="shared" ref="A4170:A4201" ca="1" si="437">IF(C4170&lt;&gt;0,IF(A4170=0,TODAY(),A4170),)</f>
        <v>46023</v>
      </c>
      <c r="B4170" s="80">
        <f t="shared" ref="B4170:B4201" ca="1" si="438">IF(C4170&lt;&gt;0,IF(B4170=0,NOW(),B4170),)</f>
        <v>46023.116171296293</v>
      </c>
      <c r="C4170" s="79" t="s">
        <v>655</v>
      </c>
      <c r="D4170" s="76" t="s">
        <v>902</v>
      </c>
      <c r="E4170" s="79" t="s">
        <v>2716</v>
      </c>
      <c r="F4170" s="79"/>
    </row>
    <row r="4171" spans="1:6">
      <c r="A4171" s="77">
        <f t="shared" ca="1" si="437"/>
        <v>46023</v>
      </c>
      <c r="B4171" s="80">
        <f t="shared" ca="1" si="438"/>
        <v>46023.125366435183</v>
      </c>
      <c r="C4171" s="79" t="s">
        <v>655</v>
      </c>
      <c r="D4171" s="76" t="s">
        <v>902</v>
      </c>
      <c r="E4171" s="79" t="s">
        <v>2716</v>
      </c>
      <c r="F4171" s="79"/>
    </row>
    <row r="4172" spans="1:6">
      <c r="A4172" s="77">
        <f t="shared" ca="1" si="437"/>
        <v>46023</v>
      </c>
      <c r="B4172" s="80">
        <f t="shared" ca="1" si="438"/>
        <v>46023.126892592591</v>
      </c>
      <c r="C4172" s="79" t="s">
        <v>655</v>
      </c>
      <c r="D4172" s="76" t="s">
        <v>902</v>
      </c>
      <c r="E4172" s="79" t="s">
        <v>955</v>
      </c>
      <c r="F4172" s="79"/>
    </row>
    <row r="4173" spans="1:6">
      <c r="A4173" s="77">
        <f t="shared" ca="1" si="437"/>
        <v>46023</v>
      </c>
      <c r="B4173" s="80">
        <f t="shared" ca="1" si="438"/>
        <v>46023.12920949074</v>
      </c>
      <c r="C4173" s="79" t="s">
        <v>655</v>
      </c>
      <c r="D4173" s="76" t="s">
        <v>902</v>
      </c>
      <c r="E4173" s="79" t="s">
        <v>1837</v>
      </c>
      <c r="F4173" s="79"/>
    </row>
    <row r="4174" spans="1:6">
      <c r="A4174" s="77">
        <f t="shared" ca="1" si="437"/>
        <v>46023</v>
      </c>
      <c r="B4174" s="80">
        <f t="shared" ca="1" si="438"/>
        <v>46023.133614583334</v>
      </c>
      <c r="C4174" s="79" t="s">
        <v>655</v>
      </c>
      <c r="D4174" s="76" t="s">
        <v>902</v>
      </c>
      <c r="E4174" s="79" t="s">
        <v>2717</v>
      </c>
      <c r="F4174" s="79"/>
    </row>
    <row r="4175" spans="1:6">
      <c r="A4175" s="77">
        <f t="shared" ca="1" si="437"/>
        <v>46023</v>
      </c>
      <c r="B4175" s="80">
        <f t="shared" ca="1" si="438"/>
        <v>46023.13677326389</v>
      </c>
      <c r="C4175" s="79" t="s">
        <v>655</v>
      </c>
      <c r="D4175" s="76" t="s">
        <v>902</v>
      </c>
      <c r="E4175" s="79" t="s">
        <v>955</v>
      </c>
      <c r="F4175" s="79"/>
    </row>
    <row r="4176" spans="1:6">
      <c r="A4176" s="77">
        <f t="shared" ca="1" si="437"/>
        <v>46023</v>
      </c>
      <c r="B4176" s="80">
        <f t="shared" ca="1" si="438"/>
        <v>46023.138729629631</v>
      </c>
      <c r="C4176" s="79" t="s">
        <v>655</v>
      </c>
      <c r="D4176" s="76" t="s">
        <v>902</v>
      </c>
      <c r="E4176" s="79" t="s">
        <v>2718</v>
      </c>
      <c r="F4176" s="79"/>
    </row>
    <row r="4177" spans="1:6">
      <c r="A4177" s="77">
        <f t="shared" ca="1" si="437"/>
        <v>46023</v>
      </c>
      <c r="B4177" s="80">
        <f t="shared" ca="1" si="438"/>
        <v>46023.146116435186</v>
      </c>
      <c r="C4177" s="79" t="s">
        <v>655</v>
      </c>
      <c r="D4177" s="76" t="s">
        <v>902</v>
      </c>
      <c r="E4177" s="79" t="s">
        <v>2719</v>
      </c>
      <c r="F4177" s="79"/>
    </row>
    <row r="4178" spans="1:6">
      <c r="A4178" s="77">
        <f t="shared" ca="1" si="437"/>
        <v>46023</v>
      </c>
      <c r="B4178" s="80">
        <f t="shared" ca="1" si="438"/>
        <v>46023.147133449071</v>
      </c>
      <c r="C4178" s="79" t="s">
        <v>655</v>
      </c>
      <c r="D4178" s="76" t="s">
        <v>902</v>
      </c>
      <c r="E4178" s="79" t="s">
        <v>2720</v>
      </c>
      <c r="F4178" s="79"/>
    </row>
    <row r="4179" spans="1:6">
      <c r="A4179" s="77">
        <f t="shared" ca="1" si="437"/>
        <v>46023</v>
      </c>
      <c r="B4179" s="80">
        <f t="shared" ca="1" si="438"/>
        <v>46023.155153356478</v>
      </c>
      <c r="C4179" s="79" t="s">
        <v>655</v>
      </c>
      <c r="D4179" s="76" t="s">
        <v>902</v>
      </c>
      <c r="E4179" s="79" t="s">
        <v>2721</v>
      </c>
      <c r="F4179" s="79"/>
    </row>
    <row r="4180" spans="1:6">
      <c r="A4180" s="77">
        <f t="shared" ca="1" si="437"/>
        <v>46023</v>
      </c>
      <c r="B4180" s="80">
        <f t="shared" ca="1" si="438"/>
        <v>46023.155031249997</v>
      </c>
      <c r="C4180" s="79" t="s">
        <v>655</v>
      </c>
      <c r="D4180" s="76" t="s">
        <v>902</v>
      </c>
      <c r="E4180" s="79" t="s">
        <v>1844</v>
      </c>
      <c r="F4180" s="79"/>
    </row>
    <row r="4181" spans="1:6">
      <c r="A4181" s="77">
        <f t="shared" ca="1" si="437"/>
        <v>46023</v>
      </c>
      <c r="B4181" s="80">
        <f t="shared" ca="1" si="438"/>
        <v>46023.155193865743</v>
      </c>
      <c r="C4181" s="79" t="s">
        <v>655</v>
      </c>
      <c r="D4181" s="76" t="s">
        <v>902</v>
      </c>
      <c r="E4181" s="79" t="s">
        <v>2717</v>
      </c>
      <c r="F4181" s="79"/>
    </row>
    <row r="4182" spans="1:6">
      <c r="A4182" s="77">
        <f t="shared" ca="1" si="437"/>
        <v>46023</v>
      </c>
      <c r="B4182" s="80">
        <f t="shared" ca="1" si="438"/>
        <v>46023.156020717593</v>
      </c>
      <c r="C4182" s="79" t="s">
        <v>655</v>
      </c>
      <c r="D4182" s="76" t="s">
        <v>902</v>
      </c>
      <c r="E4182" s="79" t="s">
        <v>2722</v>
      </c>
      <c r="F4182" s="79"/>
    </row>
    <row r="4183" spans="1:6">
      <c r="A4183" s="77">
        <f t="shared" ca="1" si="437"/>
        <v>46023</v>
      </c>
      <c r="B4183" s="80">
        <f t="shared" ca="1" si="438"/>
        <v>46023.15675185185</v>
      </c>
      <c r="C4183" s="79" t="s">
        <v>655</v>
      </c>
      <c r="D4183" s="76" t="s">
        <v>902</v>
      </c>
      <c r="E4183" s="79" t="s">
        <v>1234</v>
      </c>
      <c r="F4183" s="79"/>
    </row>
    <row r="4184" spans="1:6">
      <c r="A4184" s="77">
        <f t="shared" ca="1" si="437"/>
        <v>46023</v>
      </c>
      <c r="B4184" s="80">
        <f t="shared" ca="1" si="438"/>
        <v>46023.156877314817</v>
      </c>
      <c r="C4184" s="79" t="s">
        <v>655</v>
      </c>
      <c r="D4184" s="76" t="s">
        <v>902</v>
      </c>
      <c r="E4184" s="79" t="s">
        <v>2723</v>
      </c>
      <c r="F4184" s="79"/>
    </row>
    <row r="4185" spans="1:6">
      <c r="A4185" s="77">
        <f t="shared" ca="1" si="437"/>
        <v>46023</v>
      </c>
      <c r="B4185" s="80">
        <f t="shared" ca="1" si="438"/>
        <v>46023.158257291667</v>
      </c>
      <c r="C4185" s="79" t="s">
        <v>655</v>
      </c>
      <c r="D4185" s="76" t="s">
        <v>902</v>
      </c>
      <c r="E4185" s="79" t="s">
        <v>2717</v>
      </c>
      <c r="F4185" s="79"/>
    </row>
    <row r="4186" spans="1:6">
      <c r="A4186" s="77">
        <f t="shared" ca="1" si="437"/>
        <v>46023</v>
      </c>
      <c r="B4186" s="80">
        <f t="shared" ca="1" si="438"/>
        <v>46023.158798263888</v>
      </c>
      <c r="C4186" s="79" t="s">
        <v>655</v>
      </c>
      <c r="D4186" s="76" t="s">
        <v>902</v>
      </c>
      <c r="E4186" s="79" t="s">
        <v>2717</v>
      </c>
      <c r="F4186" s="79"/>
    </row>
    <row r="4187" spans="1:6">
      <c r="A4187" s="77">
        <f t="shared" ca="1" si="437"/>
        <v>46023</v>
      </c>
      <c r="B4187" s="80">
        <f t="shared" ca="1" si="438"/>
        <v>46023.159309722221</v>
      </c>
      <c r="C4187" s="79" t="s">
        <v>655</v>
      </c>
      <c r="D4187" s="76" t="s">
        <v>902</v>
      </c>
      <c r="E4187" s="79" t="s">
        <v>1513</v>
      </c>
      <c r="F4187" s="79"/>
    </row>
    <row r="4188" spans="1:6">
      <c r="A4188" s="77">
        <f t="shared" ca="1" si="437"/>
        <v>46023</v>
      </c>
      <c r="B4188" s="80">
        <f t="shared" ca="1" si="438"/>
        <v>46023.161772569445</v>
      </c>
      <c r="C4188" s="79" t="s">
        <v>655</v>
      </c>
      <c r="D4188" s="76" t="s">
        <v>902</v>
      </c>
      <c r="E4188" s="79" t="s">
        <v>2717</v>
      </c>
      <c r="F4188" s="79"/>
    </row>
    <row r="4189" spans="1:6">
      <c r="A4189" s="77">
        <f t="shared" ca="1" si="437"/>
        <v>46023</v>
      </c>
      <c r="B4189" s="80">
        <f t="shared" ca="1" si="438"/>
        <v>46023.162257638891</v>
      </c>
      <c r="C4189" s="79" t="s">
        <v>655</v>
      </c>
      <c r="D4189" s="76" t="s">
        <v>902</v>
      </c>
      <c r="E4189" s="79" t="s">
        <v>1837</v>
      </c>
      <c r="F4189" s="79"/>
    </row>
    <row r="4190" spans="1:6">
      <c r="A4190" s="77">
        <f t="shared" ca="1" si="437"/>
        <v>46023</v>
      </c>
      <c r="B4190" s="80">
        <f t="shared" ca="1" si="438"/>
        <v>46023.164390393518</v>
      </c>
      <c r="C4190" s="79" t="s">
        <v>655</v>
      </c>
      <c r="D4190" s="76" t="s">
        <v>902</v>
      </c>
      <c r="E4190" s="79" t="s">
        <v>2724</v>
      </c>
      <c r="F4190" s="79"/>
    </row>
    <row r="4191" spans="1:6">
      <c r="A4191" s="77">
        <f t="shared" ca="1" si="437"/>
        <v>46023</v>
      </c>
      <c r="B4191" s="80">
        <f t="shared" ca="1" si="438"/>
        <v>46023.172303125</v>
      </c>
      <c r="C4191" s="79" t="s">
        <v>655</v>
      </c>
      <c r="D4191" s="76" t="s">
        <v>902</v>
      </c>
      <c r="E4191" s="79" t="s">
        <v>955</v>
      </c>
      <c r="F4191" s="79"/>
    </row>
    <row r="4192" spans="1:6">
      <c r="A4192" s="77">
        <f t="shared" ca="1" si="437"/>
        <v>46023</v>
      </c>
      <c r="B4192" s="80">
        <f t="shared" ca="1" si="438"/>
        <v>46023.172784953706</v>
      </c>
      <c r="C4192" s="79" t="s">
        <v>655</v>
      </c>
      <c r="D4192" s="76" t="s">
        <v>902</v>
      </c>
      <c r="E4192" s="79" t="s">
        <v>2725</v>
      </c>
      <c r="F4192" s="79"/>
    </row>
    <row r="4193" spans="1:7">
      <c r="A4193" s="77">
        <f t="shared" ca="1" si="437"/>
        <v>46023</v>
      </c>
      <c r="B4193" s="80">
        <f t="shared" ca="1" si="438"/>
        <v>46023.174778125001</v>
      </c>
      <c r="C4193" s="79" t="s">
        <v>655</v>
      </c>
      <c r="D4193" s="76" t="s">
        <v>902</v>
      </c>
      <c r="E4193" s="79" t="s">
        <v>1042</v>
      </c>
      <c r="F4193" s="79"/>
    </row>
    <row r="4194" spans="1:7">
      <c r="A4194" s="77">
        <f t="shared" ca="1" si="437"/>
        <v>46023</v>
      </c>
      <c r="B4194" s="80">
        <f t="shared" ca="1" si="438"/>
        <v>46023.180735416667</v>
      </c>
      <c r="C4194" s="79" t="s">
        <v>655</v>
      </c>
      <c r="D4194" s="76" t="s">
        <v>902</v>
      </c>
      <c r="E4194" s="79" t="s">
        <v>955</v>
      </c>
      <c r="F4194" s="79"/>
    </row>
    <row r="4195" spans="1:7">
      <c r="A4195" s="77">
        <f t="shared" ca="1" si="437"/>
        <v>46023</v>
      </c>
      <c r="B4195" s="80">
        <f t="shared" ca="1" si="438"/>
        <v>46023.184075925928</v>
      </c>
      <c r="C4195" s="79" t="s">
        <v>655</v>
      </c>
      <c r="D4195" s="76" t="s">
        <v>902</v>
      </c>
      <c r="E4195" s="79" t="s">
        <v>1173</v>
      </c>
      <c r="F4195" s="79"/>
    </row>
    <row r="4196" spans="1:7">
      <c r="A4196" s="77">
        <f t="shared" ca="1" si="437"/>
        <v>46023</v>
      </c>
      <c r="B4196" s="80">
        <f t="shared" ca="1" si="438"/>
        <v>46023.18437638889</v>
      </c>
      <c r="C4196" s="79" t="s">
        <v>655</v>
      </c>
      <c r="D4196" s="76" t="s">
        <v>902</v>
      </c>
      <c r="E4196" s="79" t="s">
        <v>1173</v>
      </c>
      <c r="F4196" s="79"/>
    </row>
    <row r="4197" spans="1:7">
      <c r="A4197" s="77">
        <f t="shared" ca="1" si="437"/>
        <v>46023</v>
      </c>
      <c r="B4197" s="80">
        <f t="shared" ca="1" si="438"/>
        <v>46023.187419907408</v>
      </c>
      <c r="C4197" s="79" t="s">
        <v>655</v>
      </c>
      <c r="D4197" s="76" t="s">
        <v>902</v>
      </c>
      <c r="E4197" s="79" t="s">
        <v>2725</v>
      </c>
      <c r="F4197" s="79"/>
    </row>
    <row r="4198" spans="1:7">
      <c r="A4198" s="151">
        <f t="shared" ca="1" si="437"/>
        <v>46023</v>
      </c>
      <c r="B4198" s="149">
        <f t="shared" ca="1" si="438"/>
        <v>46023.204436342596</v>
      </c>
      <c r="C4198" s="79" t="s">
        <v>655</v>
      </c>
      <c r="D4198" s="150" t="s">
        <v>902</v>
      </c>
      <c r="E4198" s="79" t="s">
        <v>2726</v>
      </c>
      <c r="F4198" s="79"/>
      <c r="G4198" s="150" t="s">
        <v>2727</v>
      </c>
    </row>
    <row r="4199" spans="1:7">
      <c r="A4199" s="151">
        <f t="shared" ca="1" si="437"/>
        <v>46023</v>
      </c>
      <c r="B4199" s="149">
        <f t="shared" ca="1" si="438"/>
        <v>46023.302871412037</v>
      </c>
      <c r="C4199" s="150" t="s">
        <v>655</v>
      </c>
      <c r="D4199" s="150" t="s">
        <v>902</v>
      </c>
      <c r="E4199" s="79" t="s">
        <v>2728</v>
      </c>
      <c r="F4199" s="79"/>
    </row>
    <row r="4200" spans="1:7">
      <c r="A4200" s="77">
        <f t="shared" ca="1" si="437"/>
        <v>46023</v>
      </c>
      <c r="B4200" s="80">
        <f t="shared" ca="1" si="438"/>
        <v>46023.304115509258</v>
      </c>
      <c r="C4200" s="76" t="s">
        <v>655</v>
      </c>
      <c r="D4200" s="210" t="s">
        <v>909</v>
      </c>
      <c r="E4200" s="79"/>
      <c r="F4200" s="79"/>
    </row>
    <row r="4201" spans="1:7">
      <c r="A4201" s="77">
        <f t="shared" ca="1" si="437"/>
        <v>46023</v>
      </c>
      <c r="B4201" s="80">
        <f t="shared" ca="1" si="438"/>
        <v>46023.31043946759</v>
      </c>
      <c r="C4201" s="76" t="s">
        <v>655</v>
      </c>
      <c r="D4201" s="76" t="s">
        <v>902</v>
      </c>
      <c r="E4201" s="79" t="s">
        <v>2729</v>
      </c>
      <c r="F4201" s="79"/>
    </row>
    <row r="4202" spans="1:7">
      <c r="A4202" s="77">
        <f t="shared" ref="A4202:A4233" ca="1" si="439">IF(C4202&lt;&gt;0,IF(A4202=0,TODAY(),A4202),)</f>
        <v>46023</v>
      </c>
      <c r="B4202" s="80">
        <f t="shared" ref="B4202:B4233" ca="1" si="440">IF(C4202&lt;&gt;0,IF(B4202=0,NOW(),B4202),)</f>
        <v>46023.310453124999</v>
      </c>
      <c r="C4202" s="76" t="s">
        <v>655</v>
      </c>
      <c r="D4202" s="76" t="s">
        <v>902</v>
      </c>
      <c r="E4202" s="79" t="s">
        <v>1197</v>
      </c>
      <c r="F4202" s="79"/>
    </row>
    <row r="4203" spans="1:7">
      <c r="A4203" s="77">
        <f t="shared" ca="1" si="439"/>
        <v>46023</v>
      </c>
      <c r="B4203" s="80">
        <f t="shared" ca="1" si="440"/>
        <v>46023.310465972223</v>
      </c>
      <c r="C4203" s="76" t="s">
        <v>655</v>
      </c>
      <c r="D4203" s="76" t="s">
        <v>902</v>
      </c>
      <c r="E4203" s="79" t="s">
        <v>1197</v>
      </c>
      <c r="F4203" s="79"/>
    </row>
    <row r="4204" spans="1:7">
      <c r="A4204" s="77">
        <f t="shared" ca="1" si="439"/>
        <v>46023</v>
      </c>
      <c r="B4204" s="80">
        <f t="shared" ca="1" si="440"/>
        <v>46023.310817824073</v>
      </c>
      <c r="C4204" s="76" t="s">
        <v>655</v>
      </c>
      <c r="D4204" s="76" t="s">
        <v>902</v>
      </c>
      <c r="E4204" s="79" t="s">
        <v>1197</v>
      </c>
      <c r="F4204" s="79"/>
    </row>
    <row r="4205" spans="1:7">
      <c r="A4205" s="77">
        <f t="shared" ca="1" si="439"/>
        <v>46023</v>
      </c>
      <c r="B4205" s="80">
        <f t="shared" ca="1" si="440"/>
        <v>46023.311250925923</v>
      </c>
      <c r="C4205" s="76" t="s">
        <v>655</v>
      </c>
      <c r="D4205" s="76" t="s">
        <v>902</v>
      </c>
      <c r="E4205" s="79" t="s">
        <v>1197</v>
      </c>
      <c r="F4205" s="79"/>
    </row>
    <row r="4206" spans="1:7">
      <c r="A4206" s="77">
        <f t="shared" ca="1" si="439"/>
        <v>46023</v>
      </c>
      <c r="B4206" s="80">
        <f t="shared" ca="1" si="440"/>
        <v>46023.31132453704</v>
      </c>
      <c r="C4206" s="76" t="s">
        <v>655</v>
      </c>
      <c r="D4206" s="76" t="s">
        <v>902</v>
      </c>
      <c r="E4206" s="79" t="s">
        <v>2068</v>
      </c>
      <c r="F4206" s="79"/>
    </row>
    <row r="4207" spans="1:7">
      <c r="A4207" s="77">
        <f t="shared" ca="1" si="439"/>
        <v>46023</v>
      </c>
      <c r="B4207" s="80">
        <f t="shared" ca="1" si="440"/>
        <v>46023.312213078701</v>
      </c>
      <c r="C4207" s="76" t="s">
        <v>655</v>
      </c>
      <c r="D4207" s="76" t="s">
        <v>902</v>
      </c>
      <c r="E4207" s="79" t="s">
        <v>1197</v>
      </c>
      <c r="F4207" s="79"/>
    </row>
    <row r="4208" spans="1:7">
      <c r="A4208" s="77">
        <f t="shared" ca="1" si="439"/>
        <v>46023</v>
      </c>
      <c r="B4208" s="80">
        <f t="shared" ca="1" si="440"/>
        <v>46023.314512731478</v>
      </c>
      <c r="C4208" s="76" t="s">
        <v>655</v>
      </c>
      <c r="D4208" s="76" t="s">
        <v>902</v>
      </c>
      <c r="E4208" s="79" t="s">
        <v>2730</v>
      </c>
      <c r="F4208" s="79"/>
    </row>
    <row r="4209" spans="1:6">
      <c r="A4209" s="77">
        <f t="shared" ca="1" si="439"/>
        <v>46023</v>
      </c>
      <c r="B4209" s="80">
        <f t="shared" ca="1" si="440"/>
        <v>46023.314533101853</v>
      </c>
      <c r="C4209" s="76" t="s">
        <v>655</v>
      </c>
      <c r="D4209" s="76" t="s">
        <v>902</v>
      </c>
      <c r="E4209" s="79" t="s">
        <v>2730</v>
      </c>
      <c r="F4209" s="79"/>
    </row>
    <row r="4210" spans="1:6">
      <c r="A4210" s="77">
        <f t="shared" ca="1" si="439"/>
        <v>46023</v>
      </c>
      <c r="B4210" s="80">
        <f t="shared" ca="1" si="440"/>
        <v>46023.315991087962</v>
      </c>
      <c r="C4210" s="76" t="s">
        <v>655</v>
      </c>
      <c r="D4210" s="76" t="s">
        <v>902</v>
      </c>
      <c r="E4210" s="79" t="s">
        <v>2730</v>
      </c>
      <c r="F4210" s="79"/>
    </row>
    <row r="4211" spans="1:6">
      <c r="A4211" s="77">
        <f t="shared" ca="1" si="439"/>
        <v>46023</v>
      </c>
      <c r="B4211" s="80">
        <f t="shared" ca="1" si="440"/>
        <v>46023.317289236111</v>
      </c>
      <c r="C4211" s="76" t="s">
        <v>655</v>
      </c>
      <c r="D4211" s="76" t="s">
        <v>902</v>
      </c>
      <c r="E4211" s="79" t="s">
        <v>2027</v>
      </c>
      <c r="F4211" s="79"/>
    </row>
    <row r="4212" spans="1:6">
      <c r="A4212" s="77">
        <f t="shared" ca="1" si="439"/>
        <v>46023</v>
      </c>
      <c r="B4212" s="80">
        <f t="shared" ca="1" si="440"/>
        <v>46023.317923263887</v>
      </c>
      <c r="C4212" s="76" t="s">
        <v>655</v>
      </c>
      <c r="D4212" s="76" t="s">
        <v>902</v>
      </c>
      <c r="E4212" s="79" t="s">
        <v>2731</v>
      </c>
      <c r="F4212" s="79"/>
    </row>
    <row r="4213" spans="1:6">
      <c r="A4213" s="77">
        <f t="shared" ca="1" si="439"/>
        <v>46023</v>
      </c>
      <c r="B4213" s="80">
        <f t="shared" ca="1" si="440"/>
        <v>46023.318628819441</v>
      </c>
      <c r="C4213" s="76" t="s">
        <v>655</v>
      </c>
      <c r="D4213" s="76" t="s">
        <v>902</v>
      </c>
      <c r="E4213" s="79" t="s">
        <v>2730</v>
      </c>
      <c r="F4213" s="79"/>
    </row>
    <row r="4214" spans="1:6">
      <c r="A4214" s="77">
        <f t="shared" ca="1" si="439"/>
        <v>46023</v>
      </c>
      <c r="B4214" s="80">
        <f t="shared" ca="1" si="440"/>
        <v>46023.318718634262</v>
      </c>
      <c r="C4214" s="76" t="s">
        <v>655</v>
      </c>
      <c r="D4214" s="76" t="s">
        <v>902</v>
      </c>
      <c r="E4214" s="79" t="s">
        <v>2732</v>
      </c>
      <c r="F4214" s="79"/>
    </row>
    <row r="4215" spans="1:6">
      <c r="A4215" s="77">
        <f t="shared" ca="1" si="439"/>
        <v>46023</v>
      </c>
      <c r="B4215" s="80">
        <f t="shared" ca="1" si="440"/>
        <v>46023.319286342594</v>
      </c>
      <c r="C4215" s="76" t="s">
        <v>655</v>
      </c>
      <c r="D4215" s="76" t="s">
        <v>902</v>
      </c>
      <c r="E4215" s="79" t="s">
        <v>2730</v>
      </c>
      <c r="F4215" s="79"/>
    </row>
    <row r="4216" spans="1:6">
      <c r="A4216" s="77">
        <f t="shared" ca="1" si="439"/>
        <v>46023</v>
      </c>
      <c r="B4216" s="80">
        <f t="shared" ca="1" si="440"/>
        <v>46023.320369907407</v>
      </c>
      <c r="C4216" s="76" t="s">
        <v>655</v>
      </c>
      <c r="D4216" s="76" t="s">
        <v>902</v>
      </c>
      <c r="E4216" s="79" t="s">
        <v>2730</v>
      </c>
      <c r="F4216" s="79"/>
    </row>
    <row r="4217" spans="1:6">
      <c r="A4217" s="77">
        <f t="shared" ca="1" si="439"/>
        <v>46023</v>
      </c>
      <c r="B4217" s="80">
        <f t="shared" ca="1" si="440"/>
        <v>46023.322333101853</v>
      </c>
      <c r="C4217" s="76" t="s">
        <v>655</v>
      </c>
      <c r="D4217" s="76" t="s">
        <v>902</v>
      </c>
      <c r="E4217" s="79" t="s">
        <v>2730</v>
      </c>
      <c r="F4217" s="79"/>
    </row>
    <row r="4218" spans="1:6">
      <c r="A4218" s="77">
        <f t="shared" ca="1" si="439"/>
        <v>46023</v>
      </c>
      <c r="B4218" s="80">
        <f t="shared" ca="1" si="440"/>
        <v>46023.322609606483</v>
      </c>
      <c r="C4218" s="76" t="s">
        <v>655</v>
      </c>
      <c r="D4218" s="76" t="s">
        <v>902</v>
      </c>
      <c r="E4218" s="79" t="s">
        <v>2730</v>
      </c>
      <c r="F4218" s="79"/>
    </row>
    <row r="4219" spans="1:6">
      <c r="A4219" s="77">
        <f t="shared" ca="1" si="439"/>
        <v>46023</v>
      </c>
      <c r="B4219" s="80">
        <f t="shared" ca="1" si="440"/>
        <v>46023.323391782411</v>
      </c>
      <c r="C4219" s="76" t="s">
        <v>655</v>
      </c>
      <c r="D4219" s="76" t="s">
        <v>902</v>
      </c>
      <c r="E4219" s="79" t="s">
        <v>955</v>
      </c>
      <c r="F4219" s="79"/>
    </row>
    <row r="4220" spans="1:6">
      <c r="A4220" s="77">
        <f t="shared" ca="1" si="439"/>
        <v>46023</v>
      </c>
      <c r="B4220" s="80">
        <f t="shared" ca="1" si="440"/>
        <v>46023.325104629628</v>
      </c>
      <c r="C4220" s="76" t="s">
        <v>655</v>
      </c>
      <c r="D4220" s="76" t="s">
        <v>902</v>
      </c>
      <c r="E4220" s="79" t="s">
        <v>1695</v>
      </c>
      <c r="F4220" s="79"/>
    </row>
    <row r="4221" spans="1:6">
      <c r="A4221" s="77">
        <f t="shared" ca="1" si="439"/>
        <v>46023</v>
      </c>
      <c r="B4221" s="80">
        <f t="shared" ca="1" si="440"/>
        <v>46023.325667939818</v>
      </c>
      <c r="C4221" s="76" t="s">
        <v>655</v>
      </c>
      <c r="D4221" s="76" t="s">
        <v>902</v>
      </c>
      <c r="E4221" s="79" t="s">
        <v>955</v>
      </c>
      <c r="F4221" s="79"/>
    </row>
    <row r="4222" spans="1:6">
      <c r="A4222" s="77">
        <f t="shared" ca="1" si="439"/>
        <v>46023</v>
      </c>
      <c r="B4222" s="80">
        <f t="shared" ca="1" si="440"/>
        <v>46023.326886574076</v>
      </c>
      <c r="C4222" s="76" t="s">
        <v>655</v>
      </c>
      <c r="D4222" s="76" t="s">
        <v>902</v>
      </c>
      <c r="E4222" s="79" t="s">
        <v>2730</v>
      </c>
      <c r="F4222" s="79"/>
    </row>
    <row r="4223" spans="1:6">
      <c r="A4223" s="77">
        <f t="shared" ca="1" si="439"/>
        <v>46023</v>
      </c>
      <c r="B4223" s="80">
        <f t="shared" ca="1" si="440"/>
        <v>46023.328088888891</v>
      </c>
      <c r="C4223" s="76" t="s">
        <v>655</v>
      </c>
      <c r="D4223" s="76" t="s">
        <v>902</v>
      </c>
      <c r="E4223" s="79" t="s">
        <v>2733</v>
      </c>
      <c r="F4223" s="79"/>
    </row>
    <row r="4224" spans="1:6">
      <c r="A4224" s="77">
        <f t="shared" ca="1" si="439"/>
        <v>46023</v>
      </c>
      <c r="B4224" s="80">
        <f t="shared" ca="1" si="440"/>
        <v>46023.337118750002</v>
      </c>
      <c r="C4224" s="76" t="s">
        <v>655</v>
      </c>
      <c r="D4224" s="76" t="s">
        <v>902</v>
      </c>
      <c r="E4224" s="79" t="s">
        <v>2734</v>
      </c>
      <c r="F4224" s="79"/>
    </row>
    <row r="4225" spans="1:7">
      <c r="A4225" s="77">
        <f t="shared" ca="1" si="439"/>
        <v>46023</v>
      </c>
      <c r="B4225" s="80">
        <f t="shared" ca="1" si="440"/>
        <v>46023.340370717589</v>
      </c>
      <c r="C4225" s="76" t="s">
        <v>655</v>
      </c>
      <c r="D4225" s="150" t="s">
        <v>1059</v>
      </c>
      <c r="E4225" s="79"/>
      <c r="F4225" s="79"/>
    </row>
    <row r="4226" spans="1:7">
      <c r="A4226" s="77">
        <f t="shared" ca="1" si="439"/>
        <v>46023</v>
      </c>
      <c r="B4226" s="80">
        <f t="shared" ca="1" si="440"/>
        <v>46023.345914351848</v>
      </c>
      <c r="C4226" s="76" t="s">
        <v>655</v>
      </c>
      <c r="D4226" s="210" t="s">
        <v>922</v>
      </c>
      <c r="E4226" s="79"/>
      <c r="F4226" s="79"/>
    </row>
    <row r="4227" spans="1:7">
      <c r="A4227" s="151">
        <f t="shared" ca="1" si="439"/>
        <v>46023</v>
      </c>
      <c r="B4227" s="149">
        <f t="shared" ca="1" si="440"/>
        <v>46023.359184606481</v>
      </c>
      <c r="C4227" s="150" t="s">
        <v>655</v>
      </c>
      <c r="D4227" s="210" t="s">
        <v>1098</v>
      </c>
      <c r="E4227" s="79"/>
      <c r="F4227" s="79"/>
      <c r="G4227" s="150" t="s">
        <v>2735</v>
      </c>
    </row>
    <row r="4228" spans="1:7">
      <c r="A4228" s="151">
        <f t="shared" ca="1" si="439"/>
        <v>46023</v>
      </c>
      <c r="B4228" s="149">
        <f t="shared" ca="1" si="440"/>
        <v>46023.410923379626</v>
      </c>
      <c r="C4228" s="150" t="s">
        <v>660</v>
      </c>
      <c r="D4228" s="210" t="s">
        <v>906</v>
      </c>
      <c r="E4228" s="79"/>
      <c r="F4228" s="79"/>
    </row>
    <row r="4229" spans="1:7">
      <c r="A4229" s="77">
        <f t="shared" ca="1" si="439"/>
        <v>46023</v>
      </c>
      <c r="B4229" s="80">
        <f t="shared" ca="1" si="440"/>
        <v>46023.43632291667</v>
      </c>
      <c r="C4229" s="76" t="s">
        <v>660</v>
      </c>
      <c r="D4229" s="210" t="s">
        <v>909</v>
      </c>
      <c r="E4229" s="79"/>
      <c r="F4229" s="79"/>
    </row>
    <row r="4230" spans="1:7">
      <c r="A4230" s="77">
        <f t="shared" ca="1" si="439"/>
        <v>46023</v>
      </c>
      <c r="B4230" s="80">
        <f t="shared" ca="1" si="440"/>
        <v>46023.437823379631</v>
      </c>
      <c r="C4230" s="76" t="s">
        <v>660</v>
      </c>
      <c r="D4230" s="76" t="s">
        <v>902</v>
      </c>
      <c r="E4230" s="79" t="s">
        <v>2736</v>
      </c>
      <c r="F4230" s="79"/>
    </row>
    <row r="4231" spans="1:7">
      <c r="A4231" s="77">
        <f t="shared" ca="1" si="439"/>
        <v>46023</v>
      </c>
      <c r="B4231" s="80">
        <f t="shared" ca="1" si="440"/>
        <v>46023.442258564814</v>
      </c>
      <c r="C4231" s="76" t="s">
        <v>660</v>
      </c>
      <c r="D4231" s="150" t="s">
        <v>1007</v>
      </c>
      <c r="E4231" s="79" t="s">
        <v>2737</v>
      </c>
      <c r="F4231" s="79"/>
    </row>
    <row r="4232" spans="1:7">
      <c r="A4232" s="77">
        <f t="shared" ca="1" si="439"/>
        <v>46023</v>
      </c>
      <c r="B4232" s="80">
        <f t="shared" ca="1" si="440"/>
        <v>46023.453735300929</v>
      </c>
      <c r="C4232" s="76" t="s">
        <v>660</v>
      </c>
      <c r="D4232" s="76" t="s">
        <v>902</v>
      </c>
      <c r="E4232" s="79" t="s">
        <v>2738</v>
      </c>
      <c r="F4232" s="79"/>
    </row>
    <row r="4233" spans="1:7">
      <c r="A4233" s="77">
        <f t="shared" ca="1" si="439"/>
        <v>46023</v>
      </c>
      <c r="B4233" s="80">
        <f t="shared" ca="1" si="440"/>
        <v>46023.464264699076</v>
      </c>
      <c r="C4233" s="76" t="s">
        <v>660</v>
      </c>
      <c r="D4233" s="76" t="s">
        <v>902</v>
      </c>
      <c r="E4233" s="79" t="s">
        <v>2739</v>
      </c>
      <c r="F4233" s="79"/>
    </row>
    <row r="4234" spans="1:7">
      <c r="A4234" s="77">
        <f t="shared" ref="A4234:A4251" ca="1" si="441">IF(C4234&lt;&gt;0,IF(A4234=0,TODAY(),A4234),)</f>
        <v>46023</v>
      </c>
      <c r="B4234" s="80">
        <f t="shared" ref="B4234:B4251" ca="1" si="442">IF(C4234&lt;&gt;0,IF(B4234=0,NOW(),B4234),)</f>
        <v>46023.465070370374</v>
      </c>
      <c r="C4234" s="76" t="s">
        <v>660</v>
      </c>
      <c r="D4234" s="76" t="s">
        <v>902</v>
      </c>
      <c r="E4234" s="79" t="s">
        <v>1780</v>
      </c>
      <c r="F4234" s="79"/>
    </row>
    <row r="4235" spans="1:7">
      <c r="A4235" s="77">
        <f t="shared" ca="1" si="441"/>
        <v>46023</v>
      </c>
      <c r="B4235" s="80">
        <f t="shared" ca="1" si="442"/>
        <v>46023.465737037041</v>
      </c>
      <c r="C4235" s="76" t="s">
        <v>660</v>
      </c>
      <c r="D4235" s="76" t="s">
        <v>902</v>
      </c>
      <c r="E4235" s="79" t="s">
        <v>1513</v>
      </c>
      <c r="F4235" s="79"/>
    </row>
    <row r="4236" spans="1:7">
      <c r="A4236" s="77">
        <f t="shared" ca="1" si="441"/>
        <v>46023</v>
      </c>
      <c r="B4236" s="80">
        <f t="shared" ca="1" si="442"/>
        <v>46023.465919328701</v>
      </c>
      <c r="C4236" s="76" t="s">
        <v>660</v>
      </c>
      <c r="D4236" s="76" t="s">
        <v>902</v>
      </c>
      <c r="E4236" s="79" t="s">
        <v>1410</v>
      </c>
      <c r="F4236" s="79"/>
    </row>
    <row r="4237" spans="1:7">
      <c r="A4237" s="77">
        <f t="shared" ca="1" si="441"/>
        <v>46023</v>
      </c>
      <c r="B4237" s="80">
        <f t="shared" ca="1" si="442"/>
        <v>46023.466491319443</v>
      </c>
      <c r="C4237" s="76" t="s">
        <v>660</v>
      </c>
      <c r="D4237" s="76" t="s">
        <v>902</v>
      </c>
      <c r="E4237" s="79" t="s">
        <v>2740</v>
      </c>
      <c r="F4237" s="79"/>
    </row>
    <row r="4238" spans="1:7">
      <c r="A4238" s="77">
        <f t="shared" ca="1" si="441"/>
        <v>46023</v>
      </c>
      <c r="B4238" s="80">
        <f t="shared" ca="1" si="442"/>
        <v>46023.472954976853</v>
      </c>
      <c r="C4238" s="76" t="s">
        <v>660</v>
      </c>
      <c r="D4238" s="76" t="s">
        <v>902</v>
      </c>
      <c r="E4238" s="79" t="s">
        <v>1787</v>
      </c>
      <c r="F4238" s="79"/>
    </row>
    <row r="4239" spans="1:7">
      <c r="A4239" s="77">
        <f t="shared" ca="1" si="441"/>
        <v>46023</v>
      </c>
      <c r="B4239" s="80">
        <f t="shared" ca="1" si="442"/>
        <v>46023.476587731479</v>
      </c>
      <c r="C4239" s="76" t="s">
        <v>660</v>
      </c>
      <c r="D4239" s="76" t="s">
        <v>902</v>
      </c>
      <c r="E4239" s="79" t="s">
        <v>932</v>
      </c>
      <c r="F4239" s="79"/>
    </row>
    <row r="4240" spans="1:7">
      <c r="A4240" s="77">
        <f t="shared" ca="1" si="441"/>
        <v>46023</v>
      </c>
      <c r="B4240" s="80">
        <f t="shared" ca="1" si="442"/>
        <v>46023.482617245369</v>
      </c>
      <c r="C4240" s="76" t="s">
        <v>660</v>
      </c>
      <c r="D4240" s="76" t="s">
        <v>902</v>
      </c>
      <c r="E4240" s="79" t="s">
        <v>1229</v>
      </c>
      <c r="F4240" s="79"/>
    </row>
    <row r="4241" spans="1:6">
      <c r="A4241" s="77">
        <f t="shared" ca="1" si="441"/>
        <v>46023</v>
      </c>
      <c r="B4241" s="80">
        <f t="shared" ca="1" si="442"/>
        <v>46023.482846296298</v>
      </c>
      <c r="C4241" s="76" t="s">
        <v>660</v>
      </c>
      <c r="D4241" s="76" t="s">
        <v>902</v>
      </c>
      <c r="E4241" s="79" t="s">
        <v>1992</v>
      </c>
      <c r="F4241" s="79"/>
    </row>
    <row r="4242" spans="1:6">
      <c r="A4242" s="77">
        <f t="shared" ca="1" si="441"/>
        <v>46023</v>
      </c>
      <c r="B4242" s="80">
        <f t="shared" ca="1" si="442"/>
        <v>46023.485326620372</v>
      </c>
      <c r="C4242" s="76" t="s">
        <v>660</v>
      </c>
      <c r="D4242" s="76" t="s">
        <v>902</v>
      </c>
      <c r="E4242" s="79" t="s">
        <v>2741</v>
      </c>
      <c r="F4242" s="79"/>
    </row>
    <row r="4243" spans="1:6">
      <c r="A4243" s="77">
        <f t="shared" ca="1" si="441"/>
        <v>46023</v>
      </c>
      <c r="B4243" s="80">
        <f t="shared" ca="1" si="442"/>
        <v>46023.490823032407</v>
      </c>
      <c r="C4243" s="76" t="s">
        <v>660</v>
      </c>
      <c r="D4243" s="76" t="s">
        <v>902</v>
      </c>
      <c r="E4243" s="79" t="s">
        <v>2742</v>
      </c>
      <c r="F4243" s="79"/>
    </row>
    <row r="4244" spans="1:6">
      <c r="A4244" s="77">
        <f t="shared" ca="1" si="441"/>
        <v>46023</v>
      </c>
      <c r="B4244" s="80">
        <f t="shared" ca="1" si="442"/>
        <v>46023.492336574076</v>
      </c>
      <c r="C4244" s="76" t="s">
        <v>660</v>
      </c>
      <c r="D4244" s="76" t="s">
        <v>902</v>
      </c>
      <c r="E4244" s="79" t="s">
        <v>1229</v>
      </c>
      <c r="F4244" s="79"/>
    </row>
    <row r="4245" spans="1:6">
      <c r="A4245" s="77">
        <f t="shared" ca="1" si="441"/>
        <v>46023</v>
      </c>
      <c r="B4245" s="80">
        <f t="shared" ca="1" si="442"/>
        <v>46023.495631712962</v>
      </c>
      <c r="C4245" s="76" t="s">
        <v>660</v>
      </c>
      <c r="D4245" s="76" t="s">
        <v>902</v>
      </c>
      <c r="E4245" s="79" t="s">
        <v>1229</v>
      </c>
      <c r="F4245" s="79"/>
    </row>
    <row r="4246" spans="1:6">
      <c r="A4246" s="77">
        <f t="shared" ca="1" si="441"/>
        <v>46023</v>
      </c>
      <c r="B4246" s="80">
        <f t="shared" ca="1" si="442"/>
        <v>46023.499146875001</v>
      </c>
      <c r="C4246" s="76" t="s">
        <v>660</v>
      </c>
      <c r="D4246" s="76" t="s">
        <v>902</v>
      </c>
      <c r="E4246" s="79" t="s">
        <v>1229</v>
      </c>
      <c r="F4246" s="79"/>
    </row>
    <row r="4247" spans="1:6">
      <c r="A4247" s="77">
        <f t="shared" ca="1" si="441"/>
        <v>46023</v>
      </c>
      <c r="B4247" s="80">
        <f t="shared" ca="1" si="442"/>
        <v>46023.502434374997</v>
      </c>
      <c r="C4247" s="76" t="s">
        <v>660</v>
      </c>
      <c r="D4247" s="76" t="s">
        <v>902</v>
      </c>
      <c r="E4247" s="79" t="s">
        <v>1229</v>
      </c>
      <c r="F4247" s="79"/>
    </row>
    <row r="4248" spans="1:6">
      <c r="A4248" s="77">
        <f t="shared" ca="1" si="441"/>
        <v>46023</v>
      </c>
      <c r="B4248" s="80">
        <f t="shared" ca="1" si="442"/>
        <v>46023.502536574073</v>
      </c>
      <c r="C4248" s="76" t="s">
        <v>660</v>
      </c>
      <c r="D4248" s="76" t="s">
        <v>902</v>
      </c>
      <c r="E4248" s="79" t="s">
        <v>1229</v>
      </c>
      <c r="F4248" s="79"/>
    </row>
    <row r="4249" spans="1:6">
      <c r="A4249" s="77">
        <f t="shared" ca="1" si="441"/>
        <v>46023</v>
      </c>
      <c r="B4249" s="80">
        <f t="shared" ca="1" si="442"/>
        <v>46023.502854861108</v>
      </c>
      <c r="C4249" s="76" t="s">
        <v>660</v>
      </c>
      <c r="D4249" s="76" t="s">
        <v>902</v>
      </c>
      <c r="E4249" s="79" t="s">
        <v>932</v>
      </c>
      <c r="F4249" s="79"/>
    </row>
    <row r="4250" spans="1:6">
      <c r="A4250" s="77">
        <f t="shared" ca="1" si="441"/>
        <v>46023</v>
      </c>
      <c r="B4250" s="80">
        <f t="shared" ca="1" si="442"/>
        <v>46023.503120486108</v>
      </c>
      <c r="C4250" s="76" t="s">
        <v>660</v>
      </c>
      <c r="D4250" s="76" t="s">
        <v>902</v>
      </c>
      <c r="E4250" s="79" t="s">
        <v>1229</v>
      </c>
      <c r="F4250" s="79"/>
    </row>
    <row r="4251" spans="1:6">
      <c r="A4251" s="77">
        <f t="shared" ca="1" si="441"/>
        <v>46023</v>
      </c>
      <c r="B4251" s="80">
        <f t="shared" ca="1" si="442"/>
        <v>46023.503419444445</v>
      </c>
      <c r="C4251" s="76" t="s">
        <v>660</v>
      </c>
      <c r="D4251" s="76" t="s">
        <v>902</v>
      </c>
      <c r="E4251" s="79" t="s">
        <v>1229</v>
      </c>
      <c r="F4251" s="79"/>
    </row>
    <row r="4252" spans="1:6">
      <c r="A4252" s="77">
        <f t="shared" ref="A4252:A4273" ca="1" si="443">IF(C4252&lt;&gt;0,IF(A4252=0,TODAY(),A4252),)</f>
        <v>46023</v>
      </c>
      <c r="B4252" s="80">
        <f t="shared" ref="B4252:B4272" ca="1" si="444">IF(C4252&lt;&gt;0,IF(B4252=0,NOW(),B4252),)</f>
        <v>46023.509799768515</v>
      </c>
      <c r="C4252" s="76" t="s">
        <v>660</v>
      </c>
      <c r="D4252" s="76" t="s">
        <v>902</v>
      </c>
      <c r="E4252" s="79" t="s">
        <v>1229</v>
      </c>
      <c r="F4252" s="79"/>
    </row>
    <row r="4253" spans="1:6">
      <c r="A4253" s="77">
        <f t="shared" ca="1" si="443"/>
        <v>46023</v>
      </c>
      <c r="B4253" s="80">
        <f t="shared" ca="1" si="444"/>
        <v>46023.510898148146</v>
      </c>
      <c r="C4253" s="76" t="s">
        <v>660</v>
      </c>
      <c r="D4253" s="76" t="s">
        <v>902</v>
      </c>
      <c r="E4253" s="79" t="s">
        <v>2743</v>
      </c>
      <c r="F4253" s="79"/>
    </row>
    <row r="4254" spans="1:6">
      <c r="A4254" s="77">
        <f t="shared" ca="1" si="443"/>
        <v>46023</v>
      </c>
      <c r="B4254" s="80">
        <f t="shared" ca="1" si="444"/>
        <v>46023.512184606479</v>
      </c>
      <c r="C4254" s="76" t="s">
        <v>660</v>
      </c>
      <c r="D4254" s="76" t="s">
        <v>902</v>
      </c>
      <c r="E4254" s="79" t="s">
        <v>1229</v>
      </c>
      <c r="F4254" s="79"/>
    </row>
    <row r="4255" spans="1:6">
      <c r="A4255" s="77">
        <f t="shared" ca="1" si="443"/>
        <v>46023</v>
      </c>
      <c r="B4255" s="80">
        <f t="shared" ca="1" si="444"/>
        <v>46023.51257071759</v>
      </c>
      <c r="C4255" s="76" t="s">
        <v>660</v>
      </c>
      <c r="D4255" s="76" t="s">
        <v>902</v>
      </c>
      <c r="E4255" s="79" t="s">
        <v>2744</v>
      </c>
      <c r="F4255" s="79"/>
    </row>
    <row r="4256" spans="1:6">
      <c r="A4256" s="77">
        <f t="shared" ca="1" si="443"/>
        <v>46023</v>
      </c>
      <c r="B4256" s="80">
        <f t="shared" ca="1" si="444"/>
        <v>46023.51811759259</v>
      </c>
      <c r="C4256" s="76" t="s">
        <v>660</v>
      </c>
      <c r="D4256" s="76" t="s">
        <v>902</v>
      </c>
      <c r="E4256" s="79" t="s">
        <v>1229</v>
      </c>
      <c r="F4256" s="79"/>
    </row>
    <row r="4257" spans="1:6">
      <c r="A4257" s="77">
        <f t="shared" ca="1" si="443"/>
        <v>46023</v>
      </c>
      <c r="B4257" s="80">
        <f t="shared" ca="1" si="444"/>
        <v>46023.518815046293</v>
      </c>
      <c r="C4257" s="76" t="s">
        <v>660</v>
      </c>
      <c r="D4257" s="76" t="s">
        <v>902</v>
      </c>
      <c r="E4257" s="79" t="s">
        <v>1229</v>
      </c>
      <c r="F4257" s="79"/>
    </row>
    <row r="4258" spans="1:6">
      <c r="A4258" s="77">
        <f t="shared" ca="1" si="443"/>
        <v>46023</v>
      </c>
      <c r="B4258" s="80">
        <f t="shared" ca="1" si="444"/>
        <v>46023.519092245369</v>
      </c>
      <c r="C4258" s="76" t="s">
        <v>660</v>
      </c>
      <c r="D4258" s="76" t="s">
        <v>902</v>
      </c>
      <c r="E4258" s="79" t="s">
        <v>1229</v>
      </c>
      <c r="F4258" s="79"/>
    </row>
    <row r="4259" spans="1:6">
      <c r="A4259" s="77">
        <f t="shared" ca="1" si="443"/>
        <v>46023</v>
      </c>
      <c r="B4259" s="80">
        <f t="shared" ca="1" si="444"/>
        <v>46023.519763425924</v>
      </c>
      <c r="C4259" s="76" t="s">
        <v>660</v>
      </c>
      <c r="D4259" s="76" t="s">
        <v>902</v>
      </c>
      <c r="E4259" s="79" t="s">
        <v>1992</v>
      </c>
      <c r="F4259" s="79"/>
    </row>
    <row r="4260" spans="1:6">
      <c r="A4260" s="77">
        <f t="shared" ca="1" si="443"/>
        <v>46023</v>
      </c>
      <c r="B4260" s="80">
        <f t="shared" ca="1" si="444"/>
        <v>46023.520855902774</v>
      </c>
      <c r="C4260" s="76" t="s">
        <v>660</v>
      </c>
      <c r="D4260" s="76" t="s">
        <v>902</v>
      </c>
      <c r="E4260" s="79" t="s">
        <v>2745</v>
      </c>
      <c r="F4260" s="79"/>
    </row>
    <row r="4261" spans="1:6">
      <c r="A4261" s="77">
        <f t="shared" ca="1" si="443"/>
        <v>46023</v>
      </c>
      <c r="B4261" s="80">
        <f t="shared" ca="1" si="444"/>
        <v>46023.532279282408</v>
      </c>
      <c r="C4261" s="76" t="s">
        <v>660</v>
      </c>
      <c r="D4261" s="76" t="s">
        <v>902</v>
      </c>
      <c r="E4261" s="79" t="s">
        <v>1734</v>
      </c>
      <c r="F4261" s="79"/>
    </row>
    <row r="4262" spans="1:6">
      <c r="A4262" s="77">
        <f t="shared" ca="1" si="443"/>
        <v>46023</v>
      </c>
      <c r="B4262" s="80">
        <f t="shared" ca="1" si="444"/>
        <v>46023.532571296295</v>
      </c>
      <c r="C4262" s="76" t="s">
        <v>660</v>
      </c>
      <c r="D4262" s="76" t="s">
        <v>902</v>
      </c>
      <c r="E4262" s="79" t="s">
        <v>1229</v>
      </c>
      <c r="F4262" s="79"/>
    </row>
    <row r="4263" spans="1:6">
      <c r="A4263" s="77">
        <f t="shared" ca="1" si="443"/>
        <v>46023</v>
      </c>
      <c r="B4263" s="80">
        <f t="shared" ca="1" si="444"/>
        <v>46023.535751736112</v>
      </c>
      <c r="C4263" s="76" t="s">
        <v>660</v>
      </c>
      <c r="D4263" s="76" t="s">
        <v>902</v>
      </c>
      <c r="E4263" s="79" t="s">
        <v>2746</v>
      </c>
      <c r="F4263" s="79"/>
    </row>
    <row r="4264" spans="1:6">
      <c r="A4264" s="77">
        <f t="shared" ca="1" si="443"/>
        <v>46023</v>
      </c>
      <c r="B4264" s="80">
        <f t="shared" ca="1" si="444"/>
        <v>46023.539185532405</v>
      </c>
      <c r="C4264" s="76" t="s">
        <v>660</v>
      </c>
      <c r="D4264" s="76" t="s">
        <v>902</v>
      </c>
      <c r="E4264" s="79" t="s">
        <v>1780</v>
      </c>
      <c r="F4264" s="79"/>
    </row>
    <row r="4265" spans="1:6">
      <c r="A4265" s="77">
        <f t="shared" ca="1" si="443"/>
        <v>46023</v>
      </c>
      <c r="B4265" s="80">
        <f t="shared" ca="1" si="444"/>
        <v>46023.540180324075</v>
      </c>
      <c r="C4265" s="76" t="s">
        <v>660</v>
      </c>
      <c r="D4265" s="76" t="s">
        <v>902</v>
      </c>
      <c r="E4265" s="79" t="s">
        <v>1080</v>
      </c>
      <c r="F4265" s="79"/>
    </row>
    <row r="4266" spans="1:6">
      <c r="A4266" s="77">
        <f t="shared" ca="1" si="443"/>
        <v>46023</v>
      </c>
      <c r="B4266" s="80">
        <f t="shared" ca="1" si="444"/>
        <v>46023.543905324077</v>
      </c>
      <c r="C4266" s="76" t="s">
        <v>660</v>
      </c>
      <c r="D4266" s="76" t="s">
        <v>902</v>
      </c>
      <c r="E4266" s="79" t="s">
        <v>1229</v>
      </c>
      <c r="F4266" s="79"/>
    </row>
    <row r="4267" spans="1:6">
      <c r="A4267" s="77">
        <f t="shared" ca="1" si="443"/>
        <v>46023</v>
      </c>
      <c r="B4267" s="80">
        <f t="shared" ca="1" si="444"/>
        <v>46023.546328935183</v>
      </c>
      <c r="C4267" s="76" t="s">
        <v>660</v>
      </c>
      <c r="D4267" s="76" t="s">
        <v>902</v>
      </c>
      <c r="E4267" s="79" t="s">
        <v>1229</v>
      </c>
      <c r="F4267" s="79"/>
    </row>
    <row r="4268" spans="1:6">
      <c r="A4268" s="77">
        <f t="shared" ca="1" si="443"/>
        <v>46023</v>
      </c>
      <c r="B4268" s="80">
        <f t="shared" ca="1" si="444"/>
        <v>46023.555060648148</v>
      </c>
      <c r="C4268" s="76" t="s">
        <v>660</v>
      </c>
      <c r="D4268" s="76" t="s">
        <v>902</v>
      </c>
      <c r="E4268" s="79" t="s">
        <v>932</v>
      </c>
      <c r="F4268" s="79"/>
    </row>
    <row r="4269" spans="1:6">
      <c r="A4269" s="77">
        <f t="shared" ca="1" si="443"/>
        <v>46023</v>
      </c>
      <c r="B4269" s="80">
        <f t="shared" ca="1" si="444"/>
        <v>46023.556893749999</v>
      </c>
      <c r="C4269" s="76" t="s">
        <v>660</v>
      </c>
      <c r="D4269" s="76" t="s">
        <v>902</v>
      </c>
      <c r="E4269" s="79" t="s">
        <v>932</v>
      </c>
      <c r="F4269" s="79"/>
    </row>
    <row r="4270" spans="1:6">
      <c r="A4270" s="77">
        <f t="shared" ca="1" si="443"/>
        <v>46023</v>
      </c>
      <c r="B4270" s="80">
        <f t="shared" ca="1" si="444"/>
        <v>46023.561925347225</v>
      </c>
      <c r="C4270" s="76" t="s">
        <v>660</v>
      </c>
      <c r="D4270" s="76" t="s">
        <v>902</v>
      </c>
      <c r="E4270" s="79" t="s">
        <v>1734</v>
      </c>
      <c r="F4270" s="79"/>
    </row>
    <row r="4271" spans="1:6">
      <c r="A4271" s="77">
        <f t="shared" ca="1" si="443"/>
        <v>46023</v>
      </c>
      <c r="B4271" s="80">
        <f t="shared" ca="1" si="444"/>
        <v>46023.565402430555</v>
      </c>
      <c r="C4271" s="76" t="s">
        <v>660</v>
      </c>
      <c r="D4271" s="76" t="s">
        <v>902</v>
      </c>
      <c r="E4271" s="79" t="s">
        <v>1229</v>
      </c>
      <c r="F4271" s="79"/>
    </row>
    <row r="4272" spans="1:6">
      <c r="A4272" s="77">
        <f t="shared" ca="1" si="443"/>
        <v>46023</v>
      </c>
      <c r="B4272" s="80">
        <f t="shared" ca="1" si="444"/>
        <v>46023.566761574075</v>
      </c>
      <c r="C4272" s="76" t="s">
        <v>660</v>
      </c>
      <c r="D4272" s="76" t="s">
        <v>902</v>
      </c>
      <c r="E4272" s="79" t="s">
        <v>1229</v>
      </c>
      <c r="F4272" s="79"/>
    </row>
    <row r="4273" spans="1:7">
      <c r="A4273" s="77">
        <f t="shared" ca="1" si="443"/>
        <v>46023</v>
      </c>
      <c r="B4273" s="80">
        <v>0.57090277777777776</v>
      </c>
      <c r="C4273" s="76" t="s">
        <v>660</v>
      </c>
      <c r="D4273" s="76" t="s">
        <v>902</v>
      </c>
      <c r="E4273" s="79" t="s">
        <v>2747</v>
      </c>
      <c r="F4273" s="79"/>
    </row>
    <row r="4274" spans="1:7">
      <c r="A4274" s="77">
        <f t="shared" ref="A4274:A4286" ca="1" si="445">IF(C4274&lt;&gt;0,IF(A4274=0,TODAY(),A4274),)</f>
        <v>46023</v>
      </c>
      <c r="B4274" s="80">
        <f t="shared" ref="B4274:B4286" ca="1" si="446">IF(C4274&lt;&gt;0,IF(B4274=0,NOW(),B4274),)</f>
        <v>46023.587479282411</v>
      </c>
      <c r="C4274" s="76" t="s">
        <v>660</v>
      </c>
      <c r="D4274" s="76" t="s">
        <v>902</v>
      </c>
      <c r="E4274" s="79" t="s">
        <v>1063</v>
      </c>
      <c r="F4274" s="79"/>
    </row>
    <row r="4275" spans="1:7">
      <c r="A4275" s="77">
        <f t="shared" ca="1" si="445"/>
        <v>46023</v>
      </c>
      <c r="B4275" s="80">
        <f t="shared" ca="1" si="446"/>
        <v>46023.587631712966</v>
      </c>
      <c r="C4275" s="76" t="s">
        <v>660</v>
      </c>
      <c r="D4275" s="76" t="s">
        <v>902</v>
      </c>
      <c r="E4275" s="79" t="s">
        <v>1063</v>
      </c>
      <c r="F4275" s="79"/>
    </row>
    <row r="4276" spans="1:7">
      <c r="A4276" s="77">
        <f t="shared" ca="1" si="445"/>
        <v>46023</v>
      </c>
      <c r="B4276" s="80">
        <f t="shared" ca="1" si="446"/>
        <v>46023.593643749999</v>
      </c>
      <c r="C4276" s="76" t="s">
        <v>660</v>
      </c>
      <c r="D4276" s="76" t="s">
        <v>902</v>
      </c>
      <c r="E4276" s="79" t="s">
        <v>2748</v>
      </c>
      <c r="F4276" s="79"/>
    </row>
    <row r="4277" spans="1:7">
      <c r="A4277" s="77">
        <f t="shared" ca="1" si="445"/>
        <v>46023</v>
      </c>
      <c r="B4277" s="80">
        <f t="shared" ca="1" si="446"/>
        <v>46023.596061111108</v>
      </c>
      <c r="C4277" s="76" t="s">
        <v>660</v>
      </c>
      <c r="D4277" s="76" t="s">
        <v>902</v>
      </c>
      <c r="E4277" s="79" t="s">
        <v>1324</v>
      </c>
      <c r="F4277" s="79"/>
    </row>
    <row r="4278" spans="1:7">
      <c r="A4278" s="77">
        <f t="shared" ca="1" si="445"/>
        <v>46023</v>
      </c>
      <c r="B4278" s="80">
        <f t="shared" ca="1" si="446"/>
        <v>46023.59810949074</v>
      </c>
      <c r="C4278" s="76" t="s">
        <v>660</v>
      </c>
      <c r="D4278" s="76" t="s">
        <v>902</v>
      </c>
      <c r="E4278" s="79" t="s">
        <v>1734</v>
      </c>
      <c r="F4278" s="79"/>
    </row>
    <row r="4279" spans="1:7">
      <c r="A4279" s="77">
        <f t="shared" ca="1" si="445"/>
        <v>46023</v>
      </c>
      <c r="B4279" s="80">
        <f t="shared" ca="1" si="446"/>
        <v>46023.598285879627</v>
      </c>
      <c r="C4279" s="76" t="s">
        <v>660</v>
      </c>
      <c r="D4279" s="76" t="s">
        <v>902</v>
      </c>
      <c r="E4279" s="79" t="s">
        <v>932</v>
      </c>
      <c r="F4279" s="79"/>
    </row>
    <row r="4280" spans="1:7">
      <c r="A4280" s="77">
        <f t="shared" ca="1" si="445"/>
        <v>46023</v>
      </c>
      <c r="B4280" s="80">
        <f t="shared" ca="1" si="446"/>
        <v>46023.601585532408</v>
      </c>
      <c r="C4280" s="76" t="s">
        <v>660</v>
      </c>
      <c r="D4280" s="76" t="s">
        <v>902</v>
      </c>
      <c r="E4280" s="79" t="s">
        <v>1734</v>
      </c>
      <c r="F4280" s="79"/>
    </row>
    <row r="4281" spans="1:7">
      <c r="A4281" s="77">
        <f t="shared" ca="1" si="445"/>
        <v>46023</v>
      </c>
      <c r="B4281" s="80">
        <f t="shared" ca="1" si="446"/>
        <v>46023.6018400463</v>
      </c>
      <c r="C4281" s="76" t="s">
        <v>660</v>
      </c>
      <c r="D4281" s="76" t="s">
        <v>902</v>
      </c>
      <c r="E4281" s="79" t="s">
        <v>2749</v>
      </c>
      <c r="F4281" s="79"/>
    </row>
    <row r="4282" spans="1:7">
      <c r="A4282" s="77">
        <f t="shared" ca="1" si="445"/>
        <v>46023</v>
      </c>
      <c r="B4282" s="80">
        <f t="shared" ca="1" si="446"/>
        <v>46023.604417013892</v>
      </c>
      <c r="C4282" s="76" t="s">
        <v>660</v>
      </c>
      <c r="D4282" s="76" t="s">
        <v>902</v>
      </c>
      <c r="E4282" s="79" t="s">
        <v>1229</v>
      </c>
      <c r="F4282" s="79"/>
    </row>
    <row r="4283" spans="1:7">
      <c r="A4283" s="77">
        <f t="shared" ca="1" si="445"/>
        <v>46023</v>
      </c>
      <c r="B4283" s="80">
        <f t="shared" ca="1" si="446"/>
        <v>46023.605960763889</v>
      </c>
      <c r="C4283" s="76" t="s">
        <v>660</v>
      </c>
      <c r="D4283" s="76" t="s">
        <v>902</v>
      </c>
      <c r="E4283" s="79" t="s">
        <v>1250</v>
      </c>
      <c r="F4283" s="79"/>
    </row>
    <row r="4284" spans="1:7">
      <c r="A4284" s="77">
        <f t="shared" ca="1" si="445"/>
        <v>46023</v>
      </c>
      <c r="B4284" s="80">
        <f t="shared" ca="1" si="446"/>
        <v>46023.612194097223</v>
      </c>
      <c r="C4284" s="76" t="s">
        <v>660</v>
      </c>
      <c r="D4284" s="76" t="s">
        <v>902</v>
      </c>
      <c r="E4284" s="79" t="s">
        <v>2750</v>
      </c>
      <c r="F4284" s="79"/>
    </row>
    <row r="4285" spans="1:7">
      <c r="A4285" s="77">
        <f t="shared" ca="1" si="445"/>
        <v>46023</v>
      </c>
      <c r="B4285" s="80">
        <f t="shared" ca="1" si="446"/>
        <v>46023.613785416666</v>
      </c>
      <c r="C4285" s="76" t="s">
        <v>660</v>
      </c>
      <c r="D4285" s="76" t="s">
        <v>902</v>
      </c>
      <c r="E4285" s="79" t="s">
        <v>932</v>
      </c>
      <c r="F4285" s="79"/>
    </row>
    <row r="4286" spans="1:7">
      <c r="A4286" s="77">
        <f t="shared" ca="1" si="445"/>
        <v>46023</v>
      </c>
      <c r="B4286" s="80">
        <f t="shared" ca="1" si="446"/>
        <v>46023.620686226852</v>
      </c>
      <c r="C4286" s="76" t="s">
        <v>660</v>
      </c>
      <c r="D4286" s="76" t="s">
        <v>902</v>
      </c>
      <c r="E4286" s="79" t="s">
        <v>1734</v>
      </c>
      <c r="F4286" s="79"/>
    </row>
    <row r="4287" spans="1:7">
      <c r="A4287" s="77">
        <f t="shared" ref="A4287:A4302" ca="1" si="447">IF(C4287&lt;&gt;0,IF(A4287=0,TODAY(),A4287),)</f>
        <v>46023</v>
      </c>
      <c r="B4287" s="80">
        <f t="shared" ref="B4287:B4302" ca="1" si="448">IF(C4287&lt;&gt;0,IF(B4287=0,NOW(),B4287),)</f>
        <v>46023.623876157406</v>
      </c>
      <c r="C4287" s="76" t="s">
        <v>660</v>
      </c>
      <c r="D4287" s="210" t="s">
        <v>922</v>
      </c>
      <c r="E4287" s="79"/>
      <c r="F4287" s="79"/>
    </row>
    <row r="4288" spans="1:7">
      <c r="A4288" s="151">
        <f t="shared" ca="1" si="447"/>
        <v>46023</v>
      </c>
      <c r="B4288" s="149">
        <v>0.64097222222222228</v>
      </c>
      <c r="C4288" s="150" t="s">
        <v>660</v>
      </c>
      <c r="D4288" s="210" t="s">
        <v>1098</v>
      </c>
      <c r="E4288" s="79"/>
      <c r="F4288" s="79"/>
      <c r="G4288" s="150" t="s">
        <v>663</v>
      </c>
    </row>
    <row r="4289" spans="1:6">
      <c r="A4289" s="151">
        <f t="shared" ca="1" si="447"/>
        <v>46023</v>
      </c>
      <c r="B4289" s="149">
        <f t="shared" ca="1" si="448"/>
        <v>46023.686173263886</v>
      </c>
      <c r="C4289" s="150" t="s">
        <v>664</v>
      </c>
      <c r="D4289" s="210" t="s">
        <v>906</v>
      </c>
      <c r="E4289" s="79"/>
      <c r="F4289" s="79"/>
    </row>
    <row r="4290" spans="1:6">
      <c r="A4290" s="77">
        <f t="shared" ca="1" si="447"/>
        <v>46023</v>
      </c>
      <c r="B4290" s="80">
        <f t="shared" ca="1" si="448"/>
        <v>46023.719279398145</v>
      </c>
      <c r="C4290" s="76" t="s">
        <v>664</v>
      </c>
      <c r="D4290" s="210" t="s">
        <v>909</v>
      </c>
      <c r="E4290" s="79"/>
      <c r="F4290" s="79"/>
    </row>
    <row r="4291" spans="1:6">
      <c r="A4291" s="77">
        <f t="shared" ca="1" si="447"/>
        <v>46023</v>
      </c>
      <c r="B4291" s="80">
        <f t="shared" ca="1" si="448"/>
        <v>46023.719520949075</v>
      </c>
      <c r="C4291" s="76" t="s">
        <v>664</v>
      </c>
      <c r="D4291" s="76" t="s">
        <v>902</v>
      </c>
      <c r="E4291" s="79" t="s">
        <v>1751</v>
      </c>
      <c r="F4291" s="79"/>
    </row>
    <row r="4292" spans="1:6">
      <c r="A4292" s="77">
        <f t="shared" ca="1" si="447"/>
        <v>46023</v>
      </c>
      <c r="B4292" s="80">
        <f t="shared" ca="1" si="448"/>
        <v>46023.721139236113</v>
      </c>
      <c r="C4292" s="76" t="s">
        <v>664</v>
      </c>
      <c r="D4292" s="76" t="s">
        <v>902</v>
      </c>
      <c r="E4292" s="79" t="s">
        <v>1805</v>
      </c>
      <c r="F4292" s="79"/>
    </row>
    <row r="4293" spans="1:6">
      <c r="A4293" s="77">
        <f t="shared" ca="1" si="447"/>
        <v>46023</v>
      </c>
      <c r="B4293" s="80">
        <f t="shared" ca="1" si="448"/>
        <v>46023.723579976853</v>
      </c>
      <c r="C4293" s="76" t="s">
        <v>664</v>
      </c>
      <c r="D4293" s="76" t="s">
        <v>902</v>
      </c>
      <c r="E4293" s="79" t="s">
        <v>1805</v>
      </c>
      <c r="F4293" s="79"/>
    </row>
    <row r="4294" spans="1:6">
      <c r="A4294" s="77">
        <f t="shared" ca="1" si="447"/>
        <v>46023</v>
      </c>
      <c r="B4294" s="80">
        <f t="shared" ca="1" si="448"/>
        <v>46023.723771874997</v>
      </c>
      <c r="C4294" s="76" t="s">
        <v>664</v>
      </c>
      <c r="D4294" s="76" t="s">
        <v>902</v>
      </c>
      <c r="E4294" s="79" t="s">
        <v>2751</v>
      </c>
      <c r="F4294" s="79"/>
    </row>
    <row r="4295" spans="1:6">
      <c r="A4295" s="77">
        <f t="shared" ca="1" si="447"/>
        <v>46023</v>
      </c>
      <c r="B4295" s="80">
        <f t="shared" ca="1" si="448"/>
        <v>46023.723939236108</v>
      </c>
      <c r="C4295" s="76" t="s">
        <v>664</v>
      </c>
      <c r="D4295" s="76" t="s">
        <v>902</v>
      </c>
      <c r="E4295" s="79" t="s">
        <v>920</v>
      </c>
      <c r="F4295" s="79"/>
    </row>
    <row r="4296" spans="1:6">
      <c r="A4296" s="77">
        <f t="shared" ca="1" si="447"/>
        <v>46023</v>
      </c>
      <c r="B4296" s="80">
        <f t="shared" ca="1" si="448"/>
        <v>46023.728394097219</v>
      </c>
      <c r="C4296" s="76" t="s">
        <v>664</v>
      </c>
      <c r="D4296" s="76" t="s">
        <v>902</v>
      </c>
      <c r="E4296" s="79" t="s">
        <v>1370</v>
      </c>
      <c r="F4296" s="79"/>
    </row>
    <row r="4297" spans="1:6">
      <c r="A4297" s="77">
        <f t="shared" ca="1" si="447"/>
        <v>46023</v>
      </c>
      <c r="B4297" s="80">
        <f t="shared" ca="1" si="448"/>
        <v>46023.730180671293</v>
      </c>
      <c r="C4297" s="76" t="s">
        <v>664</v>
      </c>
      <c r="D4297" s="76" t="s">
        <v>902</v>
      </c>
      <c r="E4297" s="79" t="s">
        <v>1370</v>
      </c>
      <c r="F4297" s="79"/>
    </row>
    <row r="4298" spans="1:6">
      <c r="A4298" s="77">
        <f t="shared" ca="1" si="447"/>
        <v>46023</v>
      </c>
      <c r="B4298" s="80">
        <f t="shared" ca="1" si="448"/>
        <v>46023.741436342592</v>
      </c>
      <c r="C4298" s="76" t="s">
        <v>664</v>
      </c>
      <c r="D4298" s="76" t="s">
        <v>902</v>
      </c>
      <c r="E4298" s="79" t="s">
        <v>920</v>
      </c>
      <c r="F4298" s="79"/>
    </row>
    <row r="4299" spans="1:6">
      <c r="A4299" s="77">
        <f t="shared" ca="1" si="447"/>
        <v>46023</v>
      </c>
      <c r="B4299" s="80">
        <f t="shared" ca="1" si="448"/>
        <v>46023.742562500003</v>
      </c>
      <c r="C4299" s="76" t="s">
        <v>664</v>
      </c>
      <c r="D4299" s="76" t="s">
        <v>902</v>
      </c>
      <c r="E4299" s="79" t="s">
        <v>2752</v>
      </c>
      <c r="F4299" s="79"/>
    </row>
    <row r="4300" spans="1:6">
      <c r="A4300" s="77">
        <f t="shared" ca="1" si="447"/>
        <v>46023</v>
      </c>
      <c r="B4300" s="80">
        <f t="shared" ca="1" si="448"/>
        <v>46023.744482986112</v>
      </c>
      <c r="C4300" s="76" t="s">
        <v>664</v>
      </c>
      <c r="D4300" s="76" t="s">
        <v>902</v>
      </c>
      <c r="E4300" s="79" t="s">
        <v>2752</v>
      </c>
      <c r="F4300" s="79"/>
    </row>
    <row r="4301" spans="1:6">
      <c r="A4301" s="77">
        <f t="shared" ca="1" si="447"/>
        <v>46023</v>
      </c>
      <c r="B4301" s="80">
        <f t="shared" ca="1" si="448"/>
        <v>46023.746135995367</v>
      </c>
      <c r="C4301" s="76" t="s">
        <v>664</v>
      </c>
      <c r="D4301" s="76" t="s">
        <v>902</v>
      </c>
      <c r="E4301" s="79" t="s">
        <v>2753</v>
      </c>
      <c r="F4301" s="79"/>
    </row>
    <row r="4302" spans="1:6">
      <c r="A4302" s="77">
        <f t="shared" ca="1" si="447"/>
        <v>46023</v>
      </c>
      <c r="B4302" s="80">
        <f t="shared" ca="1" si="448"/>
        <v>46023.747555787035</v>
      </c>
      <c r="C4302" s="76" t="s">
        <v>664</v>
      </c>
      <c r="D4302" s="76" t="s">
        <v>902</v>
      </c>
      <c r="E4302" s="79" t="s">
        <v>2752</v>
      </c>
      <c r="F4302" s="79"/>
    </row>
    <row r="4303" spans="1:6">
      <c r="A4303" s="77">
        <f t="shared" ref="A4303:A4312" ca="1" si="449">IF(C4303&lt;&gt;0,IF(A4303=0,TODAY(),A4303),)</f>
        <v>46023</v>
      </c>
      <c r="B4303" s="80">
        <f t="shared" ref="B4303:B4312" ca="1" si="450">IF(C4303&lt;&gt;0,IF(B4303=0,NOW(),B4303),)</f>
        <v>46023.749452662036</v>
      </c>
      <c r="C4303" s="76" t="s">
        <v>664</v>
      </c>
      <c r="D4303" s="76" t="s">
        <v>902</v>
      </c>
      <c r="E4303" s="79" t="s">
        <v>2752</v>
      </c>
      <c r="F4303" s="79"/>
    </row>
    <row r="4304" spans="1:6">
      <c r="A4304" s="77">
        <f t="shared" ca="1" si="449"/>
        <v>46023</v>
      </c>
      <c r="B4304" s="80">
        <f t="shared" ca="1" si="450"/>
        <v>46023.753112268518</v>
      </c>
      <c r="C4304" s="76" t="s">
        <v>664</v>
      </c>
      <c r="D4304" s="76" t="s">
        <v>902</v>
      </c>
      <c r="E4304" s="79" t="s">
        <v>2752</v>
      </c>
      <c r="F4304" s="79"/>
    </row>
    <row r="4305" spans="1:6">
      <c r="A4305" s="77">
        <f t="shared" ca="1" si="449"/>
        <v>46023</v>
      </c>
      <c r="B4305" s="80">
        <f t="shared" ca="1" si="450"/>
        <v>46023.756099537037</v>
      </c>
      <c r="C4305" s="76" t="s">
        <v>664</v>
      </c>
      <c r="D4305" s="76" t="s">
        <v>902</v>
      </c>
      <c r="E4305" s="79" t="s">
        <v>2754</v>
      </c>
      <c r="F4305" s="79"/>
    </row>
    <row r="4306" spans="1:6">
      <c r="A4306" s="77">
        <f t="shared" ca="1" si="449"/>
        <v>46023</v>
      </c>
      <c r="B4306" s="80">
        <f t="shared" ca="1" si="450"/>
        <v>46023.759338310185</v>
      </c>
      <c r="C4306" s="76" t="s">
        <v>664</v>
      </c>
      <c r="D4306" s="76" t="s">
        <v>902</v>
      </c>
      <c r="E4306" s="79" t="s">
        <v>955</v>
      </c>
      <c r="F4306" s="79"/>
    </row>
    <row r="4307" spans="1:6">
      <c r="A4307" s="77">
        <f t="shared" ca="1" si="449"/>
        <v>46023</v>
      </c>
      <c r="B4307" s="80">
        <f t="shared" ca="1" si="450"/>
        <v>46023.760608101853</v>
      </c>
      <c r="C4307" s="76" t="s">
        <v>664</v>
      </c>
      <c r="D4307" s="76" t="s">
        <v>902</v>
      </c>
      <c r="E4307" s="79" t="s">
        <v>2755</v>
      </c>
      <c r="F4307" s="79"/>
    </row>
    <row r="4308" spans="1:6">
      <c r="A4308" s="77">
        <f t="shared" ca="1" si="449"/>
        <v>46023</v>
      </c>
      <c r="B4308" s="80">
        <f t="shared" ca="1" si="450"/>
        <v>46023.760941782406</v>
      </c>
      <c r="C4308" s="76" t="s">
        <v>664</v>
      </c>
      <c r="D4308" s="76" t="s">
        <v>902</v>
      </c>
      <c r="E4308" s="79" t="s">
        <v>2756</v>
      </c>
      <c r="F4308" s="79"/>
    </row>
    <row r="4309" spans="1:6">
      <c r="A4309" s="77">
        <f t="shared" ca="1" si="449"/>
        <v>46023</v>
      </c>
      <c r="B4309" s="80">
        <f t="shared" ca="1" si="450"/>
        <v>46023.761301620369</v>
      </c>
      <c r="C4309" s="76" t="s">
        <v>664</v>
      </c>
      <c r="D4309" s="76" t="s">
        <v>902</v>
      </c>
      <c r="E4309" s="79" t="s">
        <v>955</v>
      </c>
      <c r="F4309" s="79"/>
    </row>
    <row r="4310" spans="1:6">
      <c r="A4310" s="77">
        <f t="shared" ca="1" si="449"/>
        <v>46023</v>
      </c>
      <c r="B4310" s="80">
        <f t="shared" ca="1" si="450"/>
        <v>46023.763186111108</v>
      </c>
      <c r="C4310" s="76" t="s">
        <v>664</v>
      </c>
      <c r="D4310" s="76" t="s">
        <v>902</v>
      </c>
      <c r="E4310" s="79" t="s">
        <v>2757</v>
      </c>
      <c r="F4310" s="79"/>
    </row>
    <row r="4311" spans="1:6">
      <c r="A4311" s="77">
        <f t="shared" ca="1" si="449"/>
        <v>46023</v>
      </c>
      <c r="B4311" s="80">
        <f t="shared" ca="1" si="450"/>
        <v>46023.763722916665</v>
      </c>
      <c r="C4311" s="76" t="s">
        <v>664</v>
      </c>
      <c r="D4311" s="76" t="s">
        <v>902</v>
      </c>
      <c r="E4311" s="79" t="s">
        <v>2758</v>
      </c>
      <c r="F4311" s="79"/>
    </row>
    <row r="4312" spans="1:6">
      <c r="A4312" s="77">
        <f t="shared" ca="1" si="449"/>
        <v>46023</v>
      </c>
      <c r="B4312" s="80">
        <f t="shared" ca="1" si="450"/>
        <v>46023.767001157408</v>
      </c>
      <c r="C4312" s="76" t="s">
        <v>664</v>
      </c>
      <c r="D4312" s="76" t="s">
        <v>902</v>
      </c>
      <c r="E4312" s="79" t="s">
        <v>2759</v>
      </c>
      <c r="F4312" s="79"/>
    </row>
    <row r="4313" spans="1:6">
      <c r="A4313" s="77">
        <f t="shared" ref="A4313:A4326" ca="1" si="451">IF(C4313&lt;&gt;0,IF(A4313=0,TODAY(),A4313),)</f>
        <v>46023</v>
      </c>
      <c r="B4313" s="80">
        <f t="shared" ref="B4313:B4326" ca="1" si="452">IF(C4313&lt;&gt;0,IF(B4313=0,NOW(),B4313),)</f>
        <v>46023.769009374999</v>
      </c>
      <c r="C4313" s="76" t="s">
        <v>664</v>
      </c>
      <c r="D4313" s="76" t="s">
        <v>902</v>
      </c>
      <c r="E4313" s="79" t="s">
        <v>1062</v>
      </c>
      <c r="F4313" s="79"/>
    </row>
    <row r="4314" spans="1:6">
      <c r="A4314" s="77">
        <f t="shared" ca="1" si="451"/>
        <v>46023</v>
      </c>
      <c r="B4314" s="80">
        <f t="shared" ca="1" si="452"/>
        <v>46023.771717592594</v>
      </c>
      <c r="C4314" s="76" t="s">
        <v>664</v>
      </c>
      <c r="D4314" s="76" t="s">
        <v>902</v>
      </c>
      <c r="E4314" s="79" t="s">
        <v>1062</v>
      </c>
      <c r="F4314" s="79"/>
    </row>
    <row r="4315" spans="1:6">
      <c r="A4315" s="77">
        <f t="shared" ca="1" si="451"/>
        <v>46023</v>
      </c>
      <c r="B4315" s="80">
        <f t="shared" ca="1" si="452"/>
        <v>46023.772321990742</v>
      </c>
      <c r="C4315" s="76" t="s">
        <v>664</v>
      </c>
      <c r="D4315" s="76" t="s">
        <v>902</v>
      </c>
      <c r="E4315" s="79" t="s">
        <v>2030</v>
      </c>
      <c r="F4315" s="79"/>
    </row>
    <row r="4316" spans="1:6">
      <c r="A4316" s="77">
        <f t="shared" ca="1" si="451"/>
        <v>46023</v>
      </c>
      <c r="B4316" s="80">
        <f t="shared" ca="1" si="452"/>
        <v>46023.772419907407</v>
      </c>
      <c r="C4316" s="76" t="s">
        <v>664</v>
      </c>
      <c r="D4316" s="76" t="s">
        <v>902</v>
      </c>
      <c r="E4316" s="79" t="s">
        <v>932</v>
      </c>
      <c r="F4316" s="79"/>
    </row>
    <row r="4317" spans="1:6">
      <c r="A4317" s="77">
        <f t="shared" ca="1" si="451"/>
        <v>46023</v>
      </c>
      <c r="B4317" s="80">
        <f t="shared" ca="1" si="452"/>
        <v>46023.772611921297</v>
      </c>
      <c r="C4317" s="76" t="s">
        <v>664</v>
      </c>
      <c r="D4317" s="76" t="s">
        <v>902</v>
      </c>
      <c r="E4317" s="79" t="s">
        <v>2760</v>
      </c>
      <c r="F4317" s="79"/>
    </row>
    <row r="4318" spans="1:6">
      <c r="A4318" s="77">
        <f t="shared" ca="1" si="451"/>
        <v>46023</v>
      </c>
      <c r="B4318" s="80">
        <f t="shared" ca="1" si="452"/>
        <v>46023.77290358796</v>
      </c>
      <c r="C4318" s="76" t="s">
        <v>664</v>
      </c>
      <c r="D4318" s="76" t="s">
        <v>902</v>
      </c>
      <c r="E4318" s="79" t="s">
        <v>2761</v>
      </c>
      <c r="F4318" s="79"/>
    </row>
    <row r="4319" spans="1:6">
      <c r="A4319" s="77">
        <f t="shared" ca="1" si="451"/>
        <v>46023</v>
      </c>
      <c r="B4319" s="80">
        <f t="shared" ca="1" si="452"/>
        <v>46023.778898958335</v>
      </c>
      <c r="C4319" s="76" t="s">
        <v>664</v>
      </c>
      <c r="D4319" s="76" t="s">
        <v>902</v>
      </c>
      <c r="E4319" s="79" t="s">
        <v>1229</v>
      </c>
      <c r="F4319" s="79"/>
    </row>
    <row r="4320" spans="1:6">
      <c r="A4320" s="77">
        <f t="shared" ca="1" si="451"/>
        <v>46023</v>
      </c>
      <c r="B4320" s="80">
        <f t="shared" ca="1" si="452"/>
        <v>46023.792776967595</v>
      </c>
      <c r="C4320" s="76" t="s">
        <v>664</v>
      </c>
      <c r="D4320" s="76" t="s">
        <v>902</v>
      </c>
      <c r="E4320" s="79" t="s">
        <v>1734</v>
      </c>
      <c r="F4320" s="79"/>
    </row>
    <row r="4321" spans="1:7">
      <c r="A4321" s="77">
        <f t="shared" ca="1" si="451"/>
        <v>46023</v>
      </c>
      <c r="B4321" s="80">
        <f t="shared" ca="1" si="452"/>
        <v>46023.803184027776</v>
      </c>
      <c r="C4321" s="76" t="s">
        <v>664</v>
      </c>
      <c r="D4321" s="76" t="s">
        <v>902</v>
      </c>
      <c r="E4321" s="79" t="s">
        <v>2762</v>
      </c>
      <c r="F4321" s="79"/>
    </row>
    <row r="4322" spans="1:7">
      <c r="A4322" s="77">
        <f t="shared" ca="1" si="451"/>
        <v>46023</v>
      </c>
      <c r="B4322" s="80">
        <f t="shared" ca="1" si="452"/>
        <v>46023.826195254631</v>
      </c>
      <c r="C4322" s="76" t="s">
        <v>664</v>
      </c>
      <c r="D4322" s="76" t="s">
        <v>902</v>
      </c>
      <c r="E4322" s="79" t="s">
        <v>1734</v>
      </c>
      <c r="F4322" s="79"/>
    </row>
    <row r="4323" spans="1:7">
      <c r="A4323" s="77">
        <f t="shared" ca="1" si="451"/>
        <v>46023</v>
      </c>
      <c r="B4323" s="80">
        <f t="shared" ca="1" si="452"/>
        <v>46023.829011689813</v>
      </c>
      <c r="C4323" s="76" t="s">
        <v>664</v>
      </c>
      <c r="D4323" s="76" t="s">
        <v>902</v>
      </c>
      <c r="E4323" s="79" t="s">
        <v>1324</v>
      </c>
      <c r="F4323" s="79"/>
    </row>
    <row r="4324" spans="1:7">
      <c r="A4324" s="77">
        <f t="shared" ca="1" si="451"/>
        <v>46023</v>
      </c>
      <c r="B4324" s="80">
        <f t="shared" ca="1" si="452"/>
        <v>46023.830126620371</v>
      </c>
      <c r="C4324" s="76" t="s">
        <v>664</v>
      </c>
      <c r="D4324" s="76" t="s">
        <v>902</v>
      </c>
      <c r="E4324" s="79" t="s">
        <v>2763</v>
      </c>
      <c r="F4324" s="79"/>
    </row>
    <row r="4325" spans="1:7">
      <c r="A4325" s="77">
        <f t="shared" ca="1" si="451"/>
        <v>46023</v>
      </c>
      <c r="B4325" s="80">
        <f t="shared" ca="1" si="452"/>
        <v>46023.831055555558</v>
      </c>
      <c r="C4325" s="76" t="s">
        <v>664</v>
      </c>
      <c r="D4325" s="76" t="s">
        <v>902</v>
      </c>
      <c r="E4325" s="79" t="s">
        <v>932</v>
      </c>
      <c r="F4325" s="79"/>
    </row>
    <row r="4326" spans="1:7">
      <c r="A4326" s="77">
        <f t="shared" ca="1" si="451"/>
        <v>46023</v>
      </c>
      <c r="B4326" s="80">
        <f t="shared" ca="1" si="452"/>
        <v>46023.832792476853</v>
      </c>
      <c r="C4326" s="76" t="s">
        <v>664</v>
      </c>
      <c r="D4326" s="76" t="s">
        <v>902</v>
      </c>
      <c r="E4326" s="79" t="s">
        <v>2764</v>
      </c>
      <c r="F4326" s="79"/>
    </row>
    <row r="4327" spans="1:7">
      <c r="A4327" s="77">
        <f t="shared" ref="A4327:A4344" ca="1" si="453">IF(C4327&lt;&gt;0,IF(A4327=0,TODAY(),A4327),)</f>
        <v>46023</v>
      </c>
      <c r="B4327" s="80">
        <f t="shared" ref="B4327:B4344" ca="1" si="454">IF(C4327&lt;&gt;0,IF(B4327=0,NOW(),B4327),)</f>
        <v>46023.837932291666</v>
      </c>
      <c r="C4327" s="76" t="s">
        <v>664</v>
      </c>
      <c r="D4327" s="210" t="s">
        <v>922</v>
      </c>
      <c r="E4327" s="79"/>
      <c r="F4327" s="79"/>
      <c r="G4327" s="76" t="s">
        <v>2686</v>
      </c>
    </row>
    <row r="4328" spans="1:7">
      <c r="A4328" s="151">
        <f t="shared" ca="1" si="453"/>
        <v>46023</v>
      </c>
      <c r="B4328" s="149">
        <f t="shared" ca="1" si="454"/>
        <v>46023.854927546294</v>
      </c>
      <c r="C4328" s="150" t="s">
        <v>664</v>
      </c>
      <c r="D4328" s="210" t="s">
        <v>1098</v>
      </c>
      <c r="E4328" s="79"/>
      <c r="F4328" s="79"/>
      <c r="G4328" s="150" t="s">
        <v>2765</v>
      </c>
    </row>
    <row r="4329" spans="1:7">
      <c r="A4329" s="151">
        <f t="shared" ca="1" si="453"/>
        <v>46023</v>
      </c>
      <c r="B4329" s="149">
        <f t="shared" ca="1" si="454"/>
        <v>46023.928118634256</v>
      </c>
      <c r="C4329" s="150" t="s">
        <v>669</v>
      </c>
      <c r="D4329" s="210" t="s">
        <v>906</v>
      </c>
      <c r="E4329" s="79"/>
      <c r="F4329" s="79"/>
    </row>
    <row r="4330" spans="1:7">
      <c r="A4330" s="77">
        <f t="shared" ca="1" si="453"/>
        <v>46023</v>
      </c>
      <c r="B4330" s="80">
        <f t="shared" ca="1" si="454"/>
        <v>46023.958751388891</v>
      </c>
      <c r="C4330" s="76" t="s">
        <v>669</v>
      </c>
      <c r="D4330" s="76" t="s">
        <v>902</v>
      </c>
      <c r="E4330" s="79" t="s">
        <v>1697</v>
      </c>
      <c r="F4330" s="79"/>
    </row>
    <row r="4331" spans="1:7">
      <c r="A4331" s="77">
        <f t="shared" ca="1" si="453"/>
        <v>46023</v>
      </c>
      <c r="B4331" s="80">
        <f t="shared" ca="1" si="454"/>
        <v>46023.962958101853</v>
      </c>
      <c r="C4331" s="76" t="s">
        <v>669</v>
      </c>
      <c r="D4331" s="210" t="s">
        <v>909</v>
      </c>
      <c r="E4331" s="79"/>
      <c r="F4331" s="79"/>
    </row>
    <row r="4332" spans="1:7">
      <c r="A4332" s="77">
        <f t="shared" ca="1" si="453"/>
        <v>46023</v>
      </c>
      <c r="B4332" s="80">
        <f t="shared" ca="1" si="454"/>
        <v>46023.963261921293</v>
      </c>
      <c r="C4332" s="76" t="s">
        <v>669</v>
      </c>
      <c r="D4332" s="76" t="s">
        <v>902</v>
      </c>
      <c r="E4332" s="79" t="s">
        <v>1487</v>
      </c>
      <c r="F4332" s="79"/>
    </row>
    <row r="4333" spans="1:7">
      <c r="A4333" s="77">
        <f t="shared" ca="1" si="453"/>
        <v>46023</v>
      </c>
      <c r="B4333" s="80">
        <f t="shared" ca="1" si="454"/>
        <v>46023.965558449076</v>
      </c>
      <c r="C4333" s="76" t="s">
        <v>669</v>
      </c>
      <c r="D4333" s="76" t="s">
        <v>902</v>
      </c>
      <c r="E4333" s="79" t="s">
        <v>1487</v>
      </c>
      <c r="F4333" s="79"/>
    </row>
    <row r="4334" spans="1:7">
      <c r="A4334" s="77">
        <f t="shared" ca="1" si="453"/>
        <v>46023</v>
      </c>
      <c r="B4334" s="80">
        <f t="shared" ca="1" si="454"/>
        <v>46023.96567326389</v>
      </c>
      <c r="C4334" s="76" t="s">
        <v>669</v>
      </c>
      <c r="D4334" s="76" t="s">
        <v>902</v>
      </c>
      <c r="E4334" s="79" t="s">
        <v>1324</v>
      </c>
      <c r="F4334" s="79"/>
    </row>
    <row r="4335" spans="1:7">
      <c r="A4335" s="77">
        <f t="shared" ca="1" si="453"/>
        <v>46023</v>
      </c>
      <c r="B4335" s="80">
        <f t="shared" ca="1" si="454"/>
        <v>46023.966654976852</v>
      </c>
      <c r="C4335" s="76" t="s">
        <v>669</v>
      </c>
      <c r="D4335" s="76" t="s">
        <v>902</v>
      </c>
      <c r="E4335" s="79" t="s">
        <v>1311</v>
      </c>
      <c r="F4335" s="79"/>
    </row>
    <row r="4336" spans="1:7">
      <c r="A4336" s="77">
        <f t="shared" ca="1" si="453"/>
        <v>46023</v>
      </c>
      <c r="B4336" s="80">
        <f t="shared" ca="1" si="454"/>
        <v>46023.967581597222</v>
      </c>
      <c r="C4336" s="76" t="s">
        <v>669</v>
      </c>
      <c r="D4336" s="76" t="s">
        <v>902</v>
      </c>
      <c r="E4336" s="79" t="s">
        <v>1487</v>
      </c>
      <c r="F4336" s="79"/>
    </row>
    <row r="4337" spans="1:7">
      <c r="A4337" s="77">
        <f t="shared" ca="1" si="453"/>
        <v>46023</v>
      </c>
      <c r="B4337" s="80">
        <f t="shared" ca="1" si="454"/>
        <v>46023.967767361108</v>
      </c>
      <c r="C4337" s="76" t="s">
        <v>669</v>
      </c>
      <c r="D4337" s="76" t="s">
        <v>902</v>
      </c>
      <c r="E4337" s="79" t="s">
        <v>1311</v>
      </c>
      <c r="F4337" s="79"/>
    </row>
    <row r="4338" spans="1:7">
      <c r="A4338" s="77">
        <f t="shared" ca="1" si="453"/>
        <v>46023</v>
      </c>
      <c r="B4338" s="80">
        <f t="shared" ca="1" si="454"/>
        <v>46023.969823842592</v>
      </c>
      <c r="C4338" s="76" t="s">
        <v>669</v>
      </c>
      <c r="D4338" s="76" t="s">
        <v>902</v>
      </c>
      <c r="E4338" s="79" t="s">
        <v>1487</v>
      </c>
      <c r="F4338" s="79"/>
    </row>
    <row r="4339" spans="1:7">
      <c r="A4339" s="77">
        <f t="shared" ca="1" si="453"/>
        <v>46023</v>
      </c>
      <c r="B4339" s="80">
        <f t="shared" ca="1" si="454"/>
        <v>46023.969986342592</v>
      </c>
      <c r="C4339" s="76" t="s">
        <v>669</v>
      </c>
      <c r="D4339" s="76" t="s">
        <v>902</v>
      </c>
      <c r="E4339" s="79" t="s">
        <v>1311</v>
      </c>
      <c r="F4339" s="79"/>
    </row>
    <row r="4340" spans="1:7">
      <c r="A4340" s="77">
        <f t="shared" ca="1" si="453"/>
        <v>46023</v>
      </c>
      <c r="B4340" s="80">
        <f t="shared" ca="1" si="454"/>
        <v>46023.970264467593</v>
      </c>
      <c r="C4340" s="76" t="s">
        <v>669</v>
      </c>
      <c r="D4340" s="76" t="s">
        <v>902</v>
      </c>
      <c r="E4340" s="79" t="s">
        <v>1487</v>
      </c>
      <c r="F4340" s="79"/>
    </row>
    <row r="4341" spans="1:7">
      <c r="A4341" s="77">
        <f t="shared" ca="1" si="453"/>
        <v>46023</v>
      </c>
      <c r="B4341" s="80">
        <f t="shared" ca="1" si="454"/>
        <v>46023.970605902781</v>
      </c>
      <c r="C4341" s="76" t="s">
        <v>669</v>
      </c>
      <c r="D4341" s="76" t="s">
        <v>902</v>
      </c>
      <c r="E4341" s="79" t="s">
        <v>1487</v>
      </c>
      <c r="F4341" s="79"/>
    </row>
    <row r="4342" spans="1:7">
      <c r="A4342" s="77">
        <f t="shared" ca="1" si="453"/>
        <v>46023</v>
      </c>
      <c r="B4342" s="80">
        <f t="shared" ca="1" si="454"/>
        <v>46023.970658217593</v>
      </c>
      <c r="C4342" s="76" t="s">
        <v>669</v>
      </c>
      <c r="D4342" s="76" t="s">
        <v>902</v>
      </c>
      <c r="E4342" s="79" t="s">
        <v>1487</v>
      </c>
      <c r="F4342" s="79"/>
    </row>
    <row r="4343" spans="1:7">
      <c r="A4343" s="77">
        <f t="shared" ca="1" si="453"/>
        <v>46023</v>
      </c>
      <c r="B4343" s="80">
        <f t="shared" ca="1" si="454"/>
        <v>46023.970806365738</v>
      </c>
      <c r="C4343" s="76" t="s">
        <v>669</v>
      </c>
      <c r="D4343" s="76" t="s">
        <v>902</v>
      </c>
      <c r="E4343" s="79" t="s">
        <v>1487</v>
      </c>
      <c r="F4343" s="79"/>
    </row>
    <row r="4344" spans="1:7">
      <c r="A4344" s="77">
        <f t="shared" ca="1" si="453"/>
        <v>46023</v>
      </c>
      <c r="B4344" s="80">
        <f t="shared" ca="1" si="454"/>
        <v>46023.9715818287</v>
      </c>
      <c r="C4344" s="76" t="s">
        <v>669</v>
      </c>
      <c r="D4344" s="76" t="s">
        <v>902</v>
      </c>
      <c r="E4344" s="79" t="s">
        <v>1311</v>
      </c>
      <c r="F4344" s="79"/>
    </row>
    <row r="4345" spans="1:7">
      <c r="A4345" s="77">
        <f t="shared" ref="A4345:A4371" ca="1" si="455">IF(C4345&lt;&gt;0,IF(A4345=0,TODAY(),A4345),)</f>
        <v>46023</v>
      </c>
      <c r="B4345" s="80">
        <f t="shared" ref="B4345:B4371" ca="1" si="456">IF(C4345&lt;&gt;0,IF(B4345=0,NOW(),B4345),)</f>
        <v>46023.97304409722</v>
      </c>
      <c r="C4345" s="76" t="s">
        <v>669</v>
      </c>
      <c r="D4345" s="76" t="s">
        <v>902</v>
      </c>
      <c r="E4345" s="79" t="s">
        <v>997</v>
      </c>
      <c r="F4345" s="79"/>
    </row>
    <row r="4346" spans="1:7">
      <c r="A4346" s="77">
        <f t="shared" ca="1" si="455"/>
        <v>46024</v>
      </c>
      <c r="B4346" s="80">
        <f t="shared" ca="1" si="456"/>
        <v>46024.001106018521</v>
      </c>
      <c r="C4346" s="76" t="s">
        <v>669</v>
      </c>
      <c r="D4346" s="76" t="s">
        <v>902</v>
      </c>
      <c r="E4346" s="79" t="s">
        <v>1311</v>
      </c>
      <c r="F4346" s="79"/>
    </row>
    <row r="4347" spans="1:7">
      <c r="A4347" s="77">
        <f t="shared" ca="1" si="455"/>
        <v>46024</v>
      </c>
      <c r="B4347" s="80">
        <f t="shared" ca="1" si="456"/>
        <v>46024.005014236114</v>
      </c>
      <c r="C4347" s="76" t="s">
        <v>669</v>
      </c>
      <c r="D4347" s="76" t="s">
        <v>902</v>
      </c>
      <c r="E4347" s="79" t="s">
        <v>1324</v>
      </c>
      <c r="F4347" s="79"/>
    </row>
    <row r="4348" spans="1:7">
      <c r="A4348" s="77">
        <f t="shared" ca="1" si="455"/>
        <v>46024</v>
      </c>
      <c r="B4348" s="80">
        <f t="shared" ca="1" si="456"/>
        <v>46024.006168171298</v>
      </c>
      <c r="C4348" s="76" t="s">
        <v>669</v>
      </c>
      <c r="D4348" s="76" t="s">
        <v>902</v>
      </c>
      <c r="E4348" s="79" t="s">
        <v>2766</v>
      </c>
      <c r="F4348" s="79"/>
    </row>
    <row r="4349" spans="1:7">
      <c r="A4349" s="77">
        <f t="shared" ca="1" si="455"/>
        <v>46024</v>
      </c>
      <c r="B4349" s="80">
        <f t="shared" ca="1" si="456"/>
        <v>46024.01843275463</v>
      </c>
      <c r="C4349" s="76" t="s">
        <v>669</v>
      </c>
      <c r="D4349" s="76" t="s">
        <v>902</v>
      </c>
      <c r="E4349" s="79" t="s">
        <v>1697</v>
      </c>
      <c r="F4349" s="79"/>
    </row>
    <row r="4350" spans="1:7">
      <c r="A4350" s="77">
        <f t="shared" ca="1" si="455"/>
        <v>46024</v>
      </c>
      <c r="B4350" s="80">
        <f t="shared" ca="1" si="456"/>
        <v>46024.025618749998</v>
      </c>
      <c r="C4350" s="76" t="s">
        <v>669</v>
      </c>
      <c r="D4350" s="150" t="s">
        <v>1070</v>
      </c>
      <c r="E4350" s="79" t="s">
        <v>2767</v>
      </c>
      <c r="F4350" s="79"/>
      <c r="G4350" s="76" t="s">
        <v>2768</v>
      </c>
    </row>
    <row r="4351" spans="1:7">
      <c r="A4351" s="77">
        <f t="shared" ca="1" si="455"/>
        <v>46024</v>
      </c>
      <c r="B4351" s="80">
        <f t="shared" ca="1" si="456"/>
        <v>46024.030570949071</v>
      </c>
      <c r="C4351" s="76" t="s">
        <v>669</v>
      </c>
      <c r="D4351" s="150" t="s">
        <v>1070</v>
      </c>
      <c r="E4351" s="79" t="s">
        <v>2769</v>
      </c>
      <c r="F4351" s="79"/>
    </row>
    <row r="4352" spans="1:7">
      <c r="A4352" s="77">
        <f t="shared" ca="1" si="455"/>
        <v>46024</v>
      </c>
      <c r="B4352" s="80">
        <f t="shared" ca="1" si="456"/>
        <v>46024.035200694445</v>
      </c>
      <c r="C4352" s="76" t="s">
        <v>669</v>
      </c>
      <c r="D4352" s="76" t="s">
        <v>902</v>
      </c>
      <c r="E4352" s="79" t="s">
        <v>1324</v>
      </c>
      <c r="F4352" s="79"/>
    </row>
    <row r="4353" spans="1:7">
      <c r="A4353" s="77">
        <f t="shared" ca="1" si="455"/>
        <v>46024</v>
      </c>
      <c r="B4353" s="80">
        <f t="shared" ca="1" si="456"/>
        <v>46024.04118472222</v>
      </c>
      <c r="C4353" s="76" t="s">
        <v>669</v>
      </c>
      <c r="D4353" s="76" t="s">
        <v>902</v>
      </c>
      <c r="E4353" s="79" t="s">
        <v>1487</v>
      </c>
      <c r="F4353" s="79"/>
    </row>
    <row r="4354" spans="1:7">
      <c r="A4354" s="77">
        <f t="shared" ca="1" si="455"/>
        <v>46024</v>
      </c>
      <c r="B4354" s="80">
        <f t="shared" ca="1" si="456"/>
        <v>46024.042882754627</v>
      </c>
      <c r="C4354" s="76" t="s">
        <v>669</v>
      </c>
      <c r="D4354" s="76" t="s">
        <v>902</v>
      </c>
      <c r="E4354" s="79" t="s">
        <v>2766</v>
      </c>
      <c r="F4354" s="79"/>
    </row>
    <row r="4355" spans="1:7">
      <c r="A4355" s="77">
        <f t="shared" ca="1" si="455"/>
        <v>46024</v>
      </c>
      <c r="B4355" s="80">
        <f t="shared" ca="1" si="456"/>
        <v>46024.052523495367</v>
      </c>
      <c r="C4355" s="76" t="s">
        <v>669</v>
      </c>
      <c r="D4355" s="210" t="s">
        <v>922</v>
      </c>
      <c r="E4355" s="79"/>
      <c r="F4355" s="79"/>
      <c r="G4355" s="76" t="s">
        <v>2686</v>
      </c>
    </row>
    <row r="4356" spans="1:7">
      <c r="A4356" s="151">
        <f t="shared" ca="1" si="455"/>
        <v>46024</v>
      </c>
      <c r="B4356" s="149">
        <f t="shared" ca="1" si="456"/>
        <v>46024.082488773151</v>
      </c>
      <c r="C4356" s="150" t="s">
        <v>669</v>
      </c>
      <c r="D4356" s="210" t="s">
        <v>1098</v>
      </c>
      <c r="E4356" s="79"/>
      <c r="F4356" s="79"/>
      <c r="G4356" s="150" t="s">
        <v>2770</v>
      </c>
    </row>
    <row r="4357" spans="1:7">
      <c r="A4357" s="151">
        <f t="shared" ca="1" si="455"/>
        <v>46024</v>
      </c>
      <c r="B4357" s="149">
        <f t="shared" ca="1" si="456"/>
        <v>46024.150822453703</v>
      </c>
      <c r="C4357" s="150" t="s">
        <v>673</v>
      </c>
      <c r="D4357" s="210" t="s">
        <v>906</v>
      </c>
      <c r="E4357" s="79"/>
      <c r="F4357" s="79"/>
    </row>
    <row r="4358" spans="1:7">
      <c r="A4358" s="77">
        <f t="shared" ca="1" si="455"/>
        <v>46024</v>
      </c>
      <c r="B4358" s="80">
        <f t="shared" ca="1" si="456"/>
        <v>46024.196420370368</v>
      </c>
      <c r="C4358" s="76" t="s">
        <v>673</v>
      </c>
      <c r="D4358" s="76" t="s">
        <v>902</v>
      </c>
      <c r="E4358" s="79" t="s">
        <v>2072</v>
      </c>
      <c r="F4358" s="79"/>
    </row>
    <row r="4359" spans="1:7">
      <c r="A4359" s="77">
        <f t="shared" ca="1" si="455"/>
        <v>46024</v>
      </c>
      <c r="B4359" s="80">
        <f t="shared" ca="1" si="456"/>
        <v>46024.196869444444</v>
      </c>
      <c r="C4359" s="76" t="s">
        <v>673</v>
      </c>
      <c r="D4359" s="210" t="s">
        <v>909</v>
      </c>
      <c r="E4359" s="79"/>
      <c r="F4359" s="79"/>
    </row>
    <row r="4360" spans="1:7">
      <c r="A4360" s="77">
        <f t="shared" ca="1" si="455"/>
        <v>46024</v>
      </c>
      <c r="B4360" s="80">
        <f t="shared" ca="1" si="456"/>
        <v>46024.196966550924</v>
      </c>
      <c r="C4360" s="76" t="s">
        <v>673</v>
      </c>
      <c r="D4360" s="76" t="s">
        <v>902</v>
      </c>
      <c r="E4360" s="79" t="s">
        <v>997</v>
      </c>
      <c r="F4360" s="79"/>
    </row>
    <row r="4361" spans="1:7">
      <c r="A4361" s="77">
        <f t="shared" ca="1" si="455"/>
        <v>46024</v>
      </c>
      <c r="B4361" s="80">
        <f t="shared" ca="1" si="456"/>
        <v>46024.197130902779</v>
      </c>
      <c r="C4361" s="76" t="s">
        <v>673</v>
      </c>
      <c r="D4361" s="76" t="s">
        <v>902</v>
      </c>
      <c r="E4361" s="79" t="s">
        <v>997</v>
      </c>
      <c r="F4361" s="79"/>
    </row>
    <row r="4362" spans="1:7">
      <c r="A4362" s="77">
        <f t="shared" ca="1" si="455"/>
        <v>46024</v>
      </c>
      <c r="B4362" s="80">
        <f t="shared" ca="1" si="456"/>
        <v>46024.197623842592</v>
      </c>
      <c r="C4362" s="76" t="s">
        <v>673</v>
      </c>
      <c r="D4362" s="76" t="s">
        <v>902</v>
      </c>
      <c r="E4362" s="79" t="s">
        <v>997</v>
      </c>
      <c r="F4362" s="79"/>
    </row>
    <row r="4363" spans="1:7">
      <c r="A4363" s="77">
        <f t="shared" ca="1" si="455"/>
        <v>46024</v>
      </c>
      <c r="B4363" s="80">
        <f t="shared" ca="1" si="456"/>
        <v>46024.197787037039</v>
      </c>
      <c r="C4363" s="76" t="s">
        <v>673</v>
      </c>
      <c r="D4363" s="76" t="s">
        <v>902</v>
      </c>
      <c r="E4363" s="79" t="s">
        <v>1487</v>
      </c>
      <c r="F4363" s="79"/>
    </row>
    <row r="4364" spans="1:7">
      <c r="A4364" s="77">
        <f t="shared" ca="1" si="455"/>
        <v>46024</v>
      </c>
      <c r="B4364" s="80">
        <f t="shared" ca="1" si="456"/>
        <v>46024.200343518518</v>
      </c>
      <c r="C4364" s="76" t="s">
        <v>673</v>
      </c>
      <c r="D4364" s="76" t="s">
        <v>902</v>
      </c>
      <c r="E4364" s="79" t="s">
        <v>1504</v>
      </c>
      <c r="F4364" s="79"/>
    </row>
    <row r="4365" spans="1:7">
      <c r="A4365" s="77">
        <f t="shared" ca="1" si="455"/>
        <v>46024</v>
      </c>
      <c r="B4365" s="80">
        <f t="shared" ca="1" si="456"/>
        <v>46024.200454050922</v>
      </c>
      <c r="C4365" s="76" t="s">
        <v>673</v>
      </c>
      <c r="D4365" s="76" t="s">
        <v>902</v>
      </c>
      <c r="E4365" s="79" t="s">
        <v>2771</v>
      </c>
      <c r="F4365" s="79"/>
    </row>
    <row r="4366" spans="1:7">
      <c r="A4366" s="77">
        <f t="shared" ca="1" si="455"/>
        <v>46024</v>
      </c>
      <c r="B4366" s="80">
        <f t="shared" ca="1" si="456"/>
        <v>46024.201122453705</v>
      </c>
      <c r="C4366" s="76" t="s">
        <v>673</v>
      </c>
      <c r="D4366" s="76" t="s">
        <v>902</v>
      </c>
      <c r="E4366" s="79" t="s">
        <v>1487</v>
      </c>
      <c r="F4366" s="79"/>
    </row>
    <row r="4367" spans="1:7">
      <c r="A4367" s="77">
        <f t="shared" ca="1" si="455"/>
        <v>46024</v>
      </c>
      <c r="B4367" s="80">
        <f t="shared" ca="1" si="456"/>
        <v>46024.207777314812</v>
      </c>
      <c r="C4367" s="76" t="s">
        <v>673</v>
      </c>
      <c r="D4367" s="76" t="s">
        <v>902</v>
      </c>
      <c r="E4367" s="79" t="s">
        <v>911</v>
      </c>
      <c r="F4367" s="79"/>
    </row>
    <row r="4368" spans="1:7">
      <c r="A4368" s="77">
        <f t="shared" ca="1" si="455"/>
        <v>46024</v>
      </c>
      <c r="B4368" s="80">
        <f t="shared" ca="1" si="456"/>
        <v>46024.208244444446</v>
      </c>
      <c r="C4368" s="76" t="s">
        <v>673</v>
      </c>
      <c r="D4368" s="76" t="s">
        <v>902</v>
      </c>
      <c r="E4368" s="79" t="s">
        <v>2772</v>
      </c>
      <c r="F4368" s="79"/>
    </row>
    <row r="4369" spans="1:6">
      <c r="A4369" s="77">
        <f t="shared" ca="1" si="455"/>
        <v>46024</v>
      </c>
      <c r="B4369" s="80">
        <f t="shared" ca="1" si="456"/>
        <v>46024.213703009256</v>
      </c>
      <c r="C4369" s="76" t="s">
        <v>673</v>
      </c>
      <c r="D4369" s="150" t="s">
        <v>1007</v>
      </c>
      <c r="E4369" s="79" t="s">
        <v>2773</v>
      </c>
      <c r="F4369" s="79"/>
    </row>
    <row r="4370" spans="1:6">
      <c r="A4370" s="77">
        <f t="shared" ca="1" si="455"/>
        <v>46024</v>
      </c>
      <c r="B4370" s="80">
        <f t="shared" ca="1" si="456"/>
        <v>46024.218888078707</v>
      </c>
      <c r="C4370" s="76" t="s">
        <v>673</v>
      </c>
      <c r="D4370" s="76" t="s">
        <v>902</v>
      </c>
      <c r="E4370" s="79" t="s">
        <v>1697</v>
      </c>
      <c r="F4370" s="79"/>
    </row>
    <row r="4371" spans="1:6">
      <c r="A4371" s="77">
        <f t="shared" ca="1" si="455"/>
        <v>46024</v>
      </c>
      <c r="B4371" s="80">
        <f t="shared" ca="1" si="456"/>
        <v>46024.220543402778</v>
      </c>
      <c r="C4371" s="76" t="s">
        <v>673</v>
      </c>
      <c r="D4371" s="76" t="s">
        <v>902</v>
      </c>
      <c r="E4371" s="79" t="s">
        <v>2774</v>
      </c>
      <c r="F4371" s="79"/>
    </row>
    <row r="4372" spans="1:6">
      <c r="A4372" s="77">
        <f t="shared" ref="A4372:A4392" ca="1" si="457">IF(C4372&lt;&gt;0,IF(A4372=0,TODAY(),A4372),)</f>
        <v>46024</v>
      </c>
      <c r="B4372" s="80">
        <f t="shared" ref="B4372:B4392" ca="1" si="458">IF(C4372&lt;&gt;0,IF(B4372=0,NOW(),B4372),)</f>
        <v>46024.222183101854</v>
      </c>
      <c r="C4372" s="76" t="s">
        <v>673</v>
      </c>
      <c r="D4372" s="76" t="s">
        <v>902</v>
      </c>
      <c r="E4372" s="79" t="s">
        <v>932</v>
      </c>
      <c r="F4372" s="79"/>
    </row>
    <row r="4373" spans="1:6">
      <c r="A4373" s="77">
        <f t="shared" ca="1" si="457"/>
        <v>46024</v>
      </c>
      <c r="B4373" s="80">
        <f t="shared" ca="1" si="458"/>
        <v>46024.222778124997</v>
      </c>
      <c r="C4373" s="76" t="s">
        <v>673</v>
      </c>
      <c r="D4373" s="76" t="s">
        <v>902</v>
      </c>
      <c r="E4373" s="79" t="s">
        <v>2775</v>
      </c>
      <c r="F4373" s="79"/>
    </row>
    <row r="4374" spans="1:6">
      <c r="A4374" s="77">
        <f t="shared" ca="1" si="457"/>
        <v>46024</v>
      </c>
      <c r="B4374" s="80">
        <f t="shared" ca="1" si="458"/>
        <v>46024.223920949073</v>
      </c>
      <c r="C4374" s="76" t="s">
        <v>673</v>
      </c>
      <c r="D4374" s="76" t="s">
        <v>902</v>
      </c>
      <c r="E4374" s="79" t="s">
        <v>1336</v>
      </c>
      <c r="F4374" s="79"/>
    </row>
    <row r="4375" spans="1:6">
      <c r="A4375" s="77">
        <f t="shared" ca="1" si="457"/>
        <v>46024</v>
      </c>
      <c r="B4375" s="80">
        <f t="shared" ca="1" si="458"/>
        <v>46024.22416701389</v>
      </c>
      <c r="C4375" s="76" t="s">
        <v>673</v>
      </c>
      <c r="D4375" s="76" t="s">
        <v>902</v>
      </c>
      <c r="E4375" s="79" t="s">
        <v>2776</v>
      </c>
      <c r="F4375" s="79"/>
    </row>
    <row r="4376" spans="1:6">
      <c r="A4376" s="77">
        <f t="shared" ca="1" si="457"/>
        <v>46024</v>
      </c>
      <c r="B4376" s="80">
        <f t="shared" ca="1" si="458"/>
        <v>46024.225784490744</v>
      </c>
      <c r="C4376" s="76" t="s">
        <v>673</v>
      </c>
      <c r="D4376" s="76" t="s">
        <v>902</v>
      </c>
      <c r="E4376" s="79" t="s">
        <v>2772</v>
      </c>
      <c r="F4376" s="79"/>
    </row>
    <row r="4377" spans="1:6">
      <c r="A4377" s="77">
        <f t="shared" ca="1" si="457"/>
        <v>46024</v>
      </c>
      <c r="B4377" s="80">
        <f t="shared" ca="1" si="458"/>
        <v>46024.226978009261</v>
      </c>
      <c r="C4377" s="76" t="s">
        <v>673</v>
      </c>
      <c r="D4377" s="76" t="s">
        <v>902</v>
      </c>
      <c r="E4377" s="79" t="s">
        <v>1487</v>
      </c>
      <c r="F4377" s="79"/>
    </row>
    <row r="4378" spans="1:6">
      <c r="A4378" s="77">
        <f t="shared" ca="1" si="457"/>
        <v>46024</v>
      </c>
      <c r="B4378" s="80">
        <f t="shared" ca="1" si="458"/>
        <v>46024.235067824076</v>
      </c>
      <c r="C4378" s="76" t="s">
        <v>673</v>
      </c>
      <c r="D4378" s="76" t="s">
        <v>902</v>
      </c>
      <c r="E4378" s="79" t="s">
        <v>1487</v>
      </c>
      <c r="F4378" s="79"/>
    </row>
    <row r="4379" spans="1:6">
      <c r="A4379" s="77">
        <f t="shared" ca="1" si="457"/>
        <v>46024</v>
      </c>
      <c r="B4379" s="80">
        <f t="shared" ca="1" si="458"/>
        <v>46024.235356597223</v>
      </c>
      <c r="C4379" s="76" t="s">
        <v>673</v>
      </c>
      <c r="D4379" s="150" t="s">
        <v>1007</v>
      </c>
      <c r="E4379" s="79" t="s">
        <v>2777</v>
      </c>
      <c r="F4379" s="79"/>
    </row>
    <row r="4380" spans="1:6">
      <c r="A4380" s="77">
        <f t="shared" ca="1" si="457"/>
        <v>46024</v>
      </c>
      <c r="B4380" s="80">
        <f t="shared" ca="1" si="458"/>
        <v>46024.236609837964</v>
      </c>
      <c r="C4380" s="76" t="s">
        <v>673</v>
      </c>
      <c r="D4380" s="76" t="s">
        <v>902</v>
      </c>
      <c r="E4380" s="79" t="s">
        <v>2772</v>
      </c>
      <c r="F4380" s="79"/>
    </row>
    <row r="4381" spans="1:6">
      <c r="A4381" s="77">
        <f t="shared" ca="1" si="457"/>
        <v>46024</v>
      </c>
      <c r="B4381" s="80">
        <f t="shared" ca="1" si="458"/>
        <v>46024.237733912036</v>
      </c>
      <c r="C4381" s="76" t="s">
        <v>673</v>
      </c>
      <c r="D4381" s="76" t="s">
        <v>902</v>
      </c>
      <c r="E4381" s="79" t="s">
        <v>2772</v>
      </c>
      <c r="F4381" s="79"/>
    </row>
    <row r="4382" spans="1:6">
      <c r="A4382" s="77">
        <f t="shared" ca="1" si="457"/>
        <v>46024</v>
      </c>
      <c r="B4382" s="80">
        <f t="shared" ca="1" si="458"/>
        <v>46024.238446643518</v>
      </c>
      <c r="C4382" s="76" t="s">
        <v>673</v>
      </c>
      <c r="D4382" s="76" t="s">
        <v>902</v>
      </c>
      <c r="E4382" s="79" t="s">
        <v>2772</v>
      </c>
      <c r="F4382" s="79"/>
    </row>
    <row r="4383" spans="1:6">
      <c r="A4383" s="77">
        <f t="shared" ca="1" si="457"/>
        <v>46024</v>
      </c>
      <c r="B4383" s="80">
        <f t="shared" ca="1" si="458"/>
        <v>46024.238504745372</v>
      </c>
      <c r="C4383" s="76" t="s">
        <v>673</v>
      </c>
      <c r="D4383" s="76" t="s">
        <v>902</v>
      </c>
      <c r="E4383" s="79" t="s">
        <v>955</v>
      </c>
      <c r="F4383" s="79"/>
    </row>
    <row r="4384" spans="1:6">
      <c r="A4384" s="77">
        <f t="shared" ca="1" si="457"/>
        <v>46024</v>
      </c>
      <c r="B4384" s="80">
        <f t="shared" ca="1" si="458"/>
        <v>46024.238863425926</v>
      </c>
      <c r="C4384" s="76" t="s">
        <v>673</v>
      </c>
      <c r="D4384" s="76" t="s">
        <v>902</v>
      </c>
      <c r="E4384" s="79" t="s">
        <v>1487</v>
      </c>
      <c r="F4384" s="79"/>
    </row>
    <row r="4385" spans="1:6">
      <c r="A4385" s="77">
        <f t="shared" ca="1" si="457"/>
        <v>46024</v>
      </c>
      <c r="B4385" s="80">
        <f t="shared" ca="1" si="458"/>
        <v>46024.239442939812</v>
      </c>
      <c r="C4385" s="76" t="s">
        <v>673</v>
      </c>
      <c r="D4385" s="76" t="s">
        <v>902</v>
      </c>
      <c r="E4385" s="79" t="s">
        <v>2772</v>
      </c>
      <c r="F4385" s="79"/>
    </row>
    <row r="4386" spans="1:6">
      <c r="A4386" s="77">
        <f t="shared" ca="1" si="457"/>
        <v>46024</v>
      </c>
      <c r="B4386" s="80">
        <f t="shared" ca="1" si="458"/>
        <v>46024.240163657407</v>
      </c>
      <c r="C4386" s="76" t="s">
        <v>673</v>
      </c>
      <c r="D4386" s="76" t="s">
        <v>902</v>
      </c>
      <c r="E4386" s="79" t="s">
        <v>2772</v>
      </c>
      <c r="F4386" s="79"/>
    </row>
    <row r="4387" spans="1:6">
      <c r="A4387" s="77">
        <f t="shared" ca="1" si="457"/>
        <v>46024</v>
      </c>
      <c r="B4387" s="80">
        <f t="shared" ca="1" si="458"/>
        <v>46024.241620138891</v>
      </c>
      <c r="C4387" s="76" t="s">
        <v>673</v>
      </c>
      <c r="D4387" s="76" t="s">
        <v>902</v>
      </c>
      <c r="E4387" s="79" t="s">
        <v>932</v>
      </c>
      <c r="F4387" s="79"/>
    </row>
    <row r="4388" spans="1:6">
      <c r="A4388" s="77">
        <f t="shared" ca="1" si="457"/>
        <v>46024</v>
      </c>
      <c r="B4388" s="80">
        <f t="shared" ca="1" si="458"/>
        <v>46024.242267592592</v>
      </c>
      <c r="C4388" s="76" t="s">
        <v>673</v>
      </c>
      <c r="D4388" s="76" t="s">
        <v>902</v>
      </c>
      <c r="E4388" s="79" t="s">
        <v>2778</v>
      </c>
      <c r="F4388" s="79"/>
    </row>
    <row r="4389" spans="1:6">
      <c r="A4389" s="77">
        <f t="shared" ca="1" si="457"/>
        <v>46024</v>
      </c>
      <c r="B4389" s="80">
        <f t="shared" ca="1" si="458"/>
        <v>46024.244956944443</v>
      </c>
      <c r="C4389" s="76" t="s">
        <v>673</v>
      </c>
      <c r="D4389" s="76" t="s">
        <v>902</v>
      </c>
      <c r="E4389" s="79" t="s">
        <v>942</v>
      </c>
      <c r="F4389" s="79"/>
    </row>
    <row r="4390" spans="1:6">
      <c r="A4390" s="77">
        <f t="shared" ca="1" si="457"/>
        <v>46024</v>
      </c>
      <c r="B4390" s="80">
        <f t="shared" ca="1" si="458"/>
        <v>46024.254588310185</v>
      </c>
      <c r="C4390" s="76" t="s">
        <v>673</v>
      </c>
      <c r="D4390" s="76" t="s">
        <v>902</v>
      </c>
      <c r="E4390" s="79" t="s">
        <v>2779</v>
      </c>
      <c r="F4390" s="79"/>
    </row>
    <row r="4391" spans="1:6">
      <c r="A4391" s="77">
        <f t="shared" ca="1" si="457"/>
        <v>46024</v>
      </c>
      <c r="B4391" s="80">
        <f t="shared" ca="1" si="458"/>
        <v>46024.25612337963</v>
      </c>
      <c r="C4391" s="76" t="s">
        <v>673</v>
      </c>
      <c r="D4391" s="76" t="s">
        <v>902</v>
      </c>
      <c r="E4391" s="79" t="s">
        <v>2780</v>
      </c>
      <c r="F4391" s="79"/>
    </row>
    <row r="4392" spans="1:6">
      <c r="A4392" s="77">
        <f t="shared" ca="1" si="457"/>
        <v>46024</v>
      </c>
      <c r="B4392" s="80">
        <f t="shared" ca="1" si="458"/>
        <v>46024.268192013886</v>
      </c>
      <c r="C4392" s="76" t="s">
        <v>673</v>
      </c>
      <c r="D4392" s="76" t="s">
        <v>902</v>
      </c>
      <c r="E4392" s="79" t="s">
        <v>985</v>
      </c>
      <c r="F4392" s="79"/>
    </row>
    <row r="4393" spans="1:6">
      <c r="A4393" s="77">
        <f t="shared" ref="A4393:A4414" ca="1" si="459">IF(C4393&lt;&gt;0,IF(A4393=0,TODAY(),A4393),)</f>
        <v>46024</v>
      </c>
      <c r="B4393" s="80">
        <f t="shared" ref="B4393:B4414" ca="1" si="460">IF(C4393&lt;&gt;0,IF(B4393=0,NOW(),B4393),)</f>
        <v>46024.270013078705</v>
      </c>
      <c r="C4393" s="76" t="s">
        <v>673</v>
      </c>
      <c r="D4393" s="76" t="s">
        <v>902</v>
      </c>
      <c r="E4393" s="79" t="s">
        <v>2781</v>
      </c>
      <c r="F4393" s="79"/>
    </row>
    <row r="4394" spans="1:6">
      <c r="A4394" s="77">
        <f t="shared" ca="1" si="459"/>
        <v>46024</v>
      </c>
      <c r="B4394" s="80">
        <f t="shared" ca="1" si="460"/>
        <v>46024.283744328706</v>
      </c>
      <c r="C4394" s="76" t="s">
        <v>673</v>
      </c>
      <c r="D4394" s="150" t="s">
        <v>1007</v>
      </c>
      <c r="E4394" s="79" t="s">
        <v>2782</v>
      </c>
      <c r="F4394" s="79"/>
    </row>
    <row r="4395" spans="1:6">
      <c r="A4395" s="77">
        <f t="shared" ca="1" si="459"/>
        <v>46024</v>
      </c>
      <c r="B4395" s="80">
        <f t="shared" ca="1" si="460"/>
        <v>46024.291792476855</v>
      </c>
      <c r="C4395" s="76" t="s">
        <v>673</v>
      </c>
      <c r="D4395" s="76" t="s">
        <v>902</v>
      </c>
      <c r="E4395" s="79" t="s">
        <v>955</v>
      </c>
      <c r="F4395" s="79"/>
    </row>
    <row r="4396" spans="1:6">
      <c r="A4396" s="77">
        <f t="shared" ca="1" si="459"/>
        <v>46024</v>
      </c>
      <c r="B4396" s="80">
        <f t="shared" ca="1" si="460"/>
        <v>46024.296768287037</v>
      </c>
      <c r="C4396" s="76" t="s">
        <v>673</v>
      </c>
      <c r="D4396" s="76" t="s">
        <v>902</v>
      </c>
      <c r="E4396" s="79" t="s">
        <v>2783</v>
      </c>
      <c r="F4396" s="79"/>
    </row>
    <row r="4397" spans="1:6">
      <c r="A4397" s="77">
        <f t="shared" ca="1" si="459"/>
        <v>46024</v>
      </c>
      <c r="B4397" s="80">
        <f t="shared" ca="1" si="460"/>
        <v>46024.303805439813</v>
      </c>
      <c r="C4397" s="76" t="s">
        <v>673</v>
      </c>
      <c r="D4397" s="76" t="s">
        <v>902</v>
      </c>
      <c r="E4397" s="79" t="s">
        <v>1504</v>
      </c>
      <c r="F4397" s="79"/>
    </row>
    <row r="4398" spans="1:6">
      <c r="A4398" s="77">
        <f t="shared" ca="1" si="459"/>
        <v>46024</v>
      </c>
      <c r="B4398" s="80">
        <f t="shared" ca="1" si="460"/>
        <v>46024.310553240743</v>
      </c>
      <c r="C4398" s="76" t="s">
        <v>673</v>
      </c>
      <c r="D4398" s="76" t="s">
        <v>902</v>
      </c>
      <c r="E4398" s="79" t="s">
        <v>1324</v>
      </c>
      <c r="F4398" s="79"/>
    </row>
    <row r="4399" spans="1:6">
      <c r="A4399" s="77">
        <f t="shared" ca="1" si="459"/>
        <v>46024</v>
      </c>
      <c r="B4399" s="80">
        <f t="shared" ca="1" si="460"/>
        <v>46024.326965972221</v>
      </c>
      <c r="C4399" s="76" t="s">
        <v>673</v>
      </c>
      <c r="D4399" s="76" t="s">
        <v>902</v>
      </c>
      <c r="E4399" s="79" t="s">
        <v>2782</v>
      </c>
      <c r="F4399" s="79"/>
    </row>
    <row r="4400" spans="1:6">
      <c r="A4400" s="77">
        <f t="shared" ca="1" si="459"/>
        <v>46024</v>
      </c>
      <c r="B4400" s="80">
        <f t="shared" ca="1" si="460"/>
        <v>46024.329182175927</v>
      </c>
      <c r="C4400" s="76" t="s">
        <v>673</v>
      </c>
      <c r="D4400" s="76" t="s">
        <v>902</v>
      </c>
      <c r="E4400" s="79" t="s">
        <v>1344</v>
      </c>
      <c r="F4400" s="79"/>
    </row>
    <row r="4401" spans="1:6">
      <c r="A4401" s="77">
        <f t="shared" ca="1" si="459"/>
        <v>46024</v>
      </c>
      <c r="B4401" s="80">
        <f t="shared" ca="1" si="460"/>
        <v>46024.333011921299</v>
      </c>
      <c r="C4401" s="76" t="s">
        <v>673</v>
      </c>
      <c r="D4401" s="76" t="s">
        <v>902</v>
      </c>
      <c r="E4401" s="79" t="s">
        <v>1148</v>
      </c>
      <c r="F4401" s="79"/>
    </row>
    <row r="4402" spans="1:6">
      <c r="A4402" s="77">
        <f t="shared" ca="1" si="459"/>
        <v>46024</v>
      </c>
      <c r="B4402" s="80">
        <f t="shared" ca="1" si="460"/>
        <v>46024.339484606484</v>
      </c>
      <c r="C4402" s="76" t="s">
        <v>673</v>
      </c>
      <c r="D4402" s="76" t="s">
        <v>902</v>
      </c>
      <c r="E4402" s="79" t="s">
        <v>2740</v>
      </c>
      <c r="F4402" s="79"/>
    </row>
    <row r="4403" spans="1:6">
      <c r="A4403" s="77">
        <f t="shared" ca="1" si="459"/>
        <v>46024</v>
      </c>
      <c r="B4403" s="80">
        <f t="shared" ca="1" si="460"/>
        <v>46024.340635300927</v>
      </c>
      <c r="C4403" s="76" t="s">
        <v>673</v>
      </c>
      <c r="D4403" s="76" t="s">
        <v>902</v>
      </c>
      <c r="E4403" s="79" t="s">
        <v>2784</v>
      </c>
      <c r="F4403" s="79"/>
    </row>
    <row r="4404" spans="1:6">
      <c r="A4404" s="77">
        <f t="shared" ca="1" si="459"/>
        <v>46024</v>
      </c>
      <c r="B4404" s="80">
        <f t="shared" ca="1" si="460"/>
        <v>46024.341511342594</v>
      </c>
      <c r="C4404" s="76" t="s">
        <v>673</v>
      </c>
      <c r="D4404" s="76" t="s">
        <v>902</v>
      </c>
      <c r="E4404" s="79" t="s">
        <v>2782</v>
      </c>
      <c r="F4404" s="79"/>
    </row>
    <row r="4405" spans="1:6">
      <c r="A4405" s="77">
        <f t="shared" ca="1" si="459"/>
        <v>46024</v>
      </c>
      <c r="B4405" s="80">
        <f t="shared" ca="1" si="460"/>
        <v>46024.342376273147</v>
      </c>
      <c r="C4405" s="76" t="s">
        <v>673</v>
      </c>
      <c r="D4405" s="76" t="s">
        <v>902</v>
      </c>
      <c r="E4405" s="79" t="s">
        <v>2782</v>
      </c>
      <c r="F4405" s="79"/>
    </row>
    <row r="4406" spans="1:6">
      <c r="A4406" s="77">
        <f t="shared" ca="1" si="459"/>
        <v>46024</v>
      </c>
      <c r="B4406" s="80">
        <f t="shared" ca="1" si="460"/>
        <v>46024.346265972221</v>
      </c>
      <c r="C4406" s="76" t="s">
        <v>673</v>
      </c>
      <c r="D4406" s="76" t="s">
        <v>902</v>
      </c>
      <c r="E4406" s="79" t="s">
        <v>2782</v>
      </c>
      <c r="F4406" s="79"/>
    </row>
    <row r="4407" spans="1:6">
      <c r="A4407" s="77">
        <f t="shared" ca="1" si="459"/>
        <v>46024</v>
      </c>
      <c r="B4407" s="80">
        <f t="shared" ca="1" si="460"/>
        <v>46024.348049421293</v>
      </c>
      <c r="C4407" s="76" t="s">
        <v>673</v>
      </c>
      <c r="D4407" s="76" t="s">
        <v>902</v>
      </c>
      <c r="E4407" s="79" t="s">
        <v>2785</v>
      </c>
      <c r="F4407" s="79"/>
    </row>
    <row r="4408" spans="1:6">
      <c r="A4408" s="77">
        <f t="shared" ca="1" si="459"/>
        <v>46024</v>
      </c>
      <c r="B4408" s="80">
        <f t="shared" ca="1" si="460"/>
        <v>46024.349378935185</v>
      </c>
      <c r="C4408" s="76" t="s">
        <v>673</v>
      </c>
      <c r="D4408" s="76" t="s">
        <v>902</v>
      </c>
      <c r="E4408" s="79" t="s">
        <v>2786</v>
      </c>
      <c r="F4408" s="79"/>
    </row>
    <row r="4409" spans="1:6">
      <c r="A4409" s="77">
        <f t="shared" ca="1" si="459"/>
        <v>46024</v>
      </c>
      <c r="B4409" s="80">
        <f t="shared" ca="1" si="460"/>
        <v>46024.353640277775</v>
      </c>
      <c r="C4409" s="76" t="s">
        <v>673</v>
      </c>
      <c r="D4409" s="76" t="s">
        <v>902</v>
      </c>
      <c r="E4409" s="79" t="s">
        <v>2785</v>
      </c>
      <c r="F4409" s="79"/>
    </row>
    <row r="4410" spans="1:6">
      <c r="A4410" s="77">
        <f t="shared" ca="1" si="459"/>
        <v>46024</v>
      </c>
      <c r="B4410" s="80">
        <f t="shared" ca="1" si="460"/>
        <v>46024.354888657406</v>
      </c>
      <c r="C4410" s="76" t="s">
        <v>673</v>
      </c>
      <c r="D4410" s="76" t="s">
        <v>902</v>
      </c>
      <c r="E4410" s="79" t="s">
        <v>2787</v>
      </c>
      <c r="F4410" s="79"/>
    </row>
    <row r="4411" spans="1:6">
      <c r="A4411" s="77">
        <f t="shared" ca="1" si="459"/>
        <v>46024</v>
      </c>
      <c r="B4411" s="80">
        <f t="shared" ca="1" si="460"/>
        <v>46024.356570717595</v>
      </c>
      <c r="C4411" s="76" t="s">
        <v>673</v>
      </c>
      <c r="D4411" s="76" t="s">
        <v>902</v>
      </c>
      <c r="E4411" s="79" t="s">
        <v>2788</v>
      </c>
      <c r="F4411" s="79"/>
    </row>
    <row r="4412" spans="1:6">
      <c r="A4412" s="77">
        <f t="shared" ca="1" si="459"/>
        <v>46024</v>
      </c>
      <c r="B4412" s="80">
        <f t="shared" ca="1" si="460"/>
        <v>46024.366430555558</v>
      </c>
      <c r="C4412" s="76" t="s">
        <v>673</v>
      </c>
      <c r="D4412" s="76" t="s">
        <v>902</v>
      </c>
      <c r="E4412" s="79" t="s">
        <v>2409</v>
      </c>
      <c r="F4412" s="79"/>
    </row>
    <row r="4413" spans="1:6">
      <c r="A4413" s="77">
        <f t="shared" ca="1" si="459"/>
        <v>46024</v>
      </c>
      <c r="B4413" s="80">
        <f t="shared" ca="1" si="460"/>
        <v>46024.36713298611</v>
      </c>
      <c r="C4413" s="76" t="s">
        <v>673</v>
      </c>
      <c r="D4413" s="76" t="s">
        <v>902</v>
      </c>
      <c r="E4413" s="79" t="s">
        <v>2785</v>
      </c>
      <c r="F4413" s="79"/>
    </row>
    <row r="4414" spans="1:6">
      <c r="A4414" s="77">
        <f t="shared" ca="1" si="459"/>
        <v>46024</v>
      </c>
      <c r="B4414" s="80">
        <f t="shared" ca="1" si="460"/>
        <v>46024.369609490743</v>
      </c>
      <c r="C4414" s="76" t="s">
        <v>673</v>
      </c>
      <c r="D4414" s="76" t="s">
        <v>902</v>
      </c>
      <c r="E4414" s="79" t="s">
        <v>2789</v>
      </c>
      <c r="F4414" s="79"/>
    </row>
    <row r="4415" spans="1:6">
      <c r="A4415" s="77">
        <f t="shared" ref="A4415:A4433" ca="1" si="461">IF(C4415&lt;&gt;0,IF(A4415=0,TODAY(),A4415),)</f>
        <v>46024</v>
      </c>
      <c r="B4415" s="80">
        <f t="shared" ref="B4415:B4433" ca="1" si="462">IF(C4415&lt;&gt;0,IF(B4415=0,NOW(),B4415),)</f>
        <v>46024.375676851851</v>
      </c>
      <c r="C4415" s="76" t="s">
        <v>673</v>
      </c>
      <c r="D4415" s="76" t="s">
        <v>902</v>
      </c>
      <c r="E4415" s="79" t="s">
        <v>2782</v>
      </c>
      <c r="F4415" s="79"/>
    </row>
    <row r="4416" spans="1:6">
      <c r="A4416" s="77">
        <f t="shared" ca="1" si="461"/>
        <v>46024</v>
      </c>
      <c r="B4416" s="80">
        <f t="shared" ca="1" si="462"/>
        <v>46024.377536689812</v>
      </c>
      <c r="C4416" s="76" t="s">
        <v>673</v>
      </c>
      <c r="D4416" s="76" t="s">
        <v>902</v>
      </c>
      <c r="E4416" s="79" t="s">
        <v>911</v>
      </c>
      <c r="F4416" s="79"/>
    </row>
    <row r="4417" spans="1:7">
      <c r="A4417" s="77">
        <f t="shared" ca="1" si="461"/>
        <v>46024</v>
      </c>
      <c r="B4417" s="80">
        <f t="shared" ca="1" si="462"/>
        <v>46024.384986226854</v>
      </c>
      <c r="C4417" s="76" t="s">
        <v>673</v>
      </c>
      <c r="D4417" s="210" t="s">
        <v>922</v>
      </c>
      <c r="E4417" s="79"/>
      <c r="F4417" s="79"/>
    </row>
    <row r="4418" spans="1:7" s="150" customFormat="1">
      <c r="A4418" s="151">
        <f t="shared" ca="1" si="461"/>
        <v>46024</v>
      </c>
      <c r="B4418" s="149">
        <f t="shared" ca="1" si="462"/>
        <v>46024.410575925926</v>
      </c>
      <c r="C4418" s="150" t="s">
        <v>673</v>
      </c>
      <c r="D4418" s="210" t="s">
        <v>1098</v>
      </c>
      <c r="G4418" s="150" t="s">
        <v>2790</v>
      </c>
    </row>
    <row r="4419" spans="1:7" s="150" customFormat="1">
      <c r="A4419" s="151">
        <f t="shared" ca="1" si="461"/>
        <v>46024</v>
      </c>
      <c r="B4419" s="149">
        <f t="shared" ca="1" si="462"/>
        <v>46024.480286226855</v>
      </c>
      <c r="C4419" s="150" t="s">
        <v>678</v>
      </c>
      <c r="D4419" s="210" t="s">
        <v>906</v>
      </c>
    </row>
    <row r="4420" spans="1:7">
      <c r="A4420" s="77">
        <f t="shared" ca="1" si="461"/>
        <v>46024</v>
      </c>
      <c r="B4420" s="80">
        <f t="shared" ca="1" si="462"/>
        <v>46024.545053587965</v>
      </c>
      <c r="C4420" s="79" t="s">
        <v>678</v>
      </c>
      <c r="D4420" s="210" t="s">
        <v>909</v>
      </c>
      <c r="E4420" s="79"/>
      <c r="F4420" s="79"/>
    </row>
    <row r="4421" spans="1:7">
      <c r="A4421" s="77">
        <f t="shared" ca="1" si="461"/>
        <v>46024</v>
      </c>
      <c r="B4421" s="80">
        <f t="shared" ca="1" si="462"/>
        <v>46024.551041550927</v>
      </c>
      <c r="C4421" s="79" t="s">
        <v>678</v>
      </c>
      <c r="D4421" s="76" t="s">
        <v>902</v>
      </c>
      <c r="E4421" s="79" t="s">
        <v>1486</v>
      </c>
      <c r="F4421" s="79"/>
    </row>
    <row r="4422" spans="1:7">
      <c r="A4422" s="77">
        <f t="shared" ca="1" si="461"/>
        <v>46024</v>
      </c>
      <c r="B4422" s="80">
        <f t="shared" ca="1" si="462"/>
        <v>46024.55720289352</v>
      </c>
      <c r="C4422" s="79" t="s">
        <v>678</v>
      </c>
      <c r="D4422" s="76" t="s">
        <v>902</v>
      </c>
      <c r="E4422" s="79" t="s">
        <v>1505</v>
      </c>
      <c r="F4422" s="79"/>
    </row>
    <row r="4423" spans="1:7">
      <c r="A4423" s="77">
        <f t="shared" ca="1" si="461"/>
        <v>46024</v>
      </c>
      <c r="B4423" s="80">
        <f t="shared" ca="1" si="462"/>
        <v>46024.558491203701</v>
      </c>
      <c r="C4423" s="79" t="s">
        <v>678</v>
      </c>
      <c r="D4423" s="76" t="s">
        <v>902</v>
      </c>
      <c r="E4423" s="79" t="s">
        <v>2791</v>
      </c>
      <c r="F4423" s="79"/>
    </row>
    <row r="4424" spans="1:7">
      <c r="A4424" s="77">
        <f t="shared" ca="1" si="461"/>
        <v>46024</v>
      </c>
      <c r="B4424" s="80">
        <f t="shared" ca="1" si="462"/>
        <v>46024.559023263886</v>
      </c>
      <c r="C4424" s="79" t="s">
        <v>678</v>
      </c>
      <c r="D4424" s="76" t="s">
        <v>902</v>
      </c>
      <c r="E4424" s="79" t="s">
        <v>2792</v>
      </c>
      <c r="F4424" s="79"/>
    </row>
    <row r="4425" spans="1:7">
      <c r="A4425" s="77">
        <f t="shared" ca="1" si="461"/>
        <v>46024</v>
      </c>
      <c r="B4425" s="80">
        <f t="shared" ca="1" si="462"/>
        <v>46024.564695023146</v>
      </c>
      <c r="C4425" s="79" t="s">
        <v>678</v>
      </c>
      <c r="D4425" s="76" t="s">
        <v>902</v>
      </c>
      <c r="E4425" s="79" t="s">
        <v>1505</v>
      </c>
      <c r="F4425" s="79"/>
    </row>
    <row r="4426" spans="1:7">
      <c r="A4426" s="77">
        <f t="shared" ca="1" si="461"/>
        <v>46024</v>
      </c>
      <c r="B4426" s="80">
        <f t="shared" ca="1" si="462"/>
        <v>46024.565309837963</v>
      </c>
      <c r="C4426" s="79" t="s">
        <v>678</v>
      </c>
      <c r="D4426" s="76" t="s">
        <v>902</v>
      </c>
      <c r="E4426" s="79" t="s">
        <v>1505</v>
      </c>
      <c r="F4426" s="79"/>
    </row>
    <row r="4427" spans="1:7">
      <c r="A4427" s="77">
        <f t="shared" ca="1" si="461"/>
        <v>46024</v>
      </c>
      <c r="B4427" s="80">
        <f t="shared" ca="1" si="462"/>
        <v>46024.569874768516</v>
      </c>
      <c r="C4427" s="79" t="s">
        <v>678</v>
      </c>
      <c r="D4427" s="76" t="s">
        <v>902</v>
      </c>
      <c r="E4427" s="79" t="s">
        <v>1505</v>
      </c>
      <c r="F4427" s="79"/>
    </row>
    <row r="4428" spans="1:7">
      <c r="A4428" s="77">
        <f t="shared" ca="1" si="461"/>
        <v>46024</v>
      </c>
      <c r="B4428" s="80">
        <f t="shared" ca="1" si="462"/>
        <v>46024.574932175929</v>
      </c>
      <c r="C4428" s="79" t="s">
        <v>678</v>
      </c>
      <c r="D4428" s="76" t="s">
        <v>902</v>
      </c>
      <c r="E4428" s="79" t="s">
        <v>1583</v>
      </c>
      <c r="F4428" s="79"/>
    </row>
    <row r="4429" spans="1:7">
      <c r="A4429" s="77">
        <f t="shared" ca="1" si="461"/>
        <v>46024</v>
      </c>
      <c r="B4429" s="80">
        <f t="shared" ca="1" si="462"/>
        <v>46024.576103935186</v>
      </c>
      <c r="C4429" s="79" t="s">
        <v>678</v>
      </c>
      <c r="D4429" s="76" t="s">
        <v>902</v>
      </c>
      <c r="E4429" s="79" t="s">
        <v>2409</v>
      </c>
      <c r="F4429" s="79"/>
    </row>
    <row r="4430" spans="1:7">
      <c r="A4430" s="77">
        <f t="shared" ca="1" si="461"/>
        <v>46024</v>
      </c>
      <c r="B4430" s="80">
        <f t="shared" ca="1" si="462"/>
        <v>46024.576255555556</v>
      </c>
      <c r="C4430" s="79" t="s">
        <v>678</v>
      </c>
      <c r="D4430" s="76" t="s">
        <v>902</v>
      </c>
      <c r="E4430" s="79" t="s">
        <v>2793</v>
      </c>
      <c r="F4430" s="79"/>
    </row>
    <row r="4431" spans="1:7">
      <c r="A4431" s="77">
        <f t="shared" ca="1" si="461"/>
        <v>46024</v>
      </c>
      <c r="B4431" s="80">
        <f t="shared" ca="1" si="462"/>
        <v>46024.576385879627</v>
      </c>
      <c r="C4431" s="79" t="s">
        <v>678</v>
      </c>
      <c r="D4431" s="76" t="s">
        <v>902</v>
      </c>
      <c r="E4431" s="79" t="s">
        <v>2794</v>
      </c>
      <c r="F4431" s="79"/>
    </row>
    <row r="4432" spans="1:7">
      <c r="A4432" s="77">
        <f t="shared" ca="1" si="461"/>
        <v>46024</v>
      </c>
      <c r="B4432" s="80">
        <f t="shared" ca="1" si="462"/>
        <v>46024.579767129631</v>
      </c>
      <c r="C4432" s="79" t="s">
        <v>678</v>
      </c>
      <c r="D4432" s="76" t="s">
        <v>902</v>
      </c>
      <c r="E4432" s="76" t="s">
        <v>902</v>
      </c>
      <c r="F4432" s="79"/>
    </row>
    <row r="4433" spans="1:7">
      <c r="A4433" s="77">
        <f t="shared" ca="1" si="461"/>
        <v>46024</v>
      </c>
      <c r="B4433" s="80">
        <f t="shared" ca="1" si="462"/>
        <v>46024.591061574072</v>
      </c>
      <c r="C4433" s="79" t="s">
        <v>678</v>
      </c>
      <c r="D4433" s="76" t="s">
        <v>902</v>
      </c>
      <c r="E4433" s="79" t="s">
        <v>2795</v>
      </c>
      <c r="F4433" s="79"/>
    </row>
    <row r="4434" spans="1:7">
      <c r="A4434" s="77">
        <f t="shared" ref="A4434:A4466" ca="1" si="463">IF(C4434&lt;&gt;0,IF(A4434=0,TODAY(),A4434),)</f>
        <v>46024</v>
      </c>
      <c r="B4434" s="80">
        <f t="shared" ref="B4434:B4466" ca="1" si="464">IF(C4434&lt;&gt;0,IF(B4434=0,NOW(),B4434),)</f>
        <v>46024.602979629628</v>
      </c>
      <c r="C4434" s="79" t="s">
        <v>678</v>
      </c>
      <c r="D4434" s="76" t="s">
        <v>902</v>
      </c>
      <c r="E4434" s="79" t="s">
        <v>2796</v>
      </c>
      <c r="F4434" s="79"/>
    </row>
    <row r="4435" spans="1:7">
      <c r="A4435" s="77">
        <f t="shared" ca="1" si="463"/>
        <v>46024</v>
      </c>
      <c r="B4435" s="80">
        <f t="shared" ca="1" si="464"/>
        <v>46024.608068518515</v>
      </c>
      <c r="C4435" s="79" t="s">
        <v>678</v>
      </c>
      <c r="D4435" s="76" t="s">
        <v>902</v>
      </c>
      <c r="E4435" s="79" t="s">
        <v>2689</v>
      </c>
      <c r="F4435" s="79"/>
    </row>
    <row r="4436" spans="1:7">
      <c r="A4436" s="77">
        <f t="shared" ca="1" si="463"/>
        <v>46024</v>
      </c>
      <c r="B4436" s="80">
        <f t="shared" ca="1" si="464"/>
        <v>46024.614964004628</v>
      </c>
      <c r="C4436" s="79" t="s">
        <v>678</v>
      </c>
      <c r="D4436" s="76" t="s">
        <v>902</v>
      </c>
      <c r="E4436" s="79" t="s">
        <v>2797</v>
      </c>
      <c r="F4436" s="79"/>
    </row>
    <row r="4437" spans="1:7">
      <c r="A4437" s="77">
        <f t="shared" ca="1" si="463"/>
        <v>46024</v>
      </c>
      <c r="B4437" s="80">
        <f t="shared" ca="1" si="464"/>
        <v>46024.619223148147</v>
      </c>
      <c r="C4437" s="79" t="s">
        <v>678</v>
      </c>
      <c r="D4437" s="76" t="s">
        <v>902</v>
      </c>
      <c r="E4437" s="79" t="s">
        <v>2793</v>
      </c>
      <c r="F4437" s="79"/>
    </row>
    <row r="4438" spans="1:7">
      <c r="A4438" s="77">
        <f t="shared" ca="1" si="463"/>
        <v>46024</v>
      </c>
      <c r="B4438" s="80">
        <f t="shared" ca="1" si="464"/>
        <v>46024.622158449078</v>
      </c>
      <c r="C4438" s="79" t="s">
        <v>678</v>
      </c>
      <c r="D4438" s="76" t="s">
        <v>902</v>
      </c>
      <c r="E4438" s="79" t="s">
        <v>1920</v>
      </c>
      <c r="F4438" s="79"/>
    </row>
    <row r="4439" spans="1:7">
      <c r="A4439" s="77">
        <f t="shared" ca="1" si="463"/>
        <v>46024</v>
      </c>
      <c r="B4439" s="80">
        <f t="shared" ca="1" si="464"/>
        <v>46024.626217245372</v>
      </c>
      <c r="C4439" s="79" t="s">
        <v>678</v>
      </c>
      <c r="D4439" s="76" t="s">
        <v>902</v>
      </c>
      <c r="E4439" s="79" t="s">
        <v>2798</v>
      </c>
      <c r="F4439" s="79"/>
    </row>
    <row r="4440" spans="1:7">
      <c r="A4440" s="77">
        <f t="shared" ca="1" si="463"/>
        <v>46024</v>
      </c>
      <c r="B4440" s="80">
        <f t="shared" ca="1" si="464"/>
        <v>46024.631148379631</v>
      </c>
      <c r="C4440" s="79" t="s">
        <v>678</v>
      </c>
      <c r="D4440" s="76" t="s">
        <v>902</v>
      </c>
      <c r="E4440" s="79" t="s">
        <v>1489</v>
      </c>
      <c r="F4440" s="79"/>
    </row>
    <row r="4441" spans="1:7">
      <c r="A4441" s="77">
        <f t="shared" ca="1" si="463"/>
        <v>46024</v>
      </c>
      <c r="B4441" s="80">
        <f t="shared" ca="1" si="464"/>
        <v>46024.63664571759</v>
      </c>
      <c r="C4441" s="79" t="s">
        <v>678</v>
      </c>
      <c r="D4441" s="210" t="s">
        <v>922</v>
      </c>
      <c r="E4441" s="79"/>
      <c r="F4441" s="79"/>
    </row>
    <row r="4442" spans="1:7">
      <c r="A4442" s="77">
        <f t="shared" ca="1" si="463"/>
        <v>46024</v>
      </c>
      <c r="B4442" s="80">
        <f t="shared" ca="1" si="464"/>
        <v>46024.638050694448</v>
      </c>
      <c r="C4442" s="79" t="s">
        <v>678</v>
      </c>
      <c r="D4442" s="76" t="s">
        <v>902</v>
      </c>
      <c r="E4442" s="79" t="s">
        <v>2799</v>
      </c>
      <c r="F4442" s="79"/>
    </row>
    <row r="4443" spans="1:7" s="150" customFormat="1">
      <c r="A4443" s="151">
        <f t="shared" ca="1" si="463"/>
        <v>46024</v>
      </c>
      <c r="B4443" s="149">
        <f t="shared" ca="1" si="464"/>
        <v>46024.670174999999</v>
      </c>
      <c r="C4443" s="150" t="s">
        <v>678</v>
      </c>
      <c r="D4443" s="210" t="s">
        <v>1098</v>
      </c>
      <c r="G4443" s="164" t="s">
        <v>681</v>
      </c>
    </row>
    <row r="4444" spans="1:7" s="150" customFormat="1">
      <c r="A4444" s="151">
        <f t="shared" ca="1" si="463"/>
        <v>46024</v>
      </c>
      <c r="B4444" s="149">
        <f t="shared" ca="1" si="464"/>
        <v>46024.717454166668</v>
      </c>
      <c r="C4444" s="150" t="s">
        <v>682</v>
      </c>
      <c r="D4444" s="210" t="s">
        <v>906</v>
      </c>
    </row>
    <row r="4445" spans="1:7">
      <c r="A4445" s="77">
        <f t="shared" ca="1" si="463"/>
        <v>46024</v>
      </c>
      <c r="B4445" s="80">
        <f t="shared" ca="1" si="464"/>
        <v>46024.72268298611</v>
      </c>
      <c r="C4445" s="76" t="s">
        <v>682</v>
      </c>
      <c r="D4445" s="76" t="s">
        <v>902</v>
      </c>
      <c r="E4445" s="79" t="s">
        <v>2800</v>
      </c>
      <c r="F4445" s="79"/>
    </row>
    <row r="4446" spans="1:7" s="150" customFormat="1">
      <c r="A4446" s="151">
        <f t="shared" ca="1" si="463"/>
        <v>46024</v>
      </c>
      <c r="B4446" s="149">
        <f t="shared" ca="1" si="464"/>
        <v>46024.725392361113</v>
      </c>
      <c r="C4446" s="150" t="s">
        <v>682</v>
      </c>
      <c r="D4446" s="210" t="s">
        <v>1098</v>
      </c>
    </row>
    <row r="4447" spans="1:7" s="150" customFormat="1">
      <c r="A4447" s="151">
        <f t="shared" ca="1" si="463"/>
        <v>46024</v>
      </c>
      <c r="B4447" s="149">
        <f t="shared" ca="1" si="464"/>
        <v>46024.728263078701</v>
      </c>
      <c r="C4447" s="150" t="s">
        <v>682</v>
      </c>
      <c r="D4447" s="210" t="s">
        <v>906</v>
      </c>
    </row>
    <row r="4448" spans="1:7">
      <c r="A4448" s="77">
        <f t="shared" ca="1" si="463"/>
        <v>46024</v>
      </c>
      <c r="B4448" s="80">
        <f t="shared" ca="1" si="464"/>
        <v>46024.796946759256</v>
      </c>
      <c r="C4448" s="76" t="s">
        <v>682</v>
      </c>
      <c r="D4448" s="210" t="s">
        <v>909</v>
      </c>
      <c r="E4448" s="79"/>
      <c r="F4448" s="79"/>
    </row>
    <row r="4449" spans="1:6">
      <c r="A4449" s="77">
        <f t="shared" ca="1" si="463"/>
        <v>46024</v>
      </c>
      <c r="B4449" s="80">
        <f t="shared" ca="1" si="464"/>
        <v>46024.807662037034</v>
      </c>
      <c r="C4449" s="76" t="s">
        <v>682</v>
      </c>
      <c r="D4449" s="76" t="s">
        <v>902</v>
      </c>
      <c r="E4449" s="79" t="s">
        <v>1489</v>
      </c>
      <c r="F4449" s="79"/>
    </row>
    <row r="4450" spans="1:6">
      <c r="A4450" s="77">
        <f t="shared" ca="1" si="463"/>
        <v>46024</v>
      </c>
      <c r="B4450" s="80">
        <f t="shared" ca="1" si="464"/>
        <v>46024.809036226849</v>
      </c>
      <c r="C4450" s="76" t="s">
        <v>682</v>
      </c>
      <c r="D4450" s="76" t="s">
        <v>902</v>
      </c>
      <c r="E4450" s="79" t="s">
        <v>2801</v>
      </c>
      <c r="F4450" s="79"/>
    </row>
    <row r="4451" spans="1:6">
      <c r="A4451" s="77">
        <f t="shared" ca="1" si="463"/>
        <v>46024</v>
      </c>
      <c r="B4451" s="80">
        <f t="shared" ca="1" si="464"/>
        <v>46024.816659259261</v>
      </c>
      <c r="C4451" s="76" t="s">
        <v>682</v>
      </c>
      <c r="D4451" s="150" t="s">
        <v>1070</v>
      </c>
      <c r="E4451" s="76" t="s">
        <v>2802</v>
      </c>
      <c r="F4451" s="79"/>
    </row>
    <row r="4452" spans="1:6">
      <c r="A4452" s="77">
        <f t="shared" ca="1" si="463"/>
        <v>46024</v>
      </c>
      <c r="B4452" s="80">
        <f t="shared" ca="1" si="464"/>
        <v>46024.82767175926</v>
      </c>
      <c r="C4452" s="76" t="s">
        <v>682</v>
      </c>
      <c r="D4452" s="76" t="s">
        <v>902</v>
      </c>
      <c r="E4452" s="79" t="s">
        <v>2803</v>
      </c>
      <c r="F4452" s="79"/>
    </row>
    <row r="4453" spans="1:6">
      <c r="A4453" s="77">
        <f t="shared" ca="1" si="463"/>
        <v>46024</v>
      </c>
      <c r="B4453" s="80">
        <f t="shared" ca="1" si="464"/>
        <v>46024.846117245368</v>
      </c>
      <c r="C4453" s="76" t="s">
        <v>682</v>
      </c>
      <c r="D4453" s="150" t="s">
        <v>1007</v>
      </c>
      <c r="E4453" s="79" t="s">
        <v>2804</v>
      </c>
      <c r="F4453" s="79"/>
    </row>
    <row r="4454" spans="1:6">
      <c r="A4454" s="77">
        <f t="shared" ca="1" si="463"/>
        <v>46024</v>
      </c>
      <c r="B4454" s="80">
        <f t="shared" ca="1" si="464"/>
        <v>46024.878453240737</v>
      </c>
      <c r="C4454" s="76" t="s">
        <v>682</v>
      </c>
      <c r="D4454" s="76" t="s">
        <v>902</v>
      </c>
      <c r="E4454" s="79" t="s">
        <v>2803</v>
      </c>
      <c r="F4454" s="79"/>
    </row>
    <row r="4455" spans="1:6">
      <c r="A4455" s="77">
        <f t="shared" ca="1" si="463"/>
        <v>46024</v>
      </c>
      <c r="B4455" s="80">
        <f t="shared" ca="1" si="464"/>
        <v>46024.879517592592</v>
      </c>
      <c r="C4455" s="76" t="s">
        <v>682</v>
      </c>
      <c r="D4455" s="76" t="s">
        <v>902</v>
      </c>
      <c r="E4455" s="79" t="s">
        <v>2805</v>
      </c>
      <c r="F4455" s="79"/>
    </row>
    <row r="4456" spans="1:6">
      <c r="A4456" s="77">
        <f t="shared" ca="1" si="463"/>
        <v>46024</v>
      </c>
      <c r="B4456" s="80">
        <f t="shared" ca="1" si="464"/>
        <v>46024.884754976854</v>
      </c>
      <c r="C4456" s="76" t="s">
        <v>682</v>
      </c>
      <c r="D4456" s="76" t="s">
        <v>902</v>
      </c>
      <c r="E4456" s="79" t="s">
        <v>1489</v>
      </c>
      <c r="F4456" s="79"/>
    </row>
    <row r="4457" spans="1:6">
      <c r="A4457" s="77">
        <f t="shared" ca="1" si="463"/>
        <v>46024</v>
      </c>
      <c r="B4457" s="80">
        <f t="shared" ca="1" si="464"/>
        <v>46024.890410763888</v>
      </c>
      <c r="C4457" s="76" t="s">
        <v>682</v>
      </c>
      <c r="D4457" s="76" t="s">
        <v>902</v>
      </c>
      <c r="E4457" s="79" t="s">
        <v>2803</v>
      </c>
      <c r="F4457" s="79"/>
    </row>
    <row r="4458" spans="1:6">
      <c r="A4458" s="77">
        <f t="shared" ca="1" si="463"/>
        <v>46024</v>
      </c>
      <c r="B4458" s="80">
        <f t="shared" ca="1" si="464"/>
        <v>46024.890802662034</v>
      </c>
      <c r="C4458" s="76" t="s">
        <v>682</v>
      </c>
      <c r="D4458" s="76" t="s">
        <v>902</v>
      </c>
      <c r="E4458" s="79" t="s">
        <v>1489</v>
      </c>
      <c r="F4458" s="79"/>
    </row>
    <row r="4459" spans="1:6">
      <c r="A4459" s="77">
        <f t="shared" ca="1" si="463"/>
        <v>46024</v>
      </c>
      <c r="B4459" s="80">
        <f t="shared" ca="1" si="464"/>
        <v>46024.894323263892</v>
      </c>
      <c r="C4459" s="76" t="s">
        <v>682</v>
      </c>
      <c r="D4459" s="76" t="s">
        <v>902</v>
      </c>
      <c r="E4459" s="79" t="s">
        <v>1064</v>
      </c>
      <c r="F4459" s="79"/>
    </row>
    <row r="4460" spans="1:6">
      <c r="A4460" s="77">
        <f t="shared" ca="1" si="463"/>
        <v>46024</v>
      </c>
      <c r="B4460" s="80">
        <f t="shared" ca="1" si="464"/>
        <v>46024.894394791663</v>
      </c>
      <c r="C4460" s="76" t="s">
        <v>682</v>
      </c>
      <c r="D4460" s="76" t="s">
        <v>902</v>
      </c>
      <c r="E4460" s="79" t="s">
        <v>2806</v>
      </c>
      <c r="F4460" s="79"/>
    </row>
    <row r="4461" spans="1:6">
      <c r="A4461" s="77">
        <f t="shared" ca="1" si="463"/>
        <v>46024</v>
      </c>
      <c r="B4461" s="80">
        <f t="shared" ca="1" si="464"/>
        <v>46024.896783564815</v>
      </c>
      <c r="C4461" s="76" t="s">
        <v>682</v>
      </c>
      <c r="D4461" s="76" t="s">
        <v>902</v>
      </c>
      <c r="E4461" s="79" t="s">
        <v>2806</v>
      </c>
      <c r="F4461" s="79"/>
    </row>
    <row r="4462" spans="1:6">
      <c r="A4462" s="77">
        <f t="shared" ca="1" si="463"/>
        <v>46024</v>
      </c>
      <c r="B4462" s="80">
        <f t="shared" ca="1" si="464"/>
        <v>46024.899593634262</v>
      </c>
      <c r="C4462" s="76" t="s">
        <v>682</v>
      </c>
      <c r="D4462" s="76" t="s">
        <v>902</v>
      </c>
      <c r="E4462" s="79" t="s">
        <v>2807</v>
      </c>
      <c r="F4462" s="79"/>
    </row>
    <row r="4463" spans="1:6">
      <c r="A4463" s="77">
        <f t="shared" ca="1" si="463"/>
        <v>46024</v>
      </c>
      <c r="B4463" s="80">
        <f t="shared" ca="1" si="464"/>
        <v>46024.900071180557</v>
      </c>
      <c r="C4463" s="76" t="s">
        <v>682</v>
      </c>
      <c r="D4463" s="76" t="s">
        <v>902</v>
      </c>
      <c r="E4463" s="79" t="s">
        <v>1489</v>
      </c>
      <c r="F4463" s="79"/>
    </row>
    <row r="4464" spans="1:6">
      <c r="A4464" s="77">
        <f t="shared" ca="1" si="463"/>
        <v>46024</v>
      </c>
      <c r="B4464" s="80">
        <f t="shared" ca="1" si="464"/>
        <v>46024.916921412034</v>
      </c>
      <c r="C4464" s="76" t="s">
        <v>682</v>
      </c>
      <c r="D4464" s="76" t="s">
        <v>902</v>
      </c>
      <c r="E4464" s="79" t="s">
        <v>2808</v>
      </c>
      <c r="F4464" s="79"/>
    </row>
    <row r="4465" spans="1:7">
      <c r="A4465" s="77">
        <f t="shared" ca="1" si="463"/>
        <v>46024</v>
      </c>
      <c r="B4465" s="80">
        <f t="shared" ca="1" si="464"/>
        <v>46024.923972106481</v>
      </c>
      <c r="C4465" s="76" t="s">
        <v>682</v>
      </c>
      <c r="D4465" s="210" t="s">
        <v>922</v>
      </c>
      <c r="E4465" s="79" t="s">
        <v>2809</v>
      </c>
      <c r="F4465" s="79"/>
    </row>
    <row r="4466" spans="1:7">
      <c r="A4466" s="77">
        <f t="shared" ca="1" si="463"/>
        <v>46024</v>
      </c>
      <c r="B4466" s="80">
        <f t="shared" ca="1" si="464"/>
        <v>46024.926127430554</v>
      </c>
      <c r="C4466" s="76" t="s">
        <v>682</v>
      </c>
      <c r="D4466" s="76" t="s">
        <v>902</v>
      </c>
      <c r="E4466" s="79" t="s">
        <v>2810</v>
      </c>
      <c r="F4466" s="79"/>
    </row>
    <row r="4467" spans="1:7" s="150" customFormat="1">
      <c r="A4467" s="151">
        <f t="shared" ref="A4467:A4481" ca="1" si="465">IF(C4467&lt;&gt;0,IF(A4467=0,TODAY(),A4467),)</f>
        <v>46025</v>
      </c>
      <c r="B4467" s="149">
        <v>0.96870370370370373</v>
      </c>
      <c r="C4467" s="150" t="s">
        <v>682</v>
      </c>
      <c r="D4467" s="210" t="s">
        <v>1098</v>
      </c>
      <c r="E4467" s="150" t="s">
        <v>2811</v>
      </c>
    </row>
    <row r="4468" spans="1:7" s="150" customFormat="1">
      <c r="A4468" s="151">
        <f ca="1">IF(C4468&lt;&gt;0,IF(A4468=0,TODAY(),A4468),)</f>
        <v>46025</v>
      </c>
      <c r="B4468" s="149">
        <v>2.2800925925925927E-3</v>
      </c>
      <c r="C4468" s="150" t="s">
        <v>682</v>
      </c>
      <c r="D4468" s="210" t="s">
        <v>906</v>
      </c>
      <c r="E4468" s="153" t="s">
        <v>2812</v>
      </c>
    </row>
    <row r="4469" spans="1:7">
      <c r="A4469" s="152">
        <f ca="1">IF(C4469&lt;&gt;0,IF(A4469=0,TODAY(),A4469),)</f>
        <v>46025</v>
      </c>
      <c r="B4469" s="80">
        <v>6.3182870370370375E-2</v>
      </c>
      <c r="C4469" s="76" t="s">
        <v>682</v>
      </c>
      <c r="D4469" s="76" t="s">
        <v>902</v>
      </c>
      <c r="E4469" s="79" t="s">
        <v>2813</v>
      </c>
      <c r="F4469" s="79"/>
    </row>
    <row r="4470" spans="1:7">
      <c r="A4470" s="152">
        <f ca="1">IF(C4470&lt;&gt;0,IF(A4470=0,TODAY(),A4470),)</f>
        <v>46025</v>
      </c>
      <c r="B4470" s="80">
        <f ca="1">IF(C4470&lt;&gt;0,IF(B4470=0,NOW(),B4470),)</f>
        <v>46025.08260671296</v>
      </c>
      <c r="C4470" s="76" t="s">
        <v>682</v>
      </c>
      <c r="D4470" s="76" t="s">
        <v>902</v>
      </c>
      <c r="E4470" s="79" t="s">
        <v>2814</v>
      </c>
      <c r="F4470" s="79"/>
    </row>
    <row r="4471" spans="1:7" s="150" customFormat="1">
      <c r="A4471" s="151">
        <f t="shared" ca="1" si="465"/>
        <v>46025</v>
      </c>
      <c r="B4471" s="149">
        <f t="shared" ref="B4471:B4481" ca="1" si="466">IF(C4471&lt;&gt;0,IF(B4471=0,NOW(),B4471),)</f>
        <v>46025.124883449076</v>
      </c>
      <c r="C4471" s="150" t="s">
        <v>682</v>
      </c>
      <c r="D4471" s="210" t="s">
        <v>1098</v>
      </c>
      <c r="G4471" s="150" t="s">
        <v>2815</v>
      </c>
    </row>
    <row r="4472" spans="1:7" s="150" customFormat="1">
      <c r="A4472" s="151">
        <f t="shared" ca="1" si="465"/>
        <v>46025</v>
      </c>
      <c r="B4472" s="149">
        <f t="shared" ca="1" si="466"/>
        <v>46025.188137731478</v>
      </c>
      <c r="C4472" s="150" t="s">
        <v>687</v>
      </c>
      <c r="D4472" s="210" t="s">
        <v>906</v>
      </c>
    </row>
    <row r="4473" spans="1:7">
      <c r="A4473" s="77">
        <f t="shared" ca="1" si="465"/>
        <v>46025</v>
      </c>
      <c r="B4473" s="80">
        <f t="shared" ca="1" si="466"/>
        <v>46025.267674884257</v>
      </c>
      <c r="C4473" s="76" t="s">
        <v>687</v>
      </c>
      <c r="D4473" s="210" t="s">
        <v>909</v>
      </c>
      <c r="E4473" s="79"/>
      <c r="F4473" s="79"/>
    </row>
    <row r="4474" spans="1:7">
      <c r="A4474" s="77">
        <f t="shared" ca="1" si="465"/>
        <v>46025</v>
      </c>
      <c r="B4474" s="80">
        <f t="shared" ca="1" si="466"/>
        <v>46025.280299189813</v>
      </c>
      <c r="C4474" s="76" t="s">
        <v>687</v>
      </c>
      <c r="D4474" s="76" t="s">
        <v>902</v>
      </c>
      <c r="E4474" s="79" t="s">
        <v>1229</v>
      </c>
      <c r="F4474" s="79"/>
    </row>
    <row r="4475" spans="1:7">
      <c r="A4475" s="77">
        <f t="shared" ca="1" si="465"/>
        <v>46025</v>
      </c>
      <c r="B4475" s="80">
        <f t="shared" ca="1" si="466"/>
        <v>46025.338373726852</v>
      </c>
      <c r="C4475" s="76" t="s">
        <v>687</v>
      </c>
      <c r="D4475" s="76" t="s">
        <v>902</v>
      </c>
      <c r="E4475" s="79" t="s">
        <v>2816</v>
      </c>
      <c r="F4475" s="79"/>
    </row>
    <row r="4476" spans="1:7">
      <c r="A4476" s="77">
        <f t="shared" ca="1" si="465"/>
        <v>46025</v>
      </c>
      <c r="B4476" s="80">
        <f t="shared" ca="1" si="466"/>
        <v>46025.355421990738</v>
      </c>
      <c r="C4476" s="76" t="s">
        <v>687</v>
      </c>
      <c r="D4476" s="76" t="s">
        <v>902</v>
      </c>
      <c r="E4476" s="79" t="s">
        <v>2803</v>
      </c>
      <c r="F4476" s="79"/>
    </row>
    <row r="4477" spans="1:7">
      <c r="A4477" s="77">
        <f t="shared" ca="1" si="465"/>
        <v>46025</v>
      </c>
      <c r="B4477" s="80">
        <f t="shared" ca="1" si="466"/>
        <v>46025.356071875001</v>
      </c>
      <c r="C4477" s="76" t="s">
        <v>687</v>
      </c>
      <c r="D4477" s="150" t="s">
        <v>1070</v>
      </c>
      <c r="E4477" s="79" t="s">
        <v>2817</v>
      </c>
      <c r="F4477" s="79"/>
    </row>
    <row r="4478" spans="1:7">
      <c r="A4478" s="77">
        <f t="shared" ca="1" si="465"/>
        <v>46025</v>
      </c>
      <c r="B4478" s="80">
        <f t="shared" ca="1" si="466"/>
        <v>46025.388979050927</v>
      </c>
      <c r="C4478" s="76" t="s">
        <v>687</v>
      </c>
      <c r="D4478" s="210" t="s">
        <v>922</v>
      </c>
      <c r="E4478" s="79"/>
      <c r="F4478" s="79"/>
    </row>
    <row r="4479" spans="1:7" ht="15" customHeight="1">
      <c r="A4479" s="77">
        <f t="shared" ca="1" si="465"/>
        <v>46025</v>
      </c>
      <c r="B4479" s="80">
        <f t="shared" ca="1" si="466"/>
        <v>46025.397266898151</v>
      </c>
      <c r="C4479" s="76" t="s">
        <v>687</v>
      </c>
      <c r="D4479" s="210" t="s">
        <v>1098</v>
      </c>
      <c r="E4479" s="159" t="s">
        <v>2818</v>
      </c>
      <c r="F4479" s="79"/>
      <c r="G4479" s="76" t="s">
        <v>2819</v>
      </c>
    </row>
    <row r="4480" spans="1:7">
      <c r="A4480" s="77">
        <f t="shared" ca="1" si="465"/>
        <v>46025</v>
      </c>
      <c r="B4480" s="80">
        <f t="shared" ca="1" si="466"/>
        <v>46025.55035046296</v>
      </c>
      <c r="C4480" s="76" t="s">
        <v>691</v>
      </c>
      <c r="D4480" s="210" t="s">
        <v>906</v>
      </c>
      <c r="E4480" s="79"/>
      <c r="F4480" s="79"/>
    </row>
    <row r="4481" spans="1:7">
      <c r="A4481" s="77">
        <f t="shared" ca="1" si="465"/>
        <v>46025</v>
      </c>
      <c r="B4481" s="80">
        <f t="shared" ca="1" si="466"/>
        <v>46025.550645833333</v>
      </c>
      <c r="C4481" s="76" t="s">
        <v>691</v>
      </c>
      <c r="D4481" s="210" t="s">
        <v>909</v>
      </c>
      <c r="E4481" s="79"/>
      <c r="F4481" s="79"/>
    </row>
    <row r="4482" spans="1:7">
      <c r="A4482" s="77">
        <f t="shared" ref="A4482:A4515" ca="1" si="467">IF(C4482&lt;&gt;0,IF(A4482=0,TODAY(),A4482),)</f>
        <v>46025</v>
      </c>
      <c r="B4482" s="80">
        <f t="shared" ref="B4482:B4515" ca="1" si="468">IF(C4482&lt;&gt;0,IF(B4482=0,NOW(),B4482),)</f>
        <v>46025.576824074073</v>
      </c>
      <c r="C4482" s="76" t="s">
        <v>691</v>
      </c>
      <c r="D4482" s="76" t="s">
        <v>902</v>
      </c>
      <c r="E4482" s="79" t="s">
        <v>2820</v>
      </c>
      <c r="F4482" s="79"/>
    </row>
    <row r="4483" spans="1:7">
      <c r="A4483" s="77">
        <f t="shared" ca="1" si="467"/>
        <v>46025</v>
      </c>
      <c r="B4483" s="80">
        <f t="shared" ca="1" si="468"/>
        <v>46025.588600925927</v>
      </c>
      <c r="C4483" s="76" t="s">
        <v>691</v>
      </c>
      <c r="D4483" s="76" t="s">
        <v>902</v>
      </c>
      <c r="E4483" s="79" t="s">
        <v>2821</v>
      </c>
      <c r="F4483" s="79"/>
    </row>
    <row r="4484" spans="1:7">
      <c r="A4484" s="77">
        <f t="shared" ca="1" si="467"/>
        <v>46025</v>
      </c>
      <c r="B4484" s="80">
        <f t="shared" ca="1" si="468"/>
        <v>46025.589487152778</v>
      </c>
      <c r="C4484" s="76" t="s">
        <v>691</v>
      </c>
      <c r="D4484" s="76" t="s">
        <v>902</v>
      </c>
      <c r="E4484" s="79" t="s">
        <v>2822</v>
      </c>
      <c r="F4484" s="79"/>
    </row>
    <row r="4485" spans="1:7">
      <c r="A4485" s="77">
        <f t="shared" ca="1" si="467"/>
        <v>46025</v>
      </c>
      <c r="B4485" s="80">
        <f t="shared" ca="1" si="468"/>
        <v>46025.59808773148</v>
      </c>
      <c r="C4485" s="76" t="s">
        <v>691</v>
      </c>
      <c r="D4485" s="76" t="s">
        <v>902</v>
      </c>
      <c r="E4485" s="79" t="s">
        <v>2823</v>
      </c>
      <c r="F4485" s="79"/>
    </row>
    <row r="4486" spans="1:7">
      <c r="A4486" s="77">
        <f t="shared" ca="1" si="467"/>
        <v>46025</v>
      </c>
      <c r="B4486" s="80">
        <f t="shared" ca="1" si="468"/>
        <v>46025.626290277774</v>
      </c>
      <c r="C4486" s="76" t="s">
        <v>691</v>
      </c>
      <c r="D4486" s="76" t="s">
        <v>902</v>
      </c>
      <c r="E4486" s="79" t="s">
        <v>1196</v>
      </c>
      <c r="F4486" s="79"/>
    </row>
    <row r="4487" spans="1:7">
      <c r="A4487" s="77">
        <f t="shared" ca="1" si="467"/>
        <v>46025</v>
      </c>
      <c r="B4487" s="80">
        <f t="shared" ca="1" si="468"/>
        <v>46025.635558217589</v>
      </c>
      <c r="C4487" s="76" t="s">
        <v>691</v>
      </c>
      <c r="D4487" s="76" t="s">
        <v>902</v>
      </c>
      <c r="E4487" s="79" t="s">
        <v>2518</v>
      </c>
      <c r="F4487" s="79"/>
    </row>
    <row r="4488" spans="1:7">
      <c r="A4488" s="77">
        <f t="shared" ca="1" si="467"/>
        <v>46025</v>
      </c>
      <c r="B4488" s="80">
        <f t="shared" ca="1" si="468"/>
        <v>46025.641870486113</v>
      </c>
      <c r="C4488" s="76" t="s">
        <v>691</v>
      </c>
      <c r="D4488" s="210" t="s">
        <v>922</v>
      </c>
      <c r="E4488" s="79"/>
      <c r="F4488" s="79"/>
    </row>
    <row r="4489" spans="1:7">
      <c r="A4489" s="77">
        <f t="shared" ca="1" si="467"/>
        <v>46025</v>
      </c>
      <c r="B4489" s="80">
        <f t="shared" ca="1" si="468"/>
        <v>46025.69449548611</v>
      </c>
      <c r="C4489" s="76" t="s">
        <v>691</v>
      </c>
      <c r="D4489" s="210" t="s">
        <v>1098</v>
      </c>
      <c r="E4489" s="79"/>
      <c r="F4489" s="79"/>
      <c r="G4489" s="164" t="s">
        <v>694</v>
      </c>
    </row>
    <row r="4490" spans="1:7">
      <c r="A4490" s="77">
        <f t="shared" ca="1" si="467"/>
        <v>46025</v>
      </c>
      <c r="B4490" s="80">
        <f t="shared" ca="1" si="468"/>
        <v>46025.731703240737</v>
      </c>
      <c r="C4490" s="76" t="s">
        <v>695</v>
      </c>
      <c r="D4490" s="210" t="s">
        <v>906</v>
      </c>
      <c r="E4490" s="79"/>
      <c r="F4490" s="79"/>
    </row>
    <row r="4491" spans="1:7">
      <c r="A4491" s="77">
        <f t="shared" ca="1" si="467"/>
        <v>46025</v>
      </c>
      <c r="B4491" s="80">
        <f t="shared" ca="1" si="468"/>
        <v>46025.795169444442</v>
      </c>
      <c r="C4491" s="76" t="s">
        <v>695</v>
      </c>
      <c r="D4491" s="210" t="s">
        <v>909</v>
      </c>
      <c r="E4491" s="79"/>
      <c r="F4491" s="79"/>
    </row>
    <row r="4492" spans="1:7">
      <c r="A4492" s="77">
        <f t="shared" ca="1" si="467"/>
        <v>46025</v>
      </c>
      <c r="B4492" s="80">
        <f t="shared" ca="1" si="468"/>
        <v>46025.796689236115</v>
      </c>
      <c r="C4492" s="76" t="s">
        <v>695</v>
      </c>
      <c r="D4492" s="76" t="s">
        <v>902</v>
      </c>
      <c r="E4492" s="79" t="s">
        <v>2824</v>
      </c>
      <c r="F4492" s="79"/>
    </row>
    <row r="4493" spans="1:7">
      <c r="A4493" s="77">
        <f t="shared" ca="1" si="467"/>
        <v>46025</v>
      </c>
      <c r="B4493" s="80">
        <f t="shared" ca="1" si="468"/>
        <v>46025.801905324071</v>
      </c>
      <c r="C4493" s="76" t="s">
        <v>695</v>
      </c>
      <c r="D4493" s="76" t="s">
        <v>902</v>
      </c>
      <c r="E4493" s="79" t="s">
        <v>1486</v>
      </c>
      <c r="F4493" s="79"/>
    </row>
    <row r="4494" spans="1:7">
      <c r="A4494" s="77">
        <f t="shared" ca="1" si="467"/>
        <v>46025</v>
      </c>
      <c r="B4494" s="80">
        <f t="shared" ca="1" si="468"/>
        <v>46025.808086342593</v>
      </c>
      <c r="C4494" s="76" t="s">
        <v>695</v>
      </c>
      <c r="D4494" s="76" t="s">
        <v>902</v>
      </c>
      <c r="E4494" s="79" t="s">
        <v>2825</v>
      </c>
      <c r="F4494" s="79"/>
    </row>
    <row r="4495" spans="1:7">
      <c r="A4495" s="77">
        <f t="shared" ca="1" si="467"/>
        <v>46025</v>
      </c>
      <c r="B4495" s="80">
        <f t="shared" ca="1" si="468"/>
        <v>46025.814082986108</v>
      </c>
      <c r="C4495" s="76" t="s">
        <v>695</v>
      </c>
      <c r="D4495" s="76" t="s">
        <v>902</v>
      </c>
      <c r="E4495" s="79" t="s">
        <v>1063</v>
      </c>
      <c r="F4495" s="79"/>
    </row>
    <row r="4496" spans="1:7">
      <c r="A4496" s="77">
        <f t="shared" ca="1" si="467"/>
        <v>46025</v>
      </c>
      <c r="B4496" s="80">
        <f t="shared" ca="1" si="468"/>
        <v>46025.826824884258</v>
      </c>
      <c r="C4496" s="76" t="s">
        <v>695</v>
      </c>
      <c r="D4496" s="76" t="s">
        <v>902</v>
      </c>
      <c r="E4496" s="79" t="s">
        <v>2826</v>
      </c>
      <c r="F4496" s="79"/>
    </row>
    <row r="4497" spans="1:6">
      <c r="A4497" s="77">
        <f t="shared" ca="1" si="467"/>
        <v>46025</v>
      </c>
      <c r="B4497" s="80">
        <f t="shared" ca="1" si="468"/>
        <v>46025.828653356482</v>
      </c>
      <c r="C4497" s="76" t="s">
        <v>695</v>
      </c>
      <c r="D4497" s="76" t="s">
        <v>902</v>
      </c>
      <c r="E4497" s="79" t="s">
        <v>1062</v>
      </c>
      <c r="F4497" s="79"/>
    </row>
    <row r="4498" spans="1:6">
      <c r="A4498" s="77">
        <f t="shared" ca="1" si="467"/>
        <v>46025</v>
      </c>
      <c r="B4498" s="80">
        <f t="shared" ca="1" si="468"/>
        <v>46025.830903587965</v>
      </c>
      <c r="C4498" s="76" t="s">
        <v>695</v>
      </c>
      <c r="D4498" s="76" t="s">
        <v>902</v>
      </c>
      <c r="E4498" s="79" t="s">
        <v>2827</v>
      </c>
      <c r="F4498" s="79"/>
    </row>
    <row r="4499" spans="1:6">
      <c r="A4499" s="77">
        <f t="shared" ca="1" si="467"/>
        <v>46025</v>
      </c>
      <c r="B4499" s="80">
        <f t="shared" ca="1" si="468"/>
        <v>46025.845932291668</v>
      </c>
      <c r="C4499" s="76" t="s">
        <v>695</v>
      </c>
      <c r="D4499" s="76" t="s">
        <v>902</v>
      </c>
      <c r="E4499" s="79" t="s">
        <v>2828</v>
      </c>
      <c r="F4499" s="79"/>
    </row>
    <row r="4500" spans="1:6">
      <c r="A4500" s="77">
        <f t="shared" ca="1" si="467"/>
        <v>46025</v>
      </c>
      <c r="B4500" s="80">
        <f t="shared" ca="1" si="468"/>
        <v>46025.846196527775</v>
      </c>
      <c r="C4500" s="76" t="s">
        <v>695</v>
      </c>
      <c r="D4500" s="76" t="s">
        <v>902</v>
      </c>
      <c r="E4500" s="79" t="s">
        <v>2828</v>
      </c>
      <c r="F4500" s="79"/>
    </row>
    <row r="4501" spans="1:6">
      <c r="A4501" s="77">
        <f t="shared" ca="1" si="467"/>
        <v>46025</v>
      </c>
      <c r="B4501" s="80">
        <f t="shared" ca="1" si="468"/>
        <v>46025.847259490743</v>
      </c>
      <c r="C4501" s="76" t="s">
        <v>695</v>
      </c>
      <c r="D4501" s="76" t="s">
        <v>902</v>
      </c>
      <c r="E4501" s="79" t="s">
        <v>2829</v>
      </c>
      <c r="F4501" s="79"/>
    </row>
    <row r="4502" spans="1:6">
      <c r="A4502" s="77">
        <f t="shared" ca="1" si="467"/>
        <v>46025</v>
      </c>
      <c r="B4502" s="80">
        <f t="shared" ca="1" si="468"/>
        <v>46025.847742361111</v>
      </c>
      <c r="C4502" s="76" t="s">
        <v>695</v>
      </c>
      <c r="D4502" s="76" t="s">
        <v>902</v>
      </c>
      <c r="E4502" s="79" t="s">
        <v>2829</v>
      </c>
      <c r="F4502" s="79"/>
    </row>
    <row r="4503" spans="1:6">
      <c r="A4503" s="77">
        <f t="shared" ca="1" si="467"/>
        <v>46025</v>
      </c>
      <c r="B4503" s="80">
        <f t="shared" ca="1" si="468"/>
        <v>46025.84819571759</v>
      </c>
      <c r="C4503" s="76" t="s">
        <v>695</v>
      </c>
      <c r="D4503" s="76" t="s">
        <v>902</v>
      </c>
      <c r="E4503" s="79" t="s">
        <v>932</v>
      </c>
      <c r="F4503" s="79"/>
    </row>
    <row r="4504" spans="1:6">
      <c r="A4504" s="77">
        <f t="shared" ca="1" si="467"/>
        <v>46025</v>
      </c>
      <c r="B4504" s="80">
        <f t="shared" ca="1" si="468"/>
        <v>46025.848482175927</v>
      </c>
      <c r="C4504" s="76" t="s">
        <v>695</v>
      </c>
      <c r="D4504" s="76" t="s">
        <v>902</v>
      </c>
      <c r="E4504" s="79" t="s">
        <v>2830</v>
      </c>
      <c r="F4504" s="79"/>
    </row>
    <row r="4505" spans="1:6">
      <c r="A4505" s="77">
        <f t="shared" ca="1" si="467"/>
        <v>46025</v>
      </c>
      <c r="B4505" s="80">
        <f t="shared" ca="1" si="468"/>
        <v>46025.850250115742</v>
      </c>
      <c r="C4505" s="76" t="s">
        <v>695</v>
      </c>
      <c r="D4505" s="76" t="s">
        <v>902</v>
      </c>
      <c r="E4505" s="79" t="s">
        <v>1229</v>
      </c>
      <c r="F4505" s="79"/>
    </row>
    <row r="4506" spans="1:6">
      <c r="A4506" s="77">
        <f t="shared" ca="1" si="467"/>
        <v>46025</v>
      </c>
      <c r="B4506" s="80">
        <f t="shared" ca="1" si="468"/>
        <v>46025.852948495369</v>
      </c>
      <c r="C4506" s="76" t="s">
        <v>695</v>
      </c>
      <c r="D4506" s="76" t="s">
        <v>902</v>
      </c>
      <c r="E4506" s="79" t="s">
        <v>2831</v>
      </c>
      <c r="F4506" s="79"/>
    </row>
    <row r="4507" spans="1:6">
      <c r="A4507" s="77">
        <f t="shared" ca="1" si="467"/>
        <v>46025</v>
      </c>
      <c r="B4507" s="80">
        <f t="shared" ca="1" si="468"/>
        <v>46025.853435532408</v>
      </c>
      <c r="C4507" s="76" t="s">
        <v>695</v>
      </c>
      <c r="D4507" s="76" t="s">
        <v>902</v>
      </c>
      <c r="E4507" s="79" t="s">
        <v>932</v>
      </c>
      <c r="F4507" s="79"/>
    </row>
    <row r="4508" spans="1:6">
      <c r="A4508" s="77">
        <f t="shared" ca="1" si="467"/>
        <v>46025</v>
      </c>
      <c r="B4508" s="80">
        <f t="shared" ca="1" si="468"/>
        <v>46025.856962500002</v>
      </c>
      <c r="C4508" s="76" t="s">
        <v>695</v>
      </c>
      <c r="D4508" s="76" t="s">
        <v>902</v>
      </c>
      <c r="E4508" s="79" t="s">
        <v>2832</v>
      </c>
      <c r="F4508" s="79"/>
    </row>
    <row r="4509" spans="1:6">
      <c r="A4509" s="77">
        <f t="shared" ca="1" si="467"/>
        <v>46025</v>
      </c>
      <c r="B4509" s="80">
        <f t="shared" ca="1" si="468"/>
        <v>46025.856974537041</v>
      </c>
      <c r="C4509" s="76" t="s">
        <v>695</v>
      </c>
      <c r="D4509" s="76" t="s">
        <v>902</v>
      </c>
      <c r="E4509" s="79" t="s">
        <v>932</v>
      </c>
      <c r="F4509" s="79"/>
    </row>
    <row r="4510" spans="1:6">
      <c r="A4510" s="77">
        <f t="shared" ca="1" si="467"/>
        <v>46025</v>
      </c>
      <c r="B4510" s="80">
        <f t="shared" ca="1" si="468"/>
        <v>46025.857012152781</v>
      </c>
      <c r="C4510" s="76" t="s">
        <v>695</v>
      </c>
      <c r="D4510" s="76" t="s">
        <v>902</v>
      </c>
      <c r="E4510" s="79" t="s">
        <v>932</v>
      </c>
      <c r="F4510" s="79"/>
    </row>
    <row r="4511" spans="1:6">
      <c r="A4511" s="77">
        <f t="shared" ca="1" si="467"/>
        <v>46025</v>
      </c>
      <c r="B4511" s="80">
        <f t="shared" ca="1" si="468"/>
        <v>46025.857297916664</v>
      </c>
      <c r="C4511" s="76" t="s">
        <v>695</v>
      </c>
      <c r="D4511" s="76" t="s">
        <v>902</v>
      </c>
      <c r="E4511" s="79" t="s">
        <v>932</v>
      </c>
      <c r="F4511" s="79"/>
    </row>
    <row r="4512" spans="1:6">
      <c r="A4512" s="77">
        <f t="shared" ca="1" si="467"/>
        <v>46025</v>
      </c>
      <c r="B4512" s="80">
        <f t="shared" ca="1" si="468"/>
        <v>46025.861422106478</v>
      </c>
      <c r="C4512" s="76" t="s">
        <v>695</v>
      </c>
      <c r="D4512" s="76" t="s">
        <v>902</v>
      </c>
      <c r="E4512" s="79" t="s">
        <v>2833</v>
      </c>
      <c r="F4512" s="79"/>
    </row>
    <row r="4513" spans="1:6">
      <c r="A4513" s="77">
        <f t="shared" ca="1" si="467"/>
        <v>46025</v>
      </c>
      <c r="B4513" s="80">
        <f t="shared" ca="1" si="468"/>
        <v>46025.862777662034</v>
      </c>
      <c r="C4513" s="76" t="s">
        <v>695</v>
      </c>
      <c r="D4513" s="76" t="s">
        <v>902</v>
      </c>
      <c r="E4513" s="79" t="s">
        <v>2834</v>
      </c>
      <c r="F4513" s="79"/>
    </row>
    <row r="4514" spans="1:6">
      <c r="A4514" s="77">
        <f t="shared" ca="1" si="467"/>
        <v>46025</v>
      </c>
      <c r="B4514" s="80">
        <f t="shared" ca="1" si="468"/>
        <v>46025.862835648149</v>
      </c>
      <c r="C4514" s="76" t="s">
        <v>695</v>
      </c>
      <c r="D4514" s="76" t="s">
        <v>902</v>
      </c>
      <c r="E4514" s="79" t="s">
        <v>932</v>
      </c>
      <c r="F4514" s="79"/>
    </row>
    <row r="4515" spans="1:6">
      <c r="A4515" s="77">
        <f t="shared" ca="1" si="467"/>
        <v>46025</v>
      </c>
      <c r="B4515" s="80">
        <f t="shared" ca="1" si="468"/>
        <v>46025.863179166663</v>
      </c>
      <c r="C4515" s="76" t="s">
        <v>695</v>
      </c>
      <c r="D4515" s="76" t="s">
        <v>902</v>
      </c>
      <c r="E4515" s="79" t="s">
        <v>932</v>
      </c>
      <c r="F4515" s="79"/>
    </row>
    <row r="4516" spans="1:6">
      <c r="A4516" s="77">
        <f t="shared" ref="A4516:A4538" ca="1" si="469">IF(C4516&lt;&gt;0,IF(A4516=0,TODAY(),A4516),)</f>
        <v>46025</v>
      </c>
      <c r="B4516" s="80">
        <f t="shared" ref="B4516:B4538" ca="1" si="470">IF(C4516&lt;&gt;0,IF(B4516=0,NOW(),B4516),)</f>
        <v>46025.863441898146</v>
      </c>
      <c r="C4516" s="76" t="s">
        <v>695</v>
      </c>
      <c r="D4516" s="76" t="s">
        <v>902</v>
      </c>
      <c r="E4516" s="79" t="s">
        <v>932</v>
      </c>
      <c r="F4516" s="79"/>
    </row>
    <row r="4517" spans="1:6">
      <c r="A4517" s="77">
        <f t="shared" ca="1" si="469"/>
        <v>46025</v>
      </c>
      <c r="B4517" s="80">
        <f t="shared" ca="1" si="470"/>
        <v>46025.863497222221</v>
      </c>
      <c r="C4517" s="76" t="s">
        <v>695</v>
      </c>
      <c r="D4517" s="76" t="s">
        <v>902</v>
      </c>
      <c r="E4517" s="79" t="s">
        <v>2835</v>
      </c>
      <c r="F4517" s="79"/>
    </row>
    <row r="4518" spans="1:6">
      <c r="A4518" s="77">
        <f t="shared" ca="1" si="469"/>
        <v>46025</v>
      </c>
      <c r="B4518" s="80">
        <f t="shared" ca="1" si="470"/>
        <v>46025.888065162035</v>
      </c>
      <c r="C4518" s="76" t="s">
        <v>695</v>
      </c>
      <c r="D4518" s="76" t="s">
        <v>902</v>
      </c>
      <c r="E4518" s="79" t="s">
        <v>2836</v>
      </c>
      <c r="F4518" s="79"/>
    </row>
    <row r="4519" spans="1:6">
      <c r="A4519" s="77">
        <f t="shared" ca="1" si="469"/>
        <v>46025</v>
      </c>
      <c r="B4519" s="80">
        <f t="shared" ca="1" si="470"/>
        <v>46025.899081944444</v>
      </c>
      <c r="C4519" s="76" t="s">
        <v>695</v>
      </c>
      <c r="D4519" s="76" t="s">
        <v>902</v>
      </c>
      <c r="E4519" s="79" t="s">
        <v>2836</v>
      </c>
      <c r="F4519" s="79"/>
    </row>
    <row r="4520" spans="1:6">
      <c r="A4520" s="77">
        <f t="shared" ca="1" si="469"/>
        <v>46025</v>
      </c>
      <c r="B4520" s="80">
        <f t="shared" ca="1" si="470"/>
        <v>46025.903357523151</v>
      </c>
      <c r="C4520" s="76" t="s">
        <v>695</v>
      </c>
      <c r="D4520" s="76" t="s">
        <v>902</v>
      </c>
      <c r="E4520" s="79" t="s">
        <v>1006</v>
      </c>
      <c r="F4520" s="79"/>
    </row>
    <row r="4521" spans="1:6">
      <c r="A4521" s="77">
        <f t="shared" ca="1" si="469"/>
        <v>46025</v>
      </c>
      <c r="B4521" s="80">
        <f t="shared" ca="1" si="470"/>
        <v>46025.905349652778</v>
      </c>
      <c r="C4521" s="76" t="s">
        <v>695</v>
      </c>
      <c r="D4521" s="76" t="s">
        <v>902</v>
      </c>
      <c r="E4521" s="79" t="s">
        <v>1006</v>
      </c>
      <c r="F4521" s="79"/>
    </row>
    <row r="4522" spans="1:6">
      <c r="A4522" s="77">
        <f t="shared" ca="1" si="469"/>
        <v>46025</v>
      </c>
      <c r="B4522" s="80">
        <f t="shared" ca="1" si="470"/>
        <v>46025.905611111113</v>
      </c>
      <c r="C4522" s="76" t="s">
        <v>695</v>
      </c>
      <c r="D4522" s="76" t="s">
        <v>902</v>
      </c>
      <c r="E4522" s="79" t="s">
        <v>1489</v>
      </c>
      <c r="F4522" s="79"/>
    </row>
    <row r="4523" spans="1:6">
      <c r="A4523" s="77">
        <f t="shared" ca="1" si="469"/>
        <v>46025</v>
      </c>
      <c r="B4523" s="80">
        <f t="shared" ca="1" si="470"/>
        <v>46025.906164120373</v>
      </c>
      <c r="C4523" s="76" t="s">
        <v>695</v>
      </c>
      <c r="D4523" s="76" t="s">
        <v>902</v>
      </c>
      <c r="E4523" s="79" t="s">
        <v>2837</v>
      </c>
      <c r="F4523" s="79"/>
    </row>
    <row r="4524" spans="1:6">
      <c r="A4524" s="77">
        <f t="shared" ca="1" si="469"/>
        <v>46025</v>
      </c>
      <c r="B4524" s="80">
        <f t="shared" ca="1" si="470"/>
        <v>46025.924440856485</v>
      </c>
      <c r="C4524" s="76" t="s">
        <v>695</v>
      </c>
      <c r="D4524" s="76" t="s">
        <v>902</v>
      </c>
      <c r="E4524" s="79" t="s">
        <v>1489</v>
      </c>
      <c r="F4524" s="79"/>
    </row>
    <row r="4525" spans="1:6">
      <c r="A4525" s="77">
        <f t="shared" ca="1" si="469"/>
        <v>46025</v>
      </c>
      <c r="B4525" s="80">
        <f t="shared" ca="1" si="470"/>
        <v>46025.928253240738</v>
      </c>
      <c r="C4525" s="76" t="s">
        <v>695</v>
      </c>
      <c r="D4525" s="76" t="s">
        <v>902</v>
      </c>
      <c r="E4525" s="79" t="s">
        <v>1197</v>
      </c>
      <c r="F4525" s="79"/>
    </row>
    <row r="4526" spans="1:6">
      <c r="A4526" s="77">
        <f t="shared" ca="1" si="469"/>
        <v>46025</v>
      </c>
      <c r="B4526" s="80">
        <f t="shared" ca="1" si="470"/>
        <v>46025.930560300927</v>
      </c>
      <c r="C4526" s="76" t="s">
        <v>695</v>
      </c>
      <c r="D4526" s="76" t="s">
        <v>902</v>
      </c>
      <c r="E4526" s="79" t="s">
        <v>2838</v>
      </c>
      <c r="F4526" s="79"/>
    </row>
    <row r="4527" spans="1:6">
      <c r="A4527" s="77">
        <f t="shared" ca="1" si="469"/>
        <v>46025</v>
      </c>
      <c r="B4527" s="80">
        <f t="shared" ca="1" si="470"/>
        <v>46025.934418287034</v>
      </c>
      <c r="C4527" s="76" t="s">
        <v>695</v>
      </c>
      <c r="D4527" s="76" t="s">
        <v>902</v>
      </c>
      <c r="E4527" s="79" t="s">
        <v>1489</v>
      </c>
      <c r="F4527" s="79"/>
    </row>
    <row r="4528" spans="1:6">
      <c r="A4528" s="77">
        <f t="shared" ca="1" si="469"/>
        <v>46025</v>
      </c>
      <c r="B4528" s="80">
        <f t="shared" ca="1" si="470"/>
        <v>46025.942383680558</v>
      </c>
      <c r="C4528" s="76" t="s">
        <v>695</v>
      </c>
      <c r="D4528" s="210" t="s">
        <v>922</v>
      </c>
      <c r="E4528" s="79"/>
      <c r="F4528" s="79"/>
    </row>
    <row r="4529" spans="1:7">
      <c r="A4529" s="77">
        <f t="shared" ca="1" si="469"/>
        <v>46025</v>
      </c>
      <c r="B4529" s="80">
        <f t="shared" ca="1" si="470"/>
        <v>46025.979836574072</v>
      </c>
      <c r="C4529" s="76" t="s">
        <v>695</v>
      </c>
      <c r="D4529" s="210" t="s">
        <v>1098</v>
      </c>
      <c r="E4529" s="79"/>
      <c r="F4529" s="79"/>
      <c r="G4529" s="150" t="s">
        <v>2839</v>
      </c>
    </row>
    <row r="4530" spans="1:7">
      <c r="A4530" s="77">
        <f t="shared" ca="1" si="469"/>
        <v>46026</v>
      </c>
      <c r="B4530" s="80">
        <f t="shared" ca="1" si="470"/>
        <v>46026.029078587962</v>
      </c>
      <c r="C4530" s="76" t="s">
        <v>699</v>
      </c>
      <c r="D4530" s="210" t="s">
        <v>906</v>
      </c>
      <c r="E4530" s="79"/>
      <c r="F4530" s="79"/>
    </row>
    <row r="4531" spans="1:7">
      <c r="A4531" s="77">
        <f t="shared" ca="1" si="469"/>
        <v>46026</v>
      </c>
      <c r="B4531" s="80">
        <f t="shared" ca="1" si="470"/>
        <v>46026.087315972225</v>
      </c>
      <c r="C4531" s="76" t="s">
        <v>699</v>
      </c>
      <c r="D4531" s="210" t="s">
        <v>909</v>
      </c>
      <c r="E4531" s="79"/>
      <c r="F4531" s="79"/>
    </row>
    <row r="4532" spans="1:7">
      <c r="A4532" s="77">
        <f t="shared" ca="1" si="469"/>
        <v>46026</v>
      </c>
      <c r="B4532" s="80">
        <f t="shared" ca="1" si="470"/>
        <v>46026.120718865743</v>
      </c>
      <c r="C4532" s="76" t="s">
        <v>699</v>
      </c>
      <c r="D4532" s="76" t="s">
        <v>902</v>
      </c>
      <c r="E4532" s="79" t="s">
        <v>2840</v>
      </c>
      <c r="F4532" s="79"/>
    </row>
    <row r="4533" spans="1:7">
      <c r="A4533" s="77">
        <f t="shared" ca="1" si="469"/>
        <v>46026</v>
      </c>
      <c r="B4533" s="80">
        <f t="shared" ca="1" si="470"/>
        <v>46026.134130902778</v>
      </c>
      <c r="C4533" s="76" t="s">
        <v>699</v>
      </c>
      <c r="D4533" s="76" t="s">
        <v>902</v>
      </c>
      <c r="E4533" s="79" t="s">
        <v>1346</v>
      </c>
      <c r="F4533" s="79"/>
    </row>
    <row r="4534" spans="1:7">
      <c r="A4534" s="77">
        <f t="shared" ca="1" si="469"/>
        <v>46026</v>
      </c>
      <c r="B4534" s="80">
        <f t="shared" ca="1" si="470"/>
        <v>46026.144217245368</v>
      </c>
      <c r="C4534" s="76" t="s">
        <v>699</v>
      </c>
      <c r="D4534" s="76" t="s">
        <v>902</v>
      </c>
      <c r="E4534" s="79" t="s">
        <v>2827</v>
      </c>
      <c r="F4534" s="79"/>
    </row>
    <row r="4535" spans="1:7">
      <c r="A4535" s="77">
        <f t="shared" ca="1" si="469"/>
        <v>46026</v>
      </c>
      <c r="B4535" s="80">
        <f t="shared" ca="1" si="470"/>
        <v>46026.146577777778</v>
      </c>
      <c r="C4535" s="76" t="s">
        <v>699</v>
      </c>
      <c r="D4535" s="76" t="s">
        <v>902</v>
      </c>
      <c r="E4535" s="79" t="s">
        <v>2841</v>
      </c>
      <c r="F4535" s="79"/>
    </row>
    <row r="4536" spans="1:7">
      <c r="A4536" s="77">
        <f t="shared" ca="1" si="469"/>
        <v>46026</v>
      </c>
      <c r="B4536" s="80">
        <f t="shared" ca="1" si="470"/>
        <v>46026.159071064816</v>
      </c>
      <c r="C4536" s="76" t="s">
        <v>699</v>
      </c>
      <c r="D4536" s="76" t="s">
        <v>902</v>
      </c>
      <c r="E4536" s="79" t="s">
        <v>1324</v>
      </c>
      <c r="F4536" s="79"/>
    </row>
    <row r="4537" spans="1:7">
      <c r="A4537" s="77">
        <f t="shared" ca="1" si="469"/>
        <v>46026</v>
      </c>
      <c r="B4537" s="80">
        <f t="shared" ca="1" si="470"/>
        <v>46026.163241666669</v>
      </c>
      <c r="C4537" s="76" t="s">
        <v>699</v>
      </c>
      <c r="D4537" s="76" t="s">
        <v>902</v>
      </c>
      <c r="E4537" s="79" t="s">
        <v>2842</v>
      </c>
      <c r="F4537" s="79"/>
    </row>
    <row r="4538" spans="1:7">
      <c r="A4538" s="77">
        <f t="shared" ca="1" si="469"/>
        <v>46026</v>
      </c>
      <c r="B4538" s="80">
        <f t="shared" ca="1" si="470"/>
        <v>46026.173263078701</v>
      </c>
      <c r="C4538" s="76" t="s">
        <v>699</v>
      </c>
      <c r="D4538" s="76" t="s">
        <v>902</v>
      </c>
      <c r="E4538" s="79" t="s">
        <v>2349</v>
      </c>
      <c r="F4538" s="79"/>
    </row>
    <row r="4539" spans="1:7">
      <c r="A4539" s="77">
        <f t="shared" ref="A4539:A4569" ca="1" si="471">IF(C4539&lt;&gt;0,IF(A4539=0,TODAY(),A4539),)</f>
        <v>46026</v>
      </c>
      <c r="B4539" s="80">
        <f t="shared" ref="B4539:B4569" ca="1" si="472">IF(C4539&lt;&gt;0,IF(B4539=0,NOW(),B4539),)</f>
        <v>46026.181394212967</v>
      </c>
      <c r="C4539" s="76" t="s">
        <v>699</v>
      </c>
      <c r="D4539" s="76" t="s">
        <v>902</v>
      </c>
      <c r="E4539" s="79" t="s">
        <v>1370</v>
      </c>
      <c r="F4539" s="79"/>
    </row>
    <row r="4540" spans="1:7">
      <c r="A4540" s="77">
        <f t="shared" ca="1" si="471"/>
        <v>46026</v>
      </c>
      <c r="B4540" s="80">
        <f t="shared" ca="1" si="472"/>
        <v>46026.18357523148</v>
      </c>
      <c r="C4540" s="76" t="s">
        <v>699</v>
      </c>
      <c r="D4540" s="76" t="s">
        <v>902</v>
      </c>
      <c r="E4540" s="79" t="s">
        <v>2843</v>
      </c>
      <c r="F4540" s="79"/>
    </row>
    <row r="4541" spans="1:7">
      <c r="A4541" s="77">
        <f t="shared" ca="1" si="471"/>
        <v>46026</v>
      </c>
      <c r="B4541" s="80">
        <f t="shared" ca="1" si="472"/>
        <v>46026.18899328704</v>
      </c>
      <c r="C4541" s="76" t="s">
        <v>699</v>
      </c>
      <c r="D4541" s="76" t="s">
        <v>902</v>
      </c>
      <c r="E4541" s="79" t="s">
        <v>2246</v>
      </c>
      <c r="F4541" s="79"/>
    </row>
    <row r="4542" spans="1:7">
      <c r="A4542" s="77">
        <f t="shared" ca="1" si="471"/>
        <v>46026</v>
      </c>
      <c r="B4542" s="80">
        <f t="shared" ca="1" si="472"/>
        <v>46026.205032175923</v>
      </c>
      <c r="C4542" s="76" t="s">
        <v>699</v>
      </c>
      <c r="D4542" s="76" t="s">
        <v>902</v>
      </c>
      <c r="E4542" s="79" t="s">
        <v>2844</v>
      </c>
      <c r="F4542" s="79"/>
    </row>
    <row r="4543" spans="1:7">
      <c r="A4543" s="77">
        <f t="shared" ca="1" si="471"/>
        <v>46026</v>
      </c>
      <c r="B4543" s="80">
        <f t="shared" ca="1" si="472"/>
        <v>46026.244653703703</v>
      </c>
      <c r="C4543" s="76" t="s">
        <v>699</v>
      </c>
      <c r="D4543" s="76" t="s">
        <v>902</v>
      </c>
      <c r="E4543" s="79" t="s">
        <v>1062</v>
      </c>
      <c r="F4543" s="79"/>
    </row>
    <row r="4544" spans="1:7">
      <c r="A4544" s="77">
        <f t="shared" ca="1" si="471"/>
        <v>46026</v>
      </c>
      <c r="B4544" s="80">
        <f t="shared" ca="1" si="472"/>
        <v>46026.25312523148</v>
      </c>
      <c r="C4544" s="76" t="s">
        <v>699</v>
      </c>
      <c r="D4544" s="150" t="s">
        <v>1007</v>
      </c>
      <c r="E4544" s="79" t="s">
        <v>2845</v>
      </c>
      <c r="F4544" s="79"/>
    </row>
    <row r="4545" spans="1:7">
      <c r="A4545" s="77">
        <f t="shared" ca="1" si="471"/>
        <v>46026</v>
      </c>
      <c r="B4545" s="80">
        <f t="shared" ca="1" si="472"/>
        <v>46026.272568171298</v>
      </c>
      <c r="C4545" s="76" t="s">
        <v>699</v>
      </c>
      <c r="D4545" s="210" t="s">
        <v>922</v>
      </c>
      <c r="E4545" s="79"/>
      <c r="F4545" s="79"/>
    </row>
    <row r="4546" spans="1:7">
      <c r="A4546" s="77">
        <f t="shared" ca="1" si="471"/>
        <v>46026</v>
      </c>
      <c r="B4546" s="80">
        <f t="shared" ca="1" si="472"/>
        <v>46026.310905787039</v>
      </c>
      <c r="C4546" s="76" t="s">
        <v>699</v>
      </c>
      <c r="D4546" s="210" t="s">
        <v>1098</v>
      </c>
      <c r="E4546" s="79"/>
      <c r="F4546" s="79"/>
      <c r="G4546" s="150" t="s">
        <v>2846</v>
      </c>
    </row>
    <row r="4547" spans="1:7">
      <c r="A4547" s="77">
        <f t="shared" ca="1" si="471"/>
        <v>46026</v>
      </c>
      <c r="B4547" s="80">
        <f t="shared" ca="1" si="472"/>
        <v>46026.370235069444</v>
      </c>
      <c r="C4547" s="76" t="s">
        <v>703</v>
      </c>
      <c r="D4547" s="210" t="s">
        <v>906</v>
      </c>
      <c r="E4547" s="79"/>
      <c r="F4547" s="79"/>
    </row>
    <row r="4548" spans="1:7">
      <c r="A4548" s="77">
        <f t="shared" ca="1" si="471"/>
        <v>46026</v>
      </c>
      <c r="B4548" s="80">
        <f t="shared" ca="1" si="472"/>
        <v>46026.44126550926</v>
      </c>
      <c r="C4548" s="76" t="s">
        <v>703</v>
      </c>
      <c r="D4548" s="210" t="s">
        <v>909</v>
      </c>
      <c r="E4548" s="79"/>
      <c r="F4548" s="79"/>
    </row>
    <row r="4549" spans="1:7">
      <c r="A4549" s="77">
        <f t="shared" ca="1" si="471"/>
        <v>46026</v>
      </c>
      <c r="B4549" s="80">
        <f t="shared" ca="1" si="472"/>
        <v>46026.448176851853</v>
      </c>
      <c r="C4549" s="76" t="s">
        <v>703</v>
      </c>
      <c r="D4549" s="76" t="s">
        <v>902</v>
      </c>
      <c r="E4549" s="79" t="s">
        <v>2847</v>
      </c>
      <c r="F4549" s="79"/>
    </row>
    <row r="4550" spans="1:7">
      <c r="A4550" s="77">
        <f t="shared" ca="1" si="471"/>
        <v>46026</v>
      </c>
      <c r="B4550" s="80">
        <f t="shared" ca="1" si="472"/>
        <v>46026.448217708334</v>
      </c>
      <c r="C4550" s="76" t="s">
        <v>703</v>
      </c>
      <c r="D4550" s="76" t="s">
        <v>902</v>
      </c>
      <c r="E4550" s="79" t="s">
        <v>1346</v>
      </c>
      <c r="F4550" s="79"/>
    </row>
    <row r="4551" spans="1:7">
      <c r="A4551" s="77">
        <f t="shared" ca="1" si="471"/>
        <v>46026</v>
      </c>
      <c r="B4551" s="80">
        <f t="shared" ca="1" si="472"/>
        <v>46026.450670486112</v>
      </c>
      <c r="C4551" s="76" t="s">
        <v>703</v>
      </c>
      <c r="D4551" s="76" t="s">
        <v>902</v>
      </c>
      <c r="E4551" s="79" t="s">
        <v>2847</v>
      </c>
      <c r="F4551" s="79"/>
    </row>
    <row r="4552" spans="1:7">
      <c r="A4552" s="77">
        <f t="shared" ca="1" si="471"/>
        <v>46026</v>
      </c>
      <c r="B4552" s="80">
        <f t="shared" ca="1" si="472"/>
        <v>46026.467258912038</v>
      </c>
      <c r="C4552" s="76" t="s">
        <v>703</v>
      </c>
      <c r="D4552" s="76" t="s">
        <v>902</v>
      </c>
      <c r="E4552" s="79" t="s">
        <v>2349</v>
      </c>
      <c r="F4552" s="79"/>
    </row>
    <row r="4553" spans="1:7">
      <c r="A4553" s="77">
        <f t="shared" ca="1" si="471"/>
        <v>46026</v>
      </c>
      <c r="B4553" s="80">
        <f t="shared" ca="1" si="472"/>
        <v>46026.468939004626</v>
      </c>
      <c r="C4553" s="76" t="s">
        <v>703</v>
      </c>
      <c r="D4553" s="76" t="s">
        <v>902</v>
      </c>
      <c r="E4553" s="79" t="s">
        <v>2349</v>
      </c>
      <c r="F4553" s="79"/>
    </row>
    <row r="4554" spans="1:7">
      <c r="A4554" s="77">
        <f t="shared" ca="1" si="471"/>
        <v>46026</v>
      </c>
      <c r="B4554" s="80">
        <f t="shared" ca="1" si="472"/>
        <v>46026.476679976855</v>
      </c>
      <c r="C4554" s="76" t="s">
        <v>703</v>
      </c>
      <c r="D4554" s="76" t="s">
        <v>902</v>
      </c>
      <c r="E4554" s="79" t="s">
        <v>1489</v>
      </c>
      <c r="F4554" s="79"/>
    </row>
    <row r="4555" spans="1:7">
      <c r="A4555" s="77">
        <f t="shared" ca="1" si="471"/>
        <v>46026</v>
      </c>
      <c r="B4555" s="80">
        <f t="shared" ca="1" si="472"/>
        <v>46026.479063310187</v>
      </c>
      <c r="C4555" s="76" t="s">
        <v>703</v>
      </c>
      <c r="D4555" s="76" t="s">
        <v>902</v>
      </c>
      <c r="E4555" s="79" t="s">
        <v>2848</v>
      </c>
      <c r="F4555" s="79"/>
    </row>
    <row r="4556" spans="1:7">
      <c r="A4556" s="77">
        <f t="shared" ca="1" si="471"/>
        <v>46026</v>
      </c>
      <c r="B4556" s="80">
        <f t="shared" ca="1" si="472"/>
        <v>46026.480660995374</v>
      </c>
      <c r="C4556" s="76" t="s">
        <v>703</v>
      </c>
      <c r="D4556" s="76" t="s">
        <v>902</v>
      </c>
      <c r="E4556" s="79" t="s">
        <v>2849</v>
      </c>
      <c r="F4556" s="79"/>
    </row>
    <row r="4557" spans="1:7">
      <c r="A4557" s="77">
        <f t="shared" ca="1" si="471"/>
        <v>46026</v>
      </c>
      <c r="B4557" s="80">
        <f t="shared" ca="1" si="472"/>
        <v>46026.481576851853</v>
      </c>
      <c r="C4557" s="76" t="s">
        <v>703</v>
      </c>
      <c r="D4557" s="76" t="s">
        <v>902</v>
      </c>
      <c r="E4557" s="79" t="s">
        <v>1346</v>
      </c>
      <c r="F4557" s="79"/>
    </row>
    <row r="4558" spans="1:7">
      <c r="A4558" s="77">
        <f t="shared" ca="1" si="471"/>
        <v>46026</v>
      </c>
      <c r="B4558" s="80">
        <f t="shared" ca="1" si="472"/>
        <v>46026.481873379627</v>
      </c>
      <c r="C4558" s="76" t="s">
        <v>703</v>
      </c>
      <c r="D4558" s="76" t="s">
        <v>902</v>
      </c>
      <c r="E4558" s="79" t="s">
        <v>2850</v>
      </c>
      <c r="F4558" s="79"/>
    </row>
    <row r="4559" spans="1:7">
      <c r="A4559" s="77">
        <f t="shared" ca="1" si="471"/>
        <v>46026</v>
      </c>
      <c r="B4559" s="80">
        <f t="shared" ca="1" si="472"/>
        <v>46026.483954861113</v>
      </c>
      <c r="C4559" s="76" t="s">
        <v>703</v>
      </c>
      <c r="D4559" s="76" t="s">
        <v>902</v>
      </c>
      <c r="E4559" s="79" t="s">
        <v>1346</v>
      </c>
      <c r="F4559" s="79"/>
    </row>
    <row r="4560" spans="1:7">
      <c r="A4560" s="77">
        <f t="shared" ca="1" si="471"/>
        <v>46026</v>
      </c>
      <c r="B4560" s="80">
        <f t="shared" ca="1" si="472"/>
        <v>46026.493595254629</v>
      </c>
      <c r="C4560" s="76" t="s">
        <v>703</v>
      </c>
      <c r="D4560" s="76" t="s">
        <v>902</v>
      </c>
      <c r="E4560" s="79" t="s">
        <v>1426</v>
      </c>
      <c r="F4560" s="79"/>
    </row>
    <row r="4561" spans="1:6">
      <c r="A4561" s="77">
        <f t="shared" ca="1" si="471"/>
        <v>46026</v>
      </c>
      <c r="B4561" s="80">
        <f t="shared" ca="1" si="472"/>
        <v>46026.502176273149</v>
      </c>
      <c r="C4561" s="76" t="s">
        <v>703</v>
      </c>
      <c r="D4561" s="76" t="s">
        <v>902</v>
      </c>
      <c r="E4561" s="79" t="s">
        <v>2851</v>
      </c>
      <c r="F4561" s="79"/>
    </row>
    <row r="4562" spans="1:6">
      <c r="A4562" s="77">
        <f t="shared" ca="1" si="471"/>
        <v>46026</v>
      </c>
      <c r="B4562" s="80">
        <f t="shared" ca="1" si="472"/>
        <v>46026.503975462962</v>
      </c>
      <c r="C4562" s="76" t="s">
        <v>703</v>
      </c>
      <c r="D4562" s="76" t="s">
        <v>902</v>
      </c>
      <c r="E4562" s="79" t="s">
        <v>2852</v>
      </c>
      <c r="F4562" s="79"/>
    </row>
    <row r="4563" spans="1:6">
      <c r="A4563" s="77">
        <f t="shared" ca="1" si="471"/>
        <v>46026</v>
      </c>
      <c r="B4563" s="80">
        <f t="shared" ca="1" si="472"/>
        <v>46026.505466666669</v>
      </c>
      <c r="C4563" s="76" t="s">
        <v>703</v>
      </c>
      <c r="D4563" s="76" t="s">
        <v>902</v>
      </c>
      <c r="E4563" s="79" t="s">
        <v>1555</v>
      </c>
      <c r="F4563" s="79"/>
    </row>
    <row r="4564" spans="1:6">
      <c r="A4564" s="77">
        <f t="shared" ca="1" si="471"/>
        <v>46026</v>
      </c>
      <c r="B4564" s="80">
        <f t="shared" ca="1" si="472"/>
        <v>46026.510285185184</v>
      </c>
      <c r="C4564" s="76" t="s">
        <v>703</v>
      </c>
      <c r="D4564" s="150" t="s">
        <v>1007</v>
      </c>
      <c r="E4564" s="79" t="s">
        <v>2040</v>
      </c>
      <c r="F4564" s="79"/>
    </row>
    <row r="4565" spans="1:6">
      <c r="A4565" s="77">
        <f t="shared" ca="1" si="471"/>
        <v>46026</v>
      </c>
      <c r="B4565" s="80">
        <f t="shared" ca="1" si="472"/>
        <v>46026.510599074078</v>
      </c>
      <c r="C4565" s="76" t="s">
        <v>703</v>
      </c>
      <c r="D4565" s="76" t="s">
        <v>902</v>
      </c>
      <c r="E4565" s="79" t="s">
        <v>1555</v>
      </c>
      <c r="F4565" s="79"/>
    </row>
    <row r="4566" spans="1:6">
      <c r="A4566" s="77">
        <f t="shared" ca="1" si="471"/>
        <v>46026</v>
      </c>
      <c r="B4566" s="80">
        <f t="shared" ca="1" si="472"/>
        <v>46026.516684953705</v>
      </c>
      <c r="C4566" s="76" t="s">
        <v>703</v>
      </c>
      <c r="D4566" s="150" t="s">
        <v>1007</v>
      </c>
      <c r="E4566" s="79" t="s">
        <v>2782</v>
      </c>
      <c r="F4566" s="79"/>
    </row>
    <row r="4567" spans="1:6">
      <c r="A4567" s="77">
        <f t="shared" ca="1" si="471"/>
        <v>46026</v>
      </c>
      <c r="B4567" s="80">
        <f t="shared" ca="1" si="472"/>
        <v>46026.518561689816</v>
      </c>
      <c r="C4567" s="76" t="s">
        <v>703</v>
      </c>
      <c r="D4567" s="76" t="s">
        <v>902</v>
      </c>
      <c r="E4567" s="79" t="s">
        <v>1505</v>
      </c>
      <c r="F4567" s="79"/>
    </row>
    <row r="4568" spans="1:6">
      <c r="A4568" s="77">
        <f t="shared" ca="1" si="471"/>
        <v>46026</v>
      </c>
      <c r="B4568" s="80">
        <f t="shared" ca="1" si="472"/>
        <v>46026.51891712963</v>
      </c>
      <c r="C4568" s="76" t="s">
        <v>703</v>
      </c>
      <c r="D4568" s="76" t="s">
        <v>902</v>
      </c>
      <c r="E4568" s="79" t="s">
        <v>2068</v>
      </c>
      <c r="F4568" s="79"/>
    </row>
    <row r="4569" spans="1:6">
      <c r="A4569" s="77">
        <f t="shared" ca="1" si="471"/>
        <v>46026</v>
      </c>
      <c r="B4569" s="80">
        <f t="shared" ca="1" si="472"/>
        <v>46026.521924652778</v>
      </c>
      <c r="C4569" s="76" t="s">
        <v>703</v>
      </c>
      <c r="D4569" s="76" t="s">
        <v>902</v>
      </c>
      <c r="E4569" s="79" t="s">
        <v>2853</v>
      </c>
      <c r="F4569" s="79"/>
    </row>
    <row r="4570" spans="1:6">
      <c r="A4570" s="77">
        <f t="shared" ref="A4570:A4597" ca="1" si="473">IF(C4570&lt;&gt;0,IF(A4570=0,TODAY(),A4570),)</f>
        <v>46026</v>
      </c>
      <c r="B4570" s="80">
        <f t="shared" ref="B4570:B4632" ca="1" si="474">IF(C4570&lt;&gt;0,IF(B4570=0,NOW(),B4570),)</f>
        <v>46026.524759722219</v>
      </c>
      <c r="C4570" s="76" t="s">
        <v>703</v>
      </c>
      <c r="D4570" s="76" t="s">
        <v>902</v>
      </c>
      <c r="E4570" s="79" t="s">
        <v>2854</v>
      </c>
      <c r="F4570" s="79"/>
    </row>
    <row r="4571" spans="1:6">
      <c r="A4571" s="77">
        <f t="shared" ca="1" si="473"/>
        <v>46026</v>
      </c>
      <c r="B4571" s="80">
        <f t="shared" ca="1" si="474"/>
        <v>46026.527142939813</v>
      </c>
      <c r="C4571" s="76" t="s">
        <v>703</v>
      </c>
      <c r="D4571" s="76" t="s">
        <v>902</v>
      </c>
      <c r="E4571" s="79" t="s">
        <v>1426</v>
      </c>
      <c r="F4571" s="79"/>
    </row>
    <row r="4572" spans="1:6">
      <c r="A4572" s="77">
        <f t="shared" ca="1" si="473"/>
        <v>46026</v>
      </c>
      <c r="B4572" s="80">
        <f t="shared" ca="1" si="474"/>
        <v>46026.533587962964</v>
      </c>
      <c r="C4572" s="76" t="s">
        <v>703</v>
      </c>
      <c r="D4572" s="76" t="s">
        <v>902</v>
      </c>
      <c r="E4572" s="79" t="s">
        <v>942</v>
      </c>
      <c r="F4572" s="79"/>
    </row>
    <row r="4573" spans="1:6">
      <c r="A4573" s="77">
        <f t="shared" ca="1" si="473"/>
        <v>46026</v>
      </c>
      <c r="B4573" s="80">
        <f t="shared" ca="1" si="474"/>
        <v>46026.534294444442</v>
      </c>
      <c r="C4573" s="76" t="s">
        <v>703</v>
      </c>
      <c r="D4573" s="76" t="s">
        <v>902</v>
      </c>
      <c r="E4573" s="79" t="s">
        <v>932</v>
      </c>
      <c r="F4573" s="79"/>
    </row>
    <row r="4574" spans="1:6">
      <c r="A4574" s="77">
        <f t="shared" ca="1" si="473"/>
        <v>46026</v>
      </c>
      <c r="B4574" s="80">
        <f t="shared" ca="1" si="474"/>
        <v>46026.535652662038</v>
      </c>
      <c r="C4574" s="76" t="s">
        <v>703</v>
      </c>
      <c r="D4574" s="76" t="s">
        <v>902</v>
      </c>
      <c r="E4574" s="79" t="s">
        <v>2830</v>
      </c>
      <c r="F4574" s="79"/>
    </row>
    <row r="4575" spans="1:6">
      <c r="A4575" s="77">
        <f t="shared" ca="1" si="473"/>
        <v>46026</v>
      </c>
      <c r="B4575" s="80">
        <f t="shared" ca="1" si="474"/>
        <v>46026.538102430553</v>
      </c>
      <c r="C4575" s="76" t="s">
        <v>703</v>
      </c>
      <c r="D4575" s="76" t="s">
        <v>902</v>
      </c>
      <c r="E4575" s="79" t="s">
        <v>1555</v>
      </c>
      <c r="F4575" s="79"/>
    </row>
    <row r="4576" spans="1:6">
      <c r="A4576" s="77">
        <f t="shared" ca="1" si="473"/>
        <v>46026</v>
      </c>
      <c r="B4576" s="80">
        <f t="shared" ca="1" si="474"/>
        <v>46026.54120428241</v>
      </c>
      <c r="C4576" s="76" t="s">
        <v>703</v>
      </c>
      <c r="D4576" s="150" t="s">
        <v>1007</v>
      </c>
      <c r="E4576" s="79" t="s">
        <v>2830</v>
      </c>
      <c r="F4576" s="79"/>
    </row>
    <row r="4577" spans="1:7">
      <c r="A4577" s="77">
        <f t="shared" ca="1" si="473"/>
        <v>46026</v>
      </c>
      <c r="B4577" s="80">
        <f t="shared" ca="1" si="474"/>
        <v>46026.546576967594</v>
      </c>
      <c r="C4577" s="76" t="s">
        <v>703</v>
      </c>
      <c r="D4577" s="76" t="s">
        <v>902</v>
      </c>
      <c r="E4577" s="79" t="s">
        <v>2855</v>
      </c>
      <c r="F4577" s="79"/>
    </row>
    <row r="4578" spans="1:7">
      <c r="A4578" s="77">
        <f t="shared" ca="1" si="473"/>
        <v>46026</v>
      </c>
      <c r="B4578" s="80">
        <f t="shared" ca="1" si="474"/>
        <v>46026.556432638892</v>
      </c>
      <c r="C4578" s="76" t="s">
        <v>703</v>
      </c>
      <c r="D4578" s="76" t="s">
        <v>902</v>
      </c>
      <c r="E4578" s="79" t="s">
        <v>932</v>
      </c>
      <c r="F4578" s="79"/>
    </row>
    <row r="4579" spans="1:7">
      <c r="A4579" s="77">
        <f t="shared" ca="1" si="473"/>
        <v>46026</v>
      </c>
      <c r="B4579" s="80">
        <f t="shared" ca="1" si="474"/>
        <v>46026.556923958335</v>
      </c>
      <c r="C4579" s="76" t="s">
        <v>703</v>
      </c>
      <c r="D4579" s="76" t="s">
        <v>902</v>
      </c>
      <c r="E4579" s="79" t="s">
        <v>1357</v>
      </c>
      <c r="F4579" s="79"/>
    </row>
    <row r="4580" spans="1:7">
      <c r="A4580" s="77">
        <f t="shared" ca="1" si="473"/>
        <v>46026</v>
      </c>
      <c r="B4580" s="80">
        <f t="shared" ca="1" si="474"/>
        <v>46026.558958564812</v>
      </c>
      <c r="C4580" s="76" t="s">
        <v>703</v>
      </c>
      <c r="D4580" s="76" t="s">
        <v>902</v>
      </c>
      <c r="E4580" s="79" t="s">
        <v>2856</v>
      </c>
      <c r="F4580" s="79"/>
    </row>
    <row r="4581" spans="1:7">
      <c r="A4581" s="77">
        <f t="shared" ca="1" si="473"/>
        <v>46026</v>
      </c>
      <c r="B4581" s="80">
        <f t="shared" ca="1" si="474"/>
        <v>46026.560178935186</v>
      </c>
      <c r="C4581" s="76" t="s">
        <v>703</v>
      </c>
      <c r="D4581" s="76" t="s">
        <v>902</v>
      </c>
      <c r="E4581" s="79" t="s">
        <v>1426</v>
      </c>
      <c r="F4581" s="79"/>
    </row>
    <row r="4582" spans="1:7">
      <c r="A4582" s="77">
        <f t="shared" ca="1" si="473"/>
        <v>46026</v>
      </c>
      <c r="B4582" s="80">
        <f t="shared" ca="1" si="474"/>
        <v>46026.566721875002</v>
      </c>
      <c r="C4582" s="76" t="s">
        <v>703</v>
      </c>
      <c r="D4582" s="76" t="s">
        <v>902</v>
      </c>
      <c r="E4582" s="79" t="s">
        <v>2140</v>
      </c>
      <c r="F4582" s="79"/>
    </row>
    <row r="4583" spans="1:7">
      <c r="A4583" s="77">
        <f t="shared" ca="1" si="473"/>
        <v>46026</v>
      </c>
      <c r="B4583" s="80">
        <f t="shared" ca="1" si="474"/>
        <v>46026.569986574075</v>
      </c>
      <c r="C4583" s="76" t="s">
        <v>703</v>
      </c>
      <c r="D4583" s="76" t="s">
        <v>902</v>
      </c>
      <c r="E4583" s="79" t="s">
        <v>1426</v>
      </c>
      <c r="F4583" s="79"/>
    </row>
    <row r="4584" spans="1:7">
      <c r="A4584" s="77">
        <f t="shared" ca="1" si="473"/>
        <v>46026</v>
      </c>
      <c r="B4584" s="80">
        <f t="shared" ca="1" si="474"/>
        <v>46026.574081481478</v>
      </c>
      <c r="C4584" s="76" t="s">
        <v>703</v>
      </c>
      <c r="D4584" s="76" t="s">
        <v>902</v>
      </c>
      <c r="E4584" s="79" t="s">
        <v>2857</v>
      </c>
      <c r="F4584" s="79"/>
    </row>
    <row r="4585" spans="1:7">
      <c r="A4585" s="77">
        <f t="shared" ca="1" si="473"/>
        <v>46026</v>
      </c>
      <c r="B4585" s="80">
        <f t="shared" ca="1" si="474"/>
        <v>46026.584603356481</v>
      </c>
      <c r="C4585" s="76" t="s">
        <v>703</v>
      </c>
      <c r="D4585" s="76" t="s">
        <v>902</v>
      </c>
      <c r="E4585" s="79" t="s">
        <v>2856</v>
      </c>
      <c r="F4585" s="79"/>
    </row>
    <row r="4586" spans="1:7">
      <c r="A4586" s="77">
        <f t="shared" ca="1" si="473"/>
        <v>46026</v>
      </c>
      <c r="B4586" s="80">
        <f t="shared" ca="1" si="474"/>
        <v>46026.593316203704</v>
      </c>
      <c r="C4586" s="76" t="s">
        <v>703</v>
      </c>
      <c r="D4586" s="76" t="s">
        <v>902</v>
      </c>
      <c r="E4586" s="79" t="s">
        <v>2856</v>
      </c>
      <c r="F4586" s="79"/>
    </row>
    <row r="4587" spans="1:7">
      <c r="A4587" s="77">
        <f t="shared" ca="1" si="473"/>
        <v>46026</v>
      </c>
      <c r="B4587" s="80">
        <f t="shared" ca="1" si="474"/>
        <v>46026.600728356483</v>
      </c>
      <c r="C4587" s="76" t="s">
        <v>703</v>
      </c>
      <c r="D4587" s="76" t="s">
        <v>902</v>
      </c>
      <c r="E4587" s="79" t="s">
        <v>932</v>
      </c>
      <c r="F4587" s="79"/>
    </row>
    <row r="4588" spans="1:7">
      <c r="A4588" s="77">
        <f t="shared" ca="1" si="473"/>
        <v>46026</v>
      </c>
      <c r="B4588" s="80">
        <f t="shared" ca="1" si="474"/>
        <v>46026.603652777776</v>
      </c>
      <c r="C4588" s="76" t="s">
        <v>703</v>
      </c>
      <c r="D4588" s="76" t="s">
        <v>902</v>
      </c>
      <c r="E4588" s="79" t="s">
        <v>2858</v>
      </c>
      <c r="F4588" s="79"/>
    </row>
    <row r="4589" spans="1:7">
      <c r="A4589" s="77">
        <f t="shared" ca="1" si="473"/>
        <v>46026</v>
      </c>
      <c r="B4589" s="80">
        <f t="shared" ca="1" si="474"/>
        <v>46026.60435833333</v>
      </c>
      <c r="C4589" s="76" t="s">
        <v>703</v>
      </c>
      <c r="D4589" s="210" t="s">
        <v>922</v>
      </c>
      <c r="E4589" s="150"/>
      <c r="F4589" s="79"/>
    </row>
    <row r="4590" spans="1:7">
      <c r="A4590" s="77">
        <f t="shared" ca="1" si="473"/>
        <v>46026</v>
      </c>
      <c r="B4590" s="80">
        <f t="shared" ca="1" si="474"/>
        <v>46026.648674537035</v>
      </c>
      <c r="C4590" s="76" t="s">
        <v>703</v>
      </c>
      <c r="D4590" s="210" t="s">
        <v>1098</v>
      </c>
      <c r="E4590" s="79"/>
      <c r="F4590" s="79"/>
      <c r="G4590" s="150" t="s">
        <v>2859</v>
      </c>
    </row>
    <row r="4591" spans="1:7">
      <c r="A4591" s="77">
        <f t="shared" ca="1" si="473"/>
        <v>46026</v>
      </c>
      <c r="B4591" s="80">
        <f t="shared" ca="1" si="474"/>
        <v>46026.683643055556</v>
      </c>
      <c r="C4591" s="76" t="s">
        <v>707</v>
      </c>
      <c r="D4591" s="210" t="s">
        <v>906</v>
      </c>
      <c r="E4591" s="79"/>
      <c r="F4591" s="79"/>
    </row>
    <row r="4592" spans="1:7">
      <c r="A4592" s="77">
        <f t="shared" ca="1" si="473"/>
        <v>46026</v>
      </c>
      <c r="B4592" s="80">
        <f t="shared" ca="1" si="474"/>
        <v>46026.768444097223</v>
      </c>
      <c r="C4592" s="76" t="s">
        <v>707</v>
      </c>
      <c r="D4592" s="210" t="s">
        <v>909</v>
      </c>
      <c r="E4592" s="79"/>
      <c r="F4592" s="79"/>
    </row>
    <row r="4593" spans="1:7">
      <c r="A4593" s="77">
        <f t="shared" ca="1" si="473"/>
        <v>46026</v>
      </c>
      <c r="B4593" s="80">
        <f t="shared" ca="1" si="474"/>
        <v>46026.775786921295</v>
      </c>
      <c r="C4593" s="76" t="s">
        <v>707</v>
      </c>
      <c r="D4593" s="76" t="s">
        <v>902</v>
      </c>
      <c r="E4593" s="79" t="s">
        <v>2860</v>
      </c>
      <c r="F4593" s="79"/>
    </row>
    <row r="4594" spans="1:7">
      <c r="A4594" s="77">
        <f t="shared" ca="1" si="473"/>
        <v>46026</v>
      </c>
      <c r="B4594" s="80">
        <f t="shared" ca="1" si="474"/>
        <v>46026.780907870372</v>
      </c>
      <c r="C4594" s="76" t="s">
        <v>707</v>
      </c>
      <c r="D4594" s="76" t="s">
        <v>902</v>
      </c>
      <c r="E4594" s="79" t="s">
        <v>2861</v>
      </c>
      <c r="F4594" s="79"/>
    </row>
    <row r="4595" spans="1:7">
      <c r="A4595" s="77">
        <f t="shared" ca="1" si="473"/>
        <v>46026</v>
      </c>
      <c r="B4595" s="80">
        <f t="shared" ca="1" si="474"/>
        <v>46026.790914814817</v>
      </c>
      <c r="C4595" s="76" t="s">
        <v>707</v>
      </c>
      <c r="D4595" s="76" t="s">
        <v>902</v>
      </c>
      <c r="E4595" s="79" t="s">
        <v>2862</v>
      </c>
      <c r="F4595" s="79"/>
    </row>
    <row r="4596" spans="1:7">
      <c r="A4596" s="77">
        <f t="shared" ca="1" si="473"/>
        <v>46026</v>
      </c>
      <c r="B4596" s="80">
        <f t="shared" ca="1" si="474"/>
        <v>46026.813704166663</v>
      </c>
      <c r="C4596" s="76" t="s">
        <v>707</v>
      </c>
      <c r="D4596" s="76" t="s">
        <v>902</v>
      </c>
      <c r="E4596" s="79" t="s">
        <v>2863</v>
      </c>
      <c r="F4596" s="79"/>
    </row>
    <row r="4597" spans="1:7">
      <c r="A4597" s="77">
        <f t="shared" ca="1" si="473"/>
        <v>46026</v>
      </c>
      <c r="B4597" s="80">
        <f t="shared" ca="1" si="474"/>
        <v>46026.843388194444</v>
      </c>
      <c r="C4597" s="76" t="s">
        <v>707</v>
      </c>
      <c r="D4597" s="76" t="s">
        <v>902</v>
      </c>
      <c r="E4597" s="79" t="s">
        <v>1016</v>
      </c>
      <c r="F4597" s="79"/>
    </row>
    <row r="4598" spans="1:7">
      <c r="A4598" s="77">
        <f t="shared" ref="A4598:A4614" ca="1" si="475">IF(C4598&lt;&gt;0,IF(A4598=0,TODAY(),A4598),)</f>
        <v>46026</v>
      </c>
      <c r="B4598" s="80">
        <f t="shared" ca="1" si="474"/>
        <v>46026.893201041668</v>
      </c>
      <c r="C4598" s="76" t="s">
        <v>707</v>
      </c>
      <c r="D4598" s="76" t="s">
        <v>902</v>
      </c>
      <c r="E4598" s="79" t="s">
        <v>2864</v>
      </c>
      <c r="F4598" s="79"/>
    </row>
    <row r="4599" spans="1:7">
      <c r="A4599" s="77">
        <f t="shared" ca="1" si="475"/>
        <v>46026</v>
      </c>
      <c r="B4599" s="80">
        <f t="shared" ca="1" si="474"/>
        <v>46026.904315856482</v>
      </c>
      <c r="C4599" s="76" t="s">
        <v>707</v>
      </c>
      <c r="D4599" s="76" t="s">
        <v>902</v>
      </c>
      <c r="E4599" s="79" t="s">
        <v>1505</v>
      </c>
      <c r="F4599" s="79"/>
    </row>
    <row r="4600" spans="1:7">
      <c r="A4600" s="77">
        <f t="shared" ca="1" si="475"/>
        <v>46026</v>
      </c>
      <c r="B4600" s="80">
        <f t="shared" ca="1" si="474"/>
        <v>46026.915733449074</v>
      </c>
      <c r="C4600" s="76" t="s">
        <v>707</v>
      </c>
      <c r="D4600" s="210" t="s">
        <v>922</v>
      </c>
      <c r="E4600" s="79"/>
      <c r="F4600" s="79"/>
    </row>
    <row r="4601" spans="1:7">
      <c r="A4601" s="77">
        <f t="shared" ca="1" si="475"/>
        <v>46026</v>
      </c>
      <c r="B4601" s="80">
        <f t="shared" ca="1" si="474"/>
        <v>46026.955131249997</v>
      </c>
      <c r="C4601" s="76" t="s">
        <v>707</v>
      </c>
      <c r="D4601" s="210" t="s">
        <v>1098</v>
      </c>
      <c r="E4601" s="79"/>
      <c r="F4601" s="79"/>
      <c r="G4601" s="150" t="s">
        <v>2865</v>
      </c>
    </row>
    <row r="4602" spans="1:7">
      <c r="A4602" s="77">
        <f t="shared" ca="1" si="475"/>
        <v>46027</v>
      </c>
      <c r="B4602" s="80">
        <f t="shared" ca="1" si="474"/>
        <v>46027.003359722221</v>
      </c>
      <c r="C4602" s="76" t="s">
        <v>711</v>
      </c>
      <c r="D4602" s="210" t="s">
        <v>906</v>
      </c>
      <c r="E4602" s="79"/>
      <c r="F4602" s="79"/>
    </row>
    <row r="4603" spans="1:7">
      <c r="A4603" s="77">
        <f t="shared" ca="1" si="475"/>
        <v>46027</v>
      </c>
      <c r="B4603" s="80">
        <f t="shared" ca="1" si="474"/>
        <v>46027.084066203701</v>
      </c>
      <c r="C4603" s="76" t="s">
        <v>711</v>
      </c>
      <c r="D4603" s="210" t="s">
        <v>909</v>
      </c>
      <c r="E4603" s="79"/>
      <c r="F4603" s="79"/>
    </row>
    <row r="4604" spans="1:7">
      <c r="A4604" s="77">
        <f t="shared" ca="1" si="475"/>
        <v>46027</v>
      </c>
      <c r="B4604" s="80">
        <f t="shared" ca="1" si="474"/>
        <v>46027.086688888892</v>
      </c>
      <c r="C4604" s="76" t="s">
        <v>711</v>
      </c>
      <c r="D4604" s="76" t="s">
        <v>902</v>
      </c>
      <c r="E4604" s="79" t="s">
        <v>2866</v>
      </c>
      <c r="F4604" s="79"/>
    </row>
    <row r="4605" spans="1:7">
      <c r="A4605" s="77">
        <f t="shared" ca="1" si="475"/>
        <v>46027</v>
      </c>
      <c r="B4605" s="80">
        <f t="shared" ca="1" si="474"/>
        <v>46027.087564930553</v>
      </c>
      <c r="C4605" s="76" t="s">
        <v>711</v>
      </c>
      <c r="D4605" s="76" t="s">
        <v>902</v>
      </c>
      <c r="E4605" s="79" t="s">
        <v>2866</v>
      </c>
      <c r="F4605" s="79"/>
    </row>
    <row r="4606" spans="1:7">
      <c r="A4606" s="77">
        <f t="shared" ca="1" si="475"/>
        <v>46027</v>
      </c>
      <c r="B4606" s="80">
        <f t="shared" ca="1" si="474"/>
        <v>46027.09772233796</v>
      </c>
      <c r="C4606" s="76" t="s">
        <v>711</v>
      </c>
      <c r="D4606" s="76" t="s">
        <v>902</v>
      </c>
      <c r="E4606" s="79" t="s">
        <v>2866</v>
      </c>
      <c r="F4606" s="79"/>
    </row>
    <row r="4607" spans="1:7">
      <c r="A4607" s="77">
        <f t="shared" ca="1" si="475"/>
        <v>46027</v>
      </c>
      <c r="B4607" s="80">
        <f t="shared" ca="1" si="474"/>
        <v>46027.098868171299</v>
      </c>
      <c r="C4607" s="76" t="s">
        <v>711</v>
      </c>
      <c r="D4607" s="76" t="s">
        <v>902</v>
      </c>
      <c r="E4607" s="79" t="s">
        <v>980</v>
      </c>
      <c r="F4607" s="79"/>
    </row>
    <row r="4608" spans="1:7">
      <c r="A4608" s="77">
        <f t="shared" ca="1" si="475"/>
        <v>46027</v>
      </c>
      <c r="B4608" s="80">
        <f t="shared" ca="1" si="474"/>
        <v>46027.106519212961</v>
      </c>
      <c r="C4608" s="76" t="s">
        <v>711</v>
      </c>
      <c r="D4608" s="76" t="s">
        <v>902</v>
      </c>
      <c r="E4608" s="79" t="s">
        <v>2867</v>
      </c>
      <c r="F4608" s="79"/>
    </row>
    <row r="4609" spans="1:6">
      <c r="A4609" s="77">
        <f t="shared" ca="1" si="475"/>
        <v>46027</v>
      </c>
      <c r="B4609" s="80">
        <f t="shared" ca="1" si="474"/>
        <v>46027.109405324074</v>
      </c>
      <c r="C4609" s="76" t="s">
        <v>711</v>
      </c>
      <c r="D4609" s="76" t="s">
        <v>902</v>
      </c>
      <c r="E4609" s="79" t="s">
        <v>2868</v>
      </c>
      <c r="F4609" s="79"/>
    </row>
    <row r="4610" spans="1:6">
      <c r="A4610" s="77">
        <f t="shared" ca="1" si="475"/>
        <v>46027</v>
      </c>
      <c r="B4610" s="80">
        <f t="shared" ca="1" si="474"/>
        <v>46027.116371180557</v>
      </c>
      <c r="C4610" s="76" t="s">
        <v>711</v>
      </c>
      <c r="D4610" s="76" t="s">
        <v>902</v>
      </c>
      <c r="E4610" s="79" t="s">
        <v>2869</v>
      </c>
      <c r="F4610" s="79"/>
    </row>
    <row r="4611" spans="1:6">
      <c r="A4611" s="77">
        <f t="shared" ca="1" si="475"/>
        <v>46027</v>
      </c>
      <c r="B4611" s="80">
        <f t="shared" ca="1" si="474"/>
        <v>46027.117735532411</v>
      </c>
      <c r="C4611" s="76" t="s">
        <v>711</v>
      </c>
      <c r="D4611" s="76" t="s">
        <v>902</v>
      </c>
      <c r="E4611" s="79" t="s">
        <v>2866</v>
      </c>
      <c r="F4611" s="79"/>
    </row>
    <row r="4612" spans="1:6">
      <c r="A4612" s="77">
        <f t="shared" ca="1" si="475"/>
        <v>46027</v>
      </c>
      <c r="B4612" s="80">
        <f t="shared" ca="1" si="474"/>
        <v>46027.120737731479</v>
      </c>
      <c r="C4612" s="76" t="s">
        <v>711</v>
      </c>
      <c r="D4612" s="76" t="s">
        <v>902</v>
      </c>
      <c r="E4612" s="79" t="s">
        <v>2866</v>
      </c>
      <c r="F4612" s="79"/>
    </row>
    <row r="4613" spans="1:6">
      <c r="A4613" s="77">
        <f t="shared" ca="1" si="475"/>
        <v>46027</v>
      </c>
      <c r="B4613" s="80">
        <f t="shared" ca="1" si="474"/>
        <v>46027.140620486112</v>
      </c>
      <c r="C4613" s="76" t="s">
        <v>711</v>
      </c>
      <c r="D4613" s="76" t="s">
        <v>902</v>
      </c>
      <c r="E4613" s="79" t="s">
        <v>2870</v>
      </c>
      <c r="F4613" s="79"/>
    </row>
    <row r="4614" spans="1:6">
      <c r="A4614" s="77">
        <f t="shared" ca="1" si="475"/>
        <v>46027</v>
      </c>
      <c r="B4614" s="80">
        <f t="shared" ca="1" si="474"/>
        <v>46027.142632175928</v>
      </c>
      <c r="C4614" s="76" t="s">
        <v>711</v>
      </c>
      <c r="D4614" s="76" t="s">
        <v>902</v>
      </c>
      <c r="E4614" s="79" t="s">
        <v>2487</v>
      </c>
      <c r="F4614" s="79"/>
    </row>
    <row r="4615" spans="1:6">
      <c r="A4615" s="77">
        <f t="shared" ref="A4615:A4676" ca="1" si="476">IF(C4615&lt;&gt;0,IF(A4615=0,TODAY(),A4615),)</f>
        <v>46027</v>
      </c>
      <c r="B4615" s="80">
        <f t="shared" ca="1" si="474"/>
        <v>46027.143278009258</v>
      </c>
      <c r="C4615" s="76" t="s">
        <v>711</v>
      </c>
      <c r="D4615" s="76" t="s">
        <v>902</v>
      </c>
      <c r="E4615" s="79" t="s">
        <v>2871</v>
      </c>
      <c r="F4615" s="79"/>
    </row>
    <row r="4616" spans="1:6">
      <c r="A4616" s="77">
        <f t="shared" ca="1" si="476"/>
        <v>46027</v>
      </c>
      <c r="B4616" s="80">
        <f t="shared" ca="1" si="474"/>
        <v>46027.143635532404</v>
      </c>
      <c r="C4616" s="76" t="s">
        <v>711</v>
      </c>
      <c r="D4616" s="76" t="s">
        <v>902</v>
      </c>
      <c r="E4616" s="79" t="s">
        <v>2871</v>
      </c>
      <c r="F4616" s="79"/>
    </row>
    <row r="4617" spans="1:6">
      <c r="A4617" s="77">
        <f t="shared" ca="1" si="476"/>
        <v>46027</v>
      </c>
      <c r="B4617" s="80">
        <f t="shared" ca="1" si="474"/>
        <v>46027.162398032408</v>
      </c>
      <c r="C4617" s="76" t="s">
        <v>711</v>
      </c>
      <c r="D4617" s="76" t="s">
        <v>902</v>
      </c>
      <c r="E4617" s="79" t="s">
        <v>980</v>
      </c>
      <c r="F4617" s="79"/>
    </row>
    <row r="4618" spans="1:6">
      <c r="A4618" s="77">
        <f t="shared" ca="1" si="476"/>
        <v>46027</v>
      </c>
      <c r="B4618" s="80">
        <f t="shared" ca="1" si="474"/>
        <v>46027.16437997685</v>
      </c>
      <c r="C4618" s="76" t="s">
        <v>711</v>
      </c>
      <c r="D4618" s="76" t="s">
        <v>902</v>
      </c>
      <c r="E4618" s="79" t="s">
        <v>2872</v>
      </c>
      <c r="F4618" s="79"/>
    </row>
    <row r="4619" spans="1:6">
      <c r="A4619" s="77">
        <f t="shared" ca="1" si="476"/>
        <v>46027</v>
      </c>
      <c r="B4619" s="80">
        <f t="shared" ca="1" si="474"/>
        <v>46027.171130208335</v>
      </c>
      <c r="C4619" s="76" t="s">
        <v>711</v>
      </c>
      <c r="D4619" s="76" t="s">
        <v>902</v>
      </c>
      <c r="E4619" s="79" t="s">
        <v>2873</v>
      </c>
      <c r="F4619" s="79"/>
    </row>
    <row r="4620" spans="1:6">
      <c r="A4620" s="77">
        <f t="shared" ca="1" si="476"/>
        <v>46027</v>
      </c>
      <c r="B4620" s="80">
        <f t="shared" ca="1" si="474"/>
        <v>46027.172508217591</v>
      </c>
      <c r="C4620" s="76" t="s">
        <v>711</v>
      </c>
      <c r="D4620" s="76" t="s">
        <v>902</v>
      </c>
      <c r="E4620" s="79" t="s">
        <v>1588</v>
      </c>
      <c r="F4620" s="79"/>
    </row>
    <row r="4621" spans="1:6">
      <c r="A4621" s="77">
        <f t="shared" ca="1" si="476"/>
        <v>46027</v>
      </c>
      <c r="B4621" s="80">
        <f t="shared" ca="1" si="474"/>
        <v>46027.173143402775</v>
      </c>
      <c r="C4621" s="76" t="s">
        <v>711</v>
      </c>
      <c r="D4621" s="76" t="s">
        <v>902</v>
      </c>
      <c r="E4621" s="79" t="s">
        <v>2872</v>
      </c>
      <c r="F4621" s="79"/>
    </row>
    <row r="4622" spans="1:6">
      <c r="A4622" s="77">
        <f t="shared" ca="1" si="476"/>
        <v>46027</v>
      </c>
      <c r="B4622" s="80">
        <f t="shared" ca="1" si="474"/>
        <v>46027.173160416663</v>
      </c>
      <c r="C4622" s="76" t="s">
        <v>711</v>
      </c>
      <c r="D4622" s="76" t="s">
        <v>902</v>
      </c>
      <c r="E4622" s="79" t="s">
        <v>2872</v>
      </c>
      <c r="F4622" s="79"/>
    </row>
    <row r="4623" spans="1:6">
      <c r="A4623" s="77">
        <f t="shared" ca="1" si="476"/>
        <v>46027</v>
      </c>
      <c r="B4623" s="80">
        <f t="shared" ca="1" si="474"/>
        <v>46027.173168518515</v>
      </c>
      <c r="C4623" s="76" t="s">
        <v>711</v>
      </c>
      <c r="D4623" s="76" t="s">
        <v>902</v>
      </c>
      <c r="E4623" s="79" t="s">
        <v>2872</v>
      </c>
      <c r="F4623" s="79"/>
    </row>
    <row r="4624" spans="1:6">
      <c r="A4624" s="77">
        <f t="shared" ca="1" si="476"/>
        <v>46027</v>
      </c>
      <c r="B4624" s="80">
        <f t="shared" ca="1" si="474"/>
        <v>46027.177911805557</v>
      </c>
      <c r="C4624" s="76" t="s">
        <v>711</v>
      </c>
      <c r="D4624" s="150" t="s">
        <v>1007</v>
      </c>
      <c r="E4624" s="79" t="s">
        <v>1367</v>
      </c>
      <c r="F4624" s="79"/>
    </row>
    <row r="4625" spans="1:7">
      <c r="A4625" s="77">
        <f t="shared" ca="1" si="476"/>
        <v>46027</v>
      </c>
      <c r="B4625" s="80">
        <f t="shared" ca="1" si="474"/>
        <v>46027.182357638892</v>
      </c>
      <c r="C4625" s="76" t="s">
        <v>711</v>
      </c>
      <c r="D4625" s="76" t="s">
        <v>902</v>
      </c>
      <c r="E4625" s="79" t="s">
        <v>2872</v>
      </c>
      <c r="F4625" s="79"/>
    </row>
    <row r="4626" spans="1:7">
      <c r="A4626" s="77">
        <f t="shared" ca="1" si="476"/>
        <v>46027</v>
      </c>
      <c r="B4626" s="80">
        <f t="shared" ca="1" si="474"/>
        <v>46027.182379513892</v>
      </c>
      <c r="C4626" s="76" t="s">
        <v>711</v>
      </c>
      <c r="D4626" s="76" t="s">
        <v>902</v>
      </c>
      <c r="E4626" s="79" t="s">
        <v>2874</v>
      </c>
      <c r="F4626" s="79"/>
    </row>
    <row r="4627" spans="1:7">
      <c r="A4627" s="77">
        <f t="shared" ca="1" si="476"/>
        <v>46027</v>
      </c>
      <c r="B4627" s="80">
        <f t="shared" ca="1" si="474"/>
        <v>46027.184355439815</v>
      </c>
      <c r="C4627" s="76" t="s">
        <v>711</v>
      </c>
      <c r="D4627" s="76" t="s">
        <v>902</v>
      </c>
      <c r="E4627" s="79" t="s">
        <v>932</v>
      </c>
      <c r="F4627" s="79"/>
    </row>
    <row r="4628" spans="1:7">
      <c r="A4628" s="77">
        <f t="shared" ca="1" si="476"/>
        <v>46027</v>
      </c>
      <c r="B4628" s="80">
        <f t="shared" ca="1" si="474"/>
        <v>46027.185153472223</v>
      </c>
      <c r="C4628" s="76" t="s">
        <v>711</v>
      </c>
      <c r="D4628" s="76" t="s">
        <v>902</v>
      </c>
      <c r="E4628" s="79" t="s">
        <v>2875</v>
      </c>
      <c r="F4628" s="79"/>
    </row>
    <row r="4629" spans="1:7">
      <c r="A4629" s="77">
        <f t="shared" ca="1" si="476"/>
        <v>46027</v>
      </c>
      <c r="B4629" s="80">
        <f t="shared" ca="1" si="474"/>
        <v>46027.186393750002</v>
      </c>
      <c r="C4629" s="76" t="s">
        <v>711</v>
      </c>
      <c r="D4629" s="76" t="s">
        <v>902</v>
      </c>
      <c r="E4629" s="79" t="s">
        <v>932</v>
      </c>
      <c r="F4629" s="79"/>
    </row>
    <row r="4630" spans="1:7">
      <c r="A4630" s="77">
        <f t="shared" ca="1" si="476"/>
        <v>46027</v>
      </c>
      <c r="B4630" s="80">
        <f t="shared" ca="1" si="474"/>
        <v>46027.201746412036</v>
      </c>
      <c r="C4630" s="76" t="s">
        <v>711</v>
      </c>
      <c r="D4630" s="210" t="s">
        <v>922</v>
      </c>
      <c r="E4630" s="79"/>
      <c r="F4630" s="79"/>
    </row>
    <row r="4631" spans="1:7">
      <c r="A4631" s="77">
        <f t="shared" ca="1" si="476"/>
        <v>46027</v>
      </c>
      <c r="B4631" s="80">
        <f t="shared" ca="1" si="474"/>
        <v>46027.208149768521</v>
      </c>
      <c r="C4631" s="76" t="s">
        <v>711</v>
      </c>
      <c r="D4631" s="210" t="s">
        <v>1098</v>
      </c>
      <c r="E4631" s="158" t="s">
        <v>2876</v>
      </c>
      <c r="F4631" s="79"/>
      <c r="G4631" s="164" t="s">
        <v>2877</v>
      </c>
    </row>
    <row r="4632" spans="1:7">
      <c r="A4632" s="77">
        <f t="shared" ca="1" si="476"/>
        <v>46027</v>
      </c>
      <c r="B4632" s="80">
        <f t="shared" ca="1" si="474"/>
        <v>46027.288354861113</v>
      </c>
      <c r="C4632" s="76" t="s">
        <v>715</v>
      </c>
      <c r="D4632" s="210" t="s">
        <v>909</v>
      </c>
      <c r="E4632" s="79"/>
      <c r="F4632" s="79"/>
    </row>
    <row r="4633" spans="1:7">
      <c r="A4633" s="77">
        <f t="shared" ca="1" si="476"/>
        <v>46027</v>
      </c>
      <c r="B4633" s="80">
        <f t="shared" ref="B4633:B4694" ca="1" si="477">IF(C4633&lt;&gt;0,IF(B4633=0,NOW(),B4633),)</f>
        <v>46027.289962615738</v>
      </c>
      <c r="C4633" s="76" t="s">
        <v>715</v>
      </c>
      <c r="D4633" s="76" t="s">
        <v>902</v>
      </c>
      <c r="E4633" s="79" t="s">
        <v>2878</v>
      </c>
      <c r="F4633" s="79"/>
    </row>
    <row r="4634" spans="1:7">
      <c r="A4634" s="77">
        <f t="shared" ca="1" si="476"/>
        <v>46027</v>
      </c>
      <c r="B4634" s="80">
        <v>0</v>
      </c>
      <c r="C4634" s="76" t="s">
        <v>715</v>
      </c>
      <c r="D4634" s="76" t="s">
        <v>902</v>
      </c>
      <c r="E4634" s="79" t="s">
        <v>2879</v>
      </c>
      <c r="F4634" s="79"/>
    </row>
    <row r="4635" spans="1:7">
      <c r="A4635" s="77">
        <f t="shared" ca="1" si="476"/>
        <v>46027</v>
      </c>
      <c r="B4635" s="80">
        <f t="shared" ca="1" si="477"/>
        <v>46027.293161689813</v>
      </c>
      <c r="C4635" s="76" t="s">
        <v>715</v>
      </c>
      <c r="D4635" s="76" t="s">
        <v>902</v>
      </c>
      <c r="E4635" s="79" t="s">
        <v>2880</v>
      </c>
      <c r="F4635" s="79"/>
    </row>
    <row r="4636" spans="1:7">
      <c r="A4636" s="77">
        <f t="shared" ca="1" si="476"/>
        <v>46027</v>
      </c>
      <c r="B4636" s="80">
        <f t="shared" ca="1" si="477"/>
        <v>46027.309846412034</v>
      </c>
      <c r="C4636" s="76" t="s">
        <v>715</v>
      </c>
      <c r="D4636" s="76" t="s">
        <v>902</v>
      </c>
      <c r="E4636" s="79" t="s">
        <v>1504</v>
      </c>
      <c r="F4636" s="79"/>
    </row>
    <row r="4637" spans="1:7">
      <c r="A4637" s="77">
        <f t="shared" ca="1" si="476"/>
        <v>46027</v>
      </c>
      <c r="B4637" s="80">
        <f t="shared" ca="1" si="477"/>
        <v>46027.312540624996</v>
      </c>
      <c r="C4637" s="76" t="s">
        <v>715</v>
      </c>
      <c r="D4637" s="76" t="s">
        <v>902</v>
      </c>
      <c r="E4637" s="79" t="s">
        <v>1324</v>
      </c>
      <c r="F4637" s="79"/>
    </row>
    <row r="4638" spans="1:7">
      <c r="A4638" s="77">
        <f t="shared" ca="1" si="476"/>
        <v>46027</v>
      </c>
      <c r="B4638" s="80">
        <f t="shared" ca="1" si="477"/>
        <v>46027.332424768516</v>
      </c>
      <c r="C4638" s="76" t="s">
        <v>715</v>
      </c>
      <c r="D4638" s="76" t="s">
        <v>902</v>
      </c>
      <c r="E4638" s="79" t="s">
        <v>1370</v>
      </c>
      <c r="F4638" s="79"/>
    </row>
    <row r="4639" spans="1:7">
      <c r="A4639" s="77">
        <f t="shared" ca="1" si="476"/>
        <v>46027</v>
      </c>
      <c r="B4639" s="80">
        <f t="shared" ca="1" si="477"/>
        <v>46027.33527314815</v>
      </c>
      <c r="C4639" s="76" t="s">
        <v>715</v>
      </c>
      <c r="D4639" s="76" t="s">
        <v>902</v>
      </c>
      <c r="E4639" s="79" t="s">
        <v>1868</v>
      </c>
      <c r="F4639" s="79"/>
    </row>
    <row r="4640" spans="1:7">
      <c r="A4640" s="77">
        <f t="shared" ca="1" si="476"/>
        <v>46027</v>
      </c>
      <c r="B4640" s="80">
        <f t="shared" ca="1" si="477"/>
        <v>46027.368631249999</v>
      </c>
      <c r="C4640" s="76" t="s">
        <v>715</v>
      </c>
      <c r="D4640" s="76" t="s">
        <v>902</v>
      </c>
      <c r="E4640" s="79" t="s">
        <v>2881</v>
      </c>
      <c r="F4640" s="79"/>
    </row>
    <row r="4641" spans="1:7">
      <c r="A4641" s="77">
        <f t="shared" ca="1" si="476"/>
        <v>46027</v>
      </c>
      <c r="B4641" s="80">
        <f t="shared" ca="1" si="477"/>
        <v>46027.375636458331</v>
      </c>
      <c r="C4641" s="76" t="s">
        <v>715</v>
      </c>
      <c r="D4641" s="76" t="s">
        <v>902</v>
      </c>
      <c r="E4641" s="79" t="s">
        <v>1426</v>
      </c>
      <c r="F4641" s="79"/>
    </row>
    <row r="4642" spans="1:7">
      <c r="A4642" s="77">
        <f t="shared" ca="1" si="476"/>
        <v>46027</v>
      </c>
      <c r="B4642" s="80">
        <f t="shared" ca="1" si="477"/>
        <v>46027.382420833332</v>
      </c>
      <c r="C4642" s="76" t="s">
        <v>715</v>
      </c>
      <c r="D4642" s="76" t="s">
        <v>902</v>
      </c>
      <c r="E4642" s="79" t="s">
        <v>1555</v>
      </c>
      <c r="F4642" s="79"/>
    </row>
    <row r="4643" spans="1:7">
      <c r="A4643" s="77">
        <f t="shared" ca="1" si="476"/>
        <v>46027</v>
      </c>
      <c r="B4643" s="80">
        <f t="shared" ca="1" si="477"/>
        <v>46027.387632407408</v>
      </c>
      <c r="C4643" s="76" t="s">
        <v>715</v>
      </c>
      <c r="D4643" s="150" t="s">
        <v>1007</v>
      </c>
      <c r="E4643" s="79" t="s">
        <v>2882</v>
      </c>
      <c r="F4643" s="79"/>
    </row>
    <row r="4644" spans="1:7">
      <c r="A4644" s="77">
        <f t="shared" ca="1" si="476"/>
        <v>46027</v>
      </c>
      <c r="B4644" s="80">
        <f t="shared" ca="1" si="477"/>
        <v>46027.439801736109</v>
      </c>
      <c r="C4644" s="76" t="s">
        <v>715</v>
      </c>
      <c r="D4644" s="76" t="s">
        <v>902</v>
      </c>
      <c r="E4644" s="79" t="s">
        <v>2140</v>
      </c>
      <c r="F4644" s="79"/>
    </row>
    <row r="4645" spans="1:7">
      <c r="A4645" s="77">
        <f t="shared" ca="1" si="476"/>
        <v>46027</v>
      </c>
      <c r="B4645" s="80">
        <f t="shared" ca="1" si="477"/>
        <v>46027.446597800925</v>
      </c>
      <c r="C4645" s="76" t="s">
        <v>715</v>
      </c>
      <c r="D4645" s="76" t="s">
        <v>902</v>
      </c>
      <c r="E4645" s="79" t="s">
        <v>1920</v>
      </c>
      <c r="F4645" s="79"/>
    </row>
    <row r="4646" spans="1:7">
      <c r="A4646" s="77">
        <f t="shared" ca="1" si="476"/>
        <v>46027</v>
      </c>
      <c r="B4646" s="80">
        <f t="shared" ca="1" si="477"/>
        <v>46027.448056944442</v>
      </c>
      <c r="C4646" s="76" t="s">
        <v>715</v>
      </c>
      <c r="D4646" s="76" t="s">
        <v>902</v>
      </c>
      <c r="E4646" s="79" t="s">
        <v>2883</v>
      </c>
      <c r="F4646" s="79"/>
    </row>
    <row r="4647" spans="1:7">
      <c r="A4647" s="77">
        <f t="shared" ca="1" si="476"/>
        <v>46027</v>
      </c>
      <c r="B4647" s="80">
        <f t="shared" ca="1" si="477"/>
        <v>46027.453990162037</v>
      </c>
      <c r="C4647" s="76" t="s">
        <v>715</v>
      </c>
      <c r="D4647" s="76" t="s">
        <v>902</v>
      </c>
      <c r="E4647" s="79" t="s">
        <v>2884</v>
      </c>
      <c r="F4647" s="79"/>
    </row>
    <row r="4648" spans="1:7">
      <c r="A4648" s="77">
        <f t="shared" ca="1" si="476"/>
        <v>46027</v>
      </c>
      <c r="B4648" s="80">
        <f t="shared" ca="1" si="477"/>
        <v>46027.454580671299</v>
      </c>
      <c r="C4648" s="76" t="s">
        <v>715</v>
      </c>
      <c r="D4648" s="76" t="s">
        <v>902</v>
      </c>
      <c r="E4648" s="79" t="s">
        <v>1063</v>
      </c>
      <c r="F4648" s="79"/>
    </row>
    <row r="4649" spans="1:7">
      <c r="A4649" s="77">
        <f t="shared" ca="1" si="476"/>
        <v>46027</v>
      </c>
      <c r="B4649" s="80">
        <f t="shared" ca="1" si="477"/>
        <v>46027.455147569446</v>
      </c>
      <c r="C4649" s="76" t="s">
        <v>715</v>
      </c>
      <c r="D4649" s="76" t="s">
        <v>902</v>
      </c>
      <c r="E4649" s="79" t="s">
        <v>1426</v>
      </c>
      <c r="F4649" s="79"/>
    </row>
    <row r="4650" spans="1:7">
      <c r="A4650" s="77">
        <f t="shared" ca="1" si="476"/>
        <v>46027</v>
      </c>
      <c r="B4650" s="80">
        <f t="shared" ca="1" si="477"/>
        <v>46027.463685416667</v>
      </c>
      <c r="C4650" s="76" t="s">
        <v>715</v>
      </c>
      <c r="D4650" s="76" t="s">
        <v>902</v>
      </c>
      <c r="E4650" s="79" t="s">
        <v>2885</v>
      </c>
      <c r="F4650" s="79"/>
    </row>
    <row r="4651" spans="1:7">
      <c r="A4651" s="77">
        <f t="shared" ca="1" si="476"/>
        <v>46027</v>
      </c>
      <c r="B4651" s="80">
        <f t="shared" ca="1" si="477"/>
        <v>46027.486784375003</v>
      </c>
      <c r="C4651" s="76" t="s">
        <v>715</v>
      </c>
      <c r="D4651" s="210" t="s">
        <v>922</v>
      </c>
      <c r="E4651" s="79"/>
      <c r="F4651" s="79"/>
    </row>
    <row r="4652" spans="1:7" s="150" customFormat="1">
      <c r="A4652" s="151">
        <f t="shared" ca="1" si="476"/>
        <v>46027</v>
      </c>
      <c r="B4652" s="149">
        <f t="shared" ca="1" si="477"/>
        <v>46027.532038425925</v>
      </c>
      <c r="C4652" s="150" t="s">
        <v>715</v>
      </c>
      <c r="D4652" s="210" t="s">
        <v>1098</v>
      </c>
      <c r="G4652" s="150" t="s">
        <v>2886</v>
      </c>
    </row>
    <row r="4653" spans="1:7" s="150" customFormat="1">
      <c r="A4653" s="151">
        <f t="shared" ca="1" si="476"/>
        <v>46027</v>
      </c>
      <c r="B4653" s="149">
        <f t="shared" ca="1" si="477"/>
        <v>46027.923612268518</v>
      </c>
      <c r="C4653" s="150" t="s">
        <v>720</v>
      </c>
      <c r="D4653" s="210" t="s">
        <v>906</v>
      </c>
      <c r="E4653" s="150" t="s">
        <v>2887</v>
      </c>
    </row>
    <row r="4654" spans="1:7">
      <c r="A4654" s="77">
        <f t="shared" ca="1" si="476"/>
        <v>46027</v>
      </c>
      <c r="B4654" s="80">
        <f t="shared" ca="1" si="477"/>
        <v>46027.999239467594</v>
      </c>
      <c r="C4654" s="76" t="s">
        <v>720</v>
      </c>
      <c r="D4654" s="210" t="s">
        <v>909</v>
      </c>
      <c r="E4654" s="79"/>
      <c r="F4654" s="79"/>
    </row>
    <row r="4655" spans="1:7">
      <c r="A4655" s="77">
        <f t="shared" ca="1" si="476"/>
        <v>46028</v>
      </c>
      <c r="B4655" s="80">
        <f t="shared" ca="1" si="477"/>
        <v>46028.001830092595</v>
      </c>
      <c r="C4655" s="76" t="s">
        <v>720</v>
      </c>
      <c r="D4655" s="76" t="s">
        <v>902</v>
      </c>
      <c r="E4655" s="79" t="s">
        <v>2827</v>
      </c>
      <c r="F4655" s="79"/>
    </row>
    <row r="4656" spans="1:7">
      <c r="A4656" s="77">
        <f t="shared" ca="1" si="476"/>
        <v>46028</v>
      </c>
      <c r="B4656" s="80">
        <f t="shared" ca="1" si="477"/>
        <v>46028.003516550925</v>
      </c>
      <c r="C4656" s="76" t="s">
        <v>720</v>
      </c>
      <c r="D4656" s="76" t="s">
        <v>902</v>
      </c>
      <c r="E4656" s="79" t="s">
        <v>2888</v>
      </c>
      <c r="F4656" s="79"/>
    </row>
    <row r="4657" spans="1:6">
      <c r="A4657" s="77">
        <f t="shared" ca="1" si="476"/>
        <v>46028</v>
      </c>
      <c r="B4657" s="80">
        <f t="shared" ca="1" si="477"/>
        <v>46028.010251388892</v>
      </c>
      <c r="C4657" s="76" t="s">
        <v>720</v>
      </c>
      <c r="D4657" s="76" t="s">
        <v>902</v>
      </c>
      <c r="E4657" s="79" t="s">
        <v>2889</v>
      </c>
      <c r="F4657" s="79"/>
    </row>
    <row r="4658" spans="1:6">
      <c r="A4658" s="77">
        <f t="shared" ca="1" si="476"/>
        <v>46028</v>
      </c>
      <c r="B4658" s="80">
        <f t="shared" ca="1" si="477"/>
        <v>46028.010726967594</v>
      </c>
      <c r="C4658" s="76" t="s">
        <v>720</v>
      </c>
      <c r="D4658" s="76" t="s">
        <v>902</v>
      </c>
      <c r="E4658" s="79" t="s">
        <v>2827</v>
      </c>
      <c r="F4658" s="79"/>
    </row>
    <row r="4659" spans="1:6">
      <c r="A4659" s="77">
        <f t="shared" ca="1" si="476"/>
        <v>46028</v>
      </c>
      <c r="B4659" s="80">
        <f t="shared" ca="1" si="477"/>
        <v>46028.014622222225</v>
      </c>
      <c r="C4659" s="76" t="s">
        <v>720</v>
      </c>
      <c r="D4659" s="76" t="s">
        <v>902</v>
      </c>
      <c r="E4659" s="79" t="s">
        <v>1229</v>
      </c>
      <c r="F4659" s="79"/>
    </row>
    <row r="4660" spans="1:6">
      <c r="A4660" s="77">
        <f t="shared" ca="1" si="476"/>
        <v>46028</v>
      </c>
      <c r="B4660" s="80">
        <f t="shared" ca="1" si="477"/>
        <v>46028.016857870367</v>
      </c>
      <c r="C4660" s="76" t="s">
        <v>720</v>
      </c>
      <c r="D4660" s="76" t="s">
        <v>902</v>
      </c>
      <c r="E4660" s="79" t="s">
        <v>2827</v>
      </c>
      <c r="F4660" s="79"/>
    </row>
    <row r="4661" spans="1:6">
      <c r="A4661" s="77">
        <f t="shared" ca="1" si="476"/>
        <v>46028</v>
      </c>
      <c r="B4661" s="80">
        <f t="shared" ca="1" si="477"/>
        <v>46028.034741782409</v>
      </c>
      <c r="C4661" s="76" t="s">
        <v>720</v>
      </c>
      <c r="D4661" s="76" t="s">
        <v>902</v>
      </c>
      <c r="E4661" s="79" t="s">
        <v>2487</v>
      </c>
      <c r="F4661" s="79"/>
    </row>
    <row r="4662" spans="1:6">
      <c r="A4662" s="77">
        <f t="shared" ca="1" si="476"/>
        <v>46028</v>
      </c>
      <c r="B4662" s="80">
        <f t="shared" ca="1" si="477"/>
        <v>46028.039787037036</v>
      </c>
      <c r="C4662" s="76" t="s">
        <v>720</v>
      </c>
      <c r="D4662" s="76" t="s">
        <v>902</v>
      </c>
      <c r="E4662" s="79" t="s">
        <v>2890</v>
      </c>
      <c r="F4662" s="79"/>
    </row>
    <row r="4663" spans="1:6">
      <c r="A4663" s="77">
        <f t="shared" ca="1" si="476"/>
        <v>46028</v>
      </c>
      <c r="B4663" s="80">
        <f t="shared" ca="1" si="477"/>
        <v>46028.041039236108</v>
      </c>
      <c r="C4663" s="76" t="s">
        <v>720</v>
      </c>
      <c r="D4663" s="76" t="s">
        <v>902</v>
      </c>
      <c r="E4663" s="79" t="s">
        <v>2890</v>
      </c>
      <c r="F4663" s="79"/>
    </row>
    <row r="4664" spans="1:6">
      <c r="A4664" s="77">
        <f t="shared" ca="1" si="476"/>
        <v>46028</v>
      </c>
      <c r="B4664" s="80">
        <f t="shared" ca="1" si="477"/>
        <v>46028.043123495372</v>
      </c>
      <c r="C4664" s="76" t="s">
        <v>720</v>
      </c>
      <c r="D4664" s="76" t="s">
        <v>902</v>
      </c>
      <c r="E4664" s="79" t="s">
        <v>2487</v>
      </c>
      <c r="F4664" s="79"/>
    </row>
    <row r="4665" spans="1:6">
      <c r="A4665" s="77">
        <f t="shared" ca="1" si="476"/>
        <v>46028</v>
      </c>
      <c r="B4665" s="80">
        <f t="shared" ca="1" si="477"/>
        <v>46028.048030092592</v>
      </c>
      <c r="C4665" s="76" t="s">
        <v>720</v>
      </c>
      <c r="D4665" s="76" t="s">
        <v>902</v>
      </c>
      <c r="E4665" s="79" t="s">
        <v>2487</v>
      </c>
      <c r="F4665" s="79"/>
    </row>
    <row r="4666" spans="1:6">
      <c r="A4666" s="77">
        <f t="shared" ca="1" si="476"/>
        <v>46028</v>
      </c>
      <c r="B4666" s="80">
        <f t="shared" ca="1" si="477"/>
        <v>46028.050458217593</v>
      </c>
      <c r="C4666" s="76" t="s">
        <v>720</v>
      </c>
      <c r="D4666" s="76" t="s">
        <v>902</v>
      </c>
      <c r="E4666" s="79" t="s">
        <v>2827</v>
      </c>
      <c r="F4666" s="79"/>
    </row>
    <row r="4667" spans="1:6">
      <c r="A4667" s="77">
        <f t="shared" ca="1" si="476"/>
        <v>46028</v>
      </c>
      <c r="B4667" s="80">
        <f t="shared" ca="1" si="477"/>
        <v>46028.052087615739</v>
      </c>
      <c r="C4667" s="76" t="s">
        <v>720</v>
      </c>
      <c r="D4667" s="76" t="s">
        <v>902</v>
      </c>
      <c r="E4667" s="79" t="s">
        <v>2891</v>
      </c>
      <c r="F4667" s="79"/>
    </row>
    <row r="4668" spans="1:6">
      <c r="A4668" s="77">
        <f t="shared" ca="1" si="476"/>
        <v>46028</v>
      </c>
      <c r="B4668" s="80">
        <f t="shared" ca="1" si="477"/>
        <v>46028.054470138886</v>
      </c>
      <c r="C4668" s="76" t="s">
        <v>720</v>
      </c>
      <c r="D4668" s="76" t="s">
        <v>902</v>
      </c>
      <c r="E4668" s="79" t="s">
        <v>1493</v>
      </c>
      <c r="F4668" s="79"/>
    </row>
    <row r="4669" spans="1:6">
      <c r="A4669" s="77">
        <f t="shared" ca="1" si="476"/>
        <v>46028</v>
      </c>
      <c r="B4669" s="80">
        <f t="shared" ca="1" si="477"/>
        <v>46028.05610833333</v>
      </c>
      <c r="C4669" s="76" t="s">
        <v>720</v>
      </c>
      <c r="D4669" s="76" t="s">
        <v>902</v>
      </c>
      <c r="E4669" s="79" t="s">
        <v>1346</v>
      </c>
      <c r="F4669" s="79"/>
    </row>
    <row r="4670" spans="1:6">
      <c r="A4670" s="77">
        <f t="shared" ca="1" si="476"/>
        <v>46028</v>
      </c>
      <c r="B4670" s="80">
        <f t="shared" ca="1" si="477"/>
        <v>46028.058164814815</v>
      </c>
      <c r="C4670" s="76" t="s">
        <v>720</v>
      </c>
      <c r="D4670" s="76" t="s">
        <v>902</v>
      </c>
      <c r="E4670" s="79" t="s">
        <v>1346</v>
      </c>
      <c r="F4670" s="79"/>
    </row>
    <row r="4671" spans="1:6">
      <c r="A4671" s="77">
        <f t="shared" ca="1" si="476"/>
        <v>46028</v>
      </c>
      <c r="B4671" s="80">
        <f t="shared" ca="1" si="477"/>
        <v>46028.062031597219</v>
      </c>
      <c r="C4671" s="76" t="s">
        <v>720</v>
      </c>
      <c r="D4671" s="76" t="s">
        <v>902</v>
      </c>
      <c r="E4671" s="79" t="s">
        <v>1196</v>
      </c>
      <c r="F4671" s="79"/>
    </row>
    <row r="4672" spans="1:6">
      <c r="A4672" s="77">
        <f t="shared" ca="1" si="476"/>
        <v>46028</v>
      </c>
      <c r="B4672" s="80">
        <f t="shared" ca="1" si="477"/>
        <v>46028.073991203702</v>
      </c>
      <c r="C4672" s="76" t="s">
        <v>720</v>
      </c>
      <c r="D4672" s="76" t="s">
        <v>902</v>
      </c>
      <c r="E4672" s="79" t="s">
        <v>2830</v>
      </c>
      <c r="F4672" s="79"/>
    </row>
    <row r="4673" spans="1:6">
      <c r="A4673" s="77">
        <f t="shared" ca="1" si="476"/>
        <v>46028</v>
      </c>
      <c r="B4673" s="80">
        <f t="shared" ca="1" si="477"/>
        <v>46028.076281250003</v>
      </c>
      <c r="C4673" s="76" t="s">
        <v>720</v>
      </c>
      <c r="D4673" s="76" t="s">
        <v>902</v>
      </c>
      <c r="E4673" s="79" t="s">
        <v>2892</v>
      </c>
      <c r="F4673" s="76"/>
    </row>
    <row r="4674" spans="1:6">
      <c r="A4674" s="77">
        <f t="shared" ca="1" si="476"/>
        <v>46028</v>
      </c>
      <c r="B4674" s="80">
        <f t="shared" ca="1" si="477"/>
        <v>46028.077584606479</v>
      </c>
      <c r="C4674" s="76" t="s">
        <v>720</v>
      </c>
      <c r="D4674" s="76" t="s">
        <v>902</v>
      </c>
      <c r="E4674" s="79" t="s">
        <v>2890</v>
      </c>
      <c r="F4674" s="79"/>
    </row>
    <row r="4675" spans="1:6">
      <c r="A4675" s="77">
        <f t="shared" ca="1" si="476"/>
        <v>46028</v>
      </c>
      <c r="B4675" s="80">
        <f t="shared" ca="1" si="477"/>
        <v>46028.082157407407</v>
      </c>
      <c r="C4675" s="76" t="s">
        <v>720</v>
      </c>
      <c r="D4675" s="76" t="s">
        <v>902</v>
      </c>
      <c r="E4675" s="79" t="s">
        <v>2487</v>
      </c>
      <c r="F4675" s="79"/>
    </row>
    <row r="4676" spans="1:6">
      <c r="A4676" s="77">
        <f t="shared" ca="1" si="476"/>
        <v>46028</v>
      </c>
      <c r="B4676" s="80">
        <f t="shared" ca="1" si="477"/>
        <v>46028.084112615739</v>
      </c>
      <c r="C4676" s="76" t="s">
        <v>720</v>
      </c>
      <c r="D4676" s="76" t="s">
        <v>902</v>
      </c>
      <c r="E4676" s="79" t="s">
        <v>2893</v>
      </c>
      <c r="F4676" s="79"/>
    </row>
    <row r="4677" spans="1:6">
      <c r="A4677" s="77">
        <f t="shared" ref="A4677:A4706" ca="1" si="478">IF(C4677&lt;&gt;0,IF(A4677=0,TODAY(),A4677),)</f>
        <v>46028</v>
      </c>
      <c r="B4677" s="80">
        <f t="shared" ca="1" si="477"/>
        <v>46028.089428587962</v>
      </c>
      <c r="C4677" s="76" t="s">
        <v>720</v>
      </c>
      <c r="D4677" s="76" t="s">
        <v>902</v>
      </c>
      <c r="E4677" s="79" t="s">
        <v>1196</v>
      </c>
      <c r="F4677" s="79"/>
    </row>
    <row r="4678" spans="1:6">
      <c r="A4678" s="77">
        <f t="shared" ca="1" si="478"/>
        <v>46028</v>
      </c>
      <c r="B4678" s="80">
        <f t="shared" ca="1" si="477"/>
        <v>46028.09047314815</v>
      </c>
      <c r="C4678" s="76" t="s">
        <v>720</v>
      </c>
      <c r="D4678" s="150" t="s">
        <v>1007</v>
      </c>
      <c r="E4678" s="79" t="s">
        <v>2894</v>
      </c>
      <c r="F4678" s="79"/>
    </row>
    <row r="4679" spans="1:6">
      <c r="A4679" s="77">
        <f t="shared" ca="1" si="478"/>
        <v>46028</v>
      </c>
      <c r="B4679" s="80">
        <f t="shared" ca="1" si="477"/>
        <v>46028.104523032409</v>
      </c>
      <c r="C4679" s="76" t="s">
        <v>720</v>
      </c>
      <c r="D4679" s="76" t="s">
        <v>902</v>
      </c>
      <c r="E4679" s="79" t="s">
        <v>2895</v>
      </c>
      <c r="F4679" s="79"/>
    </row>
    <row r="4680" spans="1:6">
      <c r="A4680" s="77">
        <f t="shared" ca="1" si="478"/>
        <v>46028</v>
      </c>
      <c r="B4680" s="80">
        <f t="shared" ca="1" si="477"/>
        <v>46028.107414583334</v>
      </c>
      <c r="C4680" s="76" t="s">
        <v>720</v>
      </c>
      <c r="D4680" s="76" t="s">
        <v>902</v>
      </c>
      <c r="E4680" s="79" t="s">
        <v>2487</v>
      </c>
      <c r="F4680" s="79"/>
    </row>
    <row r="4681" spans="1:6">
      <c r="A4681" s="77">
        <f t="shared" ca="1" si="478"/>
        <v>46028</v>
      </c>
      <c r="B4681" s="80">
        <f t="shared" ca="1" si="477"/>
        <v>46028.111200231484</v>
      </c>
      <c r="C4681" s="76" t="s">
        <v>720</v>
      </c>
      <c r="D4681" s="76" t="s">
        <v>902</v>
      </c>
      <c r="E4681" s="79" t="s">
        <v>2896</v>
      </c>
      <c r="F4681" s="79"/>
    </row>
    <row r="4682" spans="1:6">
      <c r="A4682" s="77">
        <f t="shared" ca="1" si="478"/>
        <v>46028</v>
      </c>
      <c r="B4682" s="80">
        <f t="shared" ca="1" si="477"/>
        <v>46028.111819444443</v>
      </c>
      <c r="C4682" s="76" t="s">
        <v>720</v>
      </c>
      <c r="D4682" s="76" t="s">
        <v>902</v>
      </c>
      <c r="E4682" s="79" t="s">
        <v>2897</v>
      </c>
      <c r="F4682" s="79"/>
    </row>
    <row r="4683" spans="1:6">
      <c r="A4683" s="77">
        <f t="shared" ca="1" si="478"/>
        <v>46028</v>
      </c>
      <c r="B4683" s="80">
        <f t="shared" ca="1" si="477"/>
        <v>46028.114765856481</v>
      </c>
      <c r="C4683" s="76" t="s">
        <v>720</v>
      </c>
      <c r="D4683" s="76" t="s">
        <v>902</v>
      </c>
      <c r="E4683" s="79" t="s">
        <v>2827</v>
      </c>
      <c r="F4683" s="79"/>
    </row>
    <row r="4684" spans="1:6">
      <c r="A4684" s="77">
        <f t="shared" ca="1" si="478"/>
        <v>46028</v>
      </c>
      <c r="B4684" s="80">
        <f t="shared" ca="1" si="477"/>
        <v>46028.117304513886</v>
      </c>
      <c r="C4684" s="76" t="s">
        <v>720</v>
      </c>
      <c r="D4684" s="76" t="s">
        <v>902</v>
      </c>
      <c r="E4684" s="79" t="s">
        <v>2487</v>
      </c>
      <c r="F4684" s="79"/>
    </row>
    <row r="4685" spans="1:6">
      <c r="A4685" s="77">
        <f t="shared" ca="1" si="478"/>
        <v>46028</v>
      </c>
      <c r="B4685" s="80">
        <f t="shared" ca="1" si="477"/>
        <v>46028.120603124997</v>
      </c>
      <c r="C4685" s="76" t="s">
        <v>720</v>
      </c>
      <c r="D4685" s="76" t="s">
        <v>902</v>
      </c>
      <c r="E4685" s="79" t="s">
        <v>2827</v>
      </c>
      <c r="F4685" s="79"/>
    </row>
    <row r="4686" spans="1:6">
      <c r="A4686" s="77">
        <f t="shared" ca="1" si="478"/>
        <v>46028</v>
      </c>
      <c r="B4686" s="80">
        <f t="shared" ca="1" si="477"/>
        <v>46028.126246527776</v>
      </c>
      <c r="C4686" s="76" t="s">
        <v>720</v>
      </c>
      <c r="D4686" s="76" t="s">
        <v>902</v>
      </c>
      <c r="E4686" s="79" t="s">
        <v>1346</v>
      </c>
      <c r="F4686" s="79"/>
    </row>
    <row r="4687" spans="1:6">
      <c r="A4687" s="77">
        <f t="shared" ca="1" si="478"/>
        <v>46028</v>
      </c>
      <c r="B4687" s="80">
        <f t="shared" ca="1" si="477"/>
        <v>46028.12768888889</v>
      </c>
      <c r="C4687" s="76" t="s">
        <v>720</v>
      </c>
      <c r="D4687" s="76" t="s">
        <v>902</v>
      </c>
      <c r="E4687" s="79" t="s">
        <v>2487</v>
      </c>
      <c r="F4687" s="79"/>
    </row>
    <row r="4688" spans="1:6">
      <c r="A4688" s="77">
        <f t="shared" ca="1" si="478"/>
        <v>46028</v>
      </c>
      <c r="B4688" s="80">
        <f t="shared" ca="1" si="477"/>
        <v>46028.130491666663</v>
      </c>
      <c r="C4688" s="76" t="s">
        <v>720</v>
      </c>
      <c r="D4688" s="76" t="s">
        <v>902</v>
      </c>
      <c r="E4688" s="79" t="s">
        <v>2827</v>
      </c>
      <c r="F4688" s="79"/>
    </row>
    <row r="4689" spans="1:6">
      <c r="A4689" s="77">
        <f t="shared" ca="1" si="478"/>
        <v>46028</v>
      </c>
      <c r="B4689" s="80">
        <f t="shared" ca="1" si="477"/>
        <v>46028.135503240737</v>
      </c>
      <c r="C4689" s="76" t="s">
        <v>720</v>
      </c>
      <c r="D4689" s="76" t="s">
        <v>902</v>
      </c>
      <c r="E4689" s="79" t="s">
        <v>2487</v>
      </c>
      <c r="F4689" s="79"/>
    </row>
    <row r="4690" spans="1:6">
      <c r="A4690" s="77">
        <f t="shared" ca="1" si="478"/>
        <v>46028</v>
      </c>
      <c r="B4690" s="80">
        <f t="shared" ca="1" si="477"/>
        <v>46028.142627546295</v>
      </c>
      <c r="C4690" s="76" t="s">
        <v>720</v>
      </c>
      <c r="D4690" s="76" t="s">
        <v>902</v>
      </c>
      <c r="E4690" s="79" t="s">
        <v>911</v>
      </c>
      <c r="F4690" s="79"/>
    </row>
    <row r="4691" spans="1:6">
      <c r="A4691" s="77">
        <f t="shared" ca="1" si="478"/>
        <v>46028</v>
      </c>
      <c r="B4691" s="80">
        <f t="shared" ca="1" si="477"/>
        <v>46028.151537500002</v>
      </c>
      <c r="C4691" s="76" t="s">
        <v>720</v>
      </c>
      <c r="D4691" s="76" t="s">
        <v>902</v>
      </c>
      <c r="E4691" s="79" t="s">
        <v>2487</v>
      </c>
      <c r="F4691" s="79"/>
    </row>
    <row r="4692" spans="1:6">
      <c r="A4692" s="77">
        <f t="shared" ca="1" si="478"/>
        <v>46028</v>
      </c>
      <c r="B4692" s="80">
        <f t="shared" ca="1" si="477"/>
        <v>46028.161004745372</v>
      </c>
      <c r="C4692" s="76" t="s">
        <v>720</v>
      </c>
      <c r="D4692" s="76" t="s">
        <v>902</v>
      </c>
      <c r="E4692" s="79" t="s">
        <v>2898</v>
      </c>
      <c r="F4692" s="79"/>
    </row>
    <row r="4693" spans="1:6">
      <c r="A4693" s="77">
        <f t="shared" ca="1" si="478"/>
        <v>46028</v>
      </c>
      <c r="B4693" s="80">
        <f t="shared" ca="1" si="477"/>
        <v>46028.162677083332</v>
      </c>
      <c r="C4693" s="76" t="s">
        <v>720</v>
      </c>
      <c r="D4693" s="76" t="s">
        <v>902</v>
      </c>
      <c r="E4693" s="79" t="s">
        <v>2899</v>
      </c>
      <c r="F4693" s="79"/>
    </row>
    <row r="4694" spans="1:6">
      <c r="A4694" s="77">
        <f t="shared" ca="1" si="478"/>
        <v>46028</v>
      </c>
      <c r="B4694" s="80">
        <f t="shared" ca="1" si="477"/>
        <v>46028.165795023146</v>
      </c>
      <c r="C4694" s="76" t="s">
        <v>720</v>
      </c>
      <c r="D4694" s="76" t="s">
        <v>902</v>
      </c>
      <c r="E4694" s="79" t="s">
        <v>2827</v>
      </c>
      <c r="F4694" s="79"/>
    </row>
    <row r="4695" spans="1:6">
      <c r="A4695" s="77">
        <f t="shared" ca="1" si="478"/>
        <v>46028</v>
      </c>
      <c r="B4695" s="80">
        <f t="shared" ref="B4695:B4706" ca="1" si="479">IF(C4695&lt;&gt;0,IF(B4695=0,NOW(),B4695),)</f>
        <v>46028.167620138891</v>
      </c>
      <c r="C4695" s="76" t="s">
        <v>720</v>
      </c>
      <c r="D4695" s="76" t="s">
        <v>902</v>
      </c>
      <c r="E4695" s="79" t="s">
        <v>2900</v>
      </c>
      <c r="F4695" s="79"/>
    </row>
    <row r="4696" spans="1:6">
      <c r="A4696" s="77">
        <f t="shared" ca="1" si="478"/>
        <v>46028</v>
      </c>
      <c r="B4696" s="80">
        <f t="shared" ca="1" si="479"/>
        <v>46028.167892245372</v>
      </c>
      <c r="C4696" s="76" t="s">
        <v>720</v>
      </c>
      <c r="D4696" s="76" t="s">
        <v>902</v>
      </c>
      <c r="E4696" s="79" t="s">
        <v>2830</v>
      </c>
      <c r="F4696" s="79"/>
    </row>
    <row r="4697" spans="1:6">
      <c r="A4697" s="77">
        <f t="shared" ca="1" si="478"/>
        <v>46028</v>
      </c>
      <c r="B4697" s="80">
        <f t="shared" ca="1" si="479"/>
        <v>46028.169003009258</v>
      </c>
      <c r="C4697" s="76" t="s">
        <v>720</v>
      </c>
      <c r="D4697" s="76" t="s">
        <v>902</v>
      </c>
      <c r="E4697" s="79" t="s">
        <v>2830</v>
      </c>
      <c r="F4697" s="79"/>
    </row>
    <row r="4698" spans="1:6">
      <c r="A4698" s="77">
        <f t="shared" ca="1" si="478"/>
        <v>46028</v>
      </c>
      <c r="B4698" s="80">
        <f t="shared" ca="1" si="479"/>
        <v>46028.169003009258</v>
      </c>
      <c r="C4698" s="76" t="s">
        <v>720</v>
      </c>
      <c r="D4698" s="76" t="s">
        <v>902</v>
      </c>
      <c r="E4698" s="79" t="s">
        <v>2901</v>
      </c>
      <c r="F4698" s="79"/>
    </row>
    <row r="4699" spans="1:6">
      <c r="A4699" s="77">
        <f t="shared" ca="1" si="478"/>
        <v>46028</v>
      </c>
      <c r="B4699" s="80">
        <f t="shared" ca="1" si="479"/>
        <v>46028.173650231482</v>
      </c>
      <c r="C4699" s="76" t="s">
        <v>720</v>
      </c>
      <c r="D4699" s="76" t="s">
        <v>902</v>
      </c>
      <c r="E4699" s="79" t="s">
        <v>2902</v>
      </c>
      <c r="F4699" s="79"/>
    </row>
    <row r="4700" spans="1:6">
      <c r="A4700" s="77">
        <f t="shared" ca="1" si="478"/>
        <v>46028</v>
      </c>
      <c r="B4700" s="80">
        <f t="shared" ca="1" si="479"/>
        <v>46028.175966550923</v>
      </c>
      <c r="C4700" s="76" t="s">
        <v>720</v>
      </c>
      <c r="D4700" s="150" t="s">
        <v>1007</v>
      </c>
      <c r="E4700" s="79" t="s">
        <v>2641</v>
      </c>
      <c r="F4700" s="79"/>
    </row>
    <row r="4701" spans="1:6">
      <c r="A4701" s="77">
        <f t="shared" ca="1" si="478"/>
        <v>46028</v>
      </c>
      <c r="B4701" s="80">
        <f t="shared" ca="1" si="479"/>
        <v>46028.187577893521</v>
      </c>
      <c r="C4701" s="76" t="s">
        <v>720</v>
      </c>
      <c r="D4701" s="76" t="s">
        <v>902</v>
      </c>
      <c r="E4701" s="79" t="s">
        <v>1196</v>
      </c>
      <c r="F4701" s="79"/>
    </row>
    <row r="4702" spans="1:6">
      <c r="A4702" s="77">
        <f t="shared" ca="1" si="478"/>
        <v>46028</v>
      </c>
      <c r="B4702" s="80">
        <f t="shared" ca="1" si="479"/>
        <v>46028.196681712965</v>
      </c>
      <c r="C4702" s="76" t="s">
        <v>720</v>
      </c>
      <c r="D4702" s="76" t="s">
        <v>902</v>
      </c>
      <c r="E4702" s="79" t="s">
        <v>2903</v>
      </c>
      <c r="F4702" s="79"/>
    </row>
    <row r="4703" spans="1:6">
      <c r="A4703" s="77">
        <f t="shared" ca="1" si="478"/>
        <v>46028</v>
      </c>
      <c r="B4703" s="80">
        <f t="shared" ca="1" si="479"/>
        <v>46028.200710069446</v>
      </c>
      <c r="C4703" s="76" t="s">
        <v>720</v>
      </c>
      <c r="D4703" s="150" t="s">
        <v>1007</v>
      </c>
      <c r="E4703" s="79" t="s">
        <v>2903</v>
      </c>
      <c r="F4703" s="79"/>
    </row>
    <row r="4704" spans="1:6">
      <c r="A4704" s="77">
        <f t="shared" ca="1" si="478"/>
        <v>46028</v>
      </c>
      <c r="B4704" s="80">
        <f t="shared" ca="1" si="479"/>
        <v>46028.210409953703</v>
      </c>
      <c r="C4704" s="76" t="s">
        <v>720</v>
      </c>
      <c r="D4704" s="76" t="s">
        <v>902</v>
      </c>
      <c r="E4704" s="79" t="s">
        <v>2162</v>
      </c>
      <c r="F4704" s="79"/>
    </row>
    <row r="4705" spans="1:7">
      <c r="A4705" s="77">
        <f t="shared" ca="1" si="478"/>
        <v>46028</v>
      </c>
      <c r="B4705" s="80">
        <f t="shared" ca="1" si="479"/>
        <v>46028.21091898148</v>
      </c>
      <c r="C4705" s="76" t="s">
        <v>720</v>
      </c>
      <c r="D4705" s="210" t="s">
        <v>922</v>
      </c>
      <c r="E4705" s="79"/>
      <c r="F4705" s="79"/>
    </row>
    <row r="4706" spans="1:7" s="150" customFormat="1">
      <c r="A4706" s="151">
        <f t="shared" ca="1" si="478"/>
        <v>46028</v>
      </c>
      <c r="B4706" s="149">
        <f t="shared" ca="1" si="479"/>
        <v>46028.259339814816</v>
      </c>
      <c r="C4706" s="150" t="s">
        <v>720</v>
      </c>
      <c r="D4706" s="210" t="s">
        <v>1098</v>
      </c>
      <c r="G4706" s="150" t="s">
        <v>2904</v>
      </c>
    </row>
    <row r="4707" spans="1:7" s="79" customFormat="1">
      <c r="A4707" s="152">
        <f t="shared" ref="A4707:A4732" ca="1" si="480">IF(C4707&lt;&gt;0,IF(A4707=0,TODAY(),A4707),)</f>
        <v>46028</v>
      </c>
      <c r="B4707" s="115">
        <f t="shared" ref="B4707:B4725" ca="1" si="481">IF(C4707&lt;&gt;0,IF(B4707=0,NOW(),B4707),)</f>
        <v>46028.291908680556</v>
      </c>
      <c r="C4707" s="79" t="s">
        <v>724</v>
      </c>
      <c r="D4707" s="210" t="s">
        <v>906</v>
      </c>
    </row>
    <row r="4708" spans="1:7">
      <c r="A4708" s="77">
        <f t="shared" ca="1" si="480"/>
        <v>46028</v>
      </c>
      <c r="B4708" s="80">
        <f t="shared" ca="1" si="481"/>
        <v>46028.372544560189</v>
      </c>
      <c r="C4708" s="79" t="s">
        <v>724</v>
      </c>
      <c r="D4708" s="210" t="s">
        <v>909</v>
      </c>
      <c r="E4708" s="79"/>
      <c r="F4708" s="79"/>
    </row>
    <row r="4709" spans="1:7">
      <c r="A4709" s="152">
        <f t="shared" ca="1" si="480"/>
        <v>46028</v>
      </c>
      <c r="B4709" s="115">
        <f t="shared" ca="1" si="481"/>
        <v>46028.382961111114</v>
      </c>
      <c r="C4709" s="79" t="s">
        <v>724</v>
      </c>
      <c r="D4709" s="79" t="s">
        <v>902</v>
      </c>
      <c r="E4709" s="79" t="s">
        <v>2521</v>
      </c>
      <c r="F4709" s="79"/>
    </row>
    <row r="4710" spans="1:7">
      <c r="A4710" s="152">
        <f t="shared" ca="1" si="480"/>
        <v>46028</v>
      </c>
      <c r="B4710" s="115">
        <f t="shared" ca="1" si="481"/>
        <v>46028.384488541669</v>
      </c>
      <c r="C4710" s="79" t="s">
        <v>724</v>
      </c>
      <c r="D4710" s="79" t="s">
        <v>902</v>
      </c>
      <c r="E4710" s="79" t="s">
        <v>2905</v>
      </c>
      <c r="F4710" s="79"/>
    </row>
    <row r="4711" spans="1:7">
      <c r="A4711" s="152">
        <f t="shared" ca="1" si="480"/>
        <v>46028</v>
      </c>
      <c r="B4711" s="115">
        <f t="shared" ca="1" si="481"/>
        <v>46028.388225115741</v>
      </c>
      <c r="C4711" s="79" t="s">
        <v>724</v>
      </c>
      <c r="D4711" s="79" t="s">
        <v>902</v>
      </c>
      <c r="E4711" s="79" t="s">
        <v>2906</v>
      </c>
      <c r="F4711" s="79"/>
    </row>
    <row r="4712" spans="1:7">
      <c r="A4712" s="152">
        <f t="shared" ca="1" si="480"/>
        <v>46028</v>
      </c>
      <c r="B4712" s="115">
        <f t="shared" ca="1" si="481"/>
        <v>46028.400102430554</v>
      </c>
      <c r="C4712" s="79" t="s">
        <v>724</v>
      </c>
      <c r="D4712" s="79" t="s">
        <v>902</v>
      </c>
      <c r="E4712" s="79" t="s">
        <v>1535</v>
      </c>
      <c r="F4712" s="79"/>
    </row>
    <row r="4713" spans="1:7">
      <c r="A4713" s="152">
        <f t="shared" ca="1" si="480"/>
        <v>46028</v>
      </c>
      <c r="B4713" s="115">
        <f t="shared" ca="1" si="481"/>
        <v>46028.403084606478</v>
      </c>
      <c r="C4713" s="79" t="s">
        <v>724</v>
      </c>
      <c r="D4713" s="79" t="s">
        <v>902</v>
      </c>
      <c r="E4713" s="79" t="s">
        <v>2907</v>
      </c>
      <c r="F4713" s="79"/>
    </row>
    <row r="4714" spans="1:7">
      <c r="A4714" s="152">
        <f t="shared" ca="1" si="480"/>
        <v>46028</v>
      </c>
      <c r="B4714" s="115">
        <f t="shared" ca="1" si="481"/>
        <v>46028.403980092589</v>
      </c>
      <c r="C4714" s="79" t="s">
        <v>724</v>
      </c>
      <c r="D4714" s="79" t="s">
        <v>902</v>
      </c>
      <c r="E4714" s="79" t="s">
        <v>1426</v>
      </c>
      <c r="F4714" s="79"/>
    </row>
    <row r="4715" spans="1:7">
      <c r="A4715" s="152">
        <f t="shared" ca="1" si="480"/>
        <v>46028</v>
      </c>
      <c r="B4715" s="115">
        <f t="shared" ca="1" si="481"/>
        <v>46028.420520833337</v>
      </c>
      <c r="C4715" s="79" t="s">
        <v>724</v>
      </c>
      <c r="D4715" s="79" t="s">
        <v>902</v>
      </c>
      <c r="E4715" s="79" t="s">
        <v>1426</v>
      </c>
      <c r="F4715" s="79"/>
    </row>
    <row r="4716" spans="1:7">
      <c r="A4716" s="152">
        <f t="shared" ca="1" si="480"/>
        <v>46028</v>
      </c>
      <c r="B4716" s="115">
        <f t="shared" ca="1" si="481"/>
        <v>46028.422695138892</v>
      </c>
      <c r="C4716" s="79" t="s">
        <v>724</v>
      </c>
      <c r="D4716" s="79" t="s">
        <v>902</v>
      </c>
      <c r="E4716" s="79" t="s">
        <v>913</v>
      </c>
      <c r="F4716" s="79"/>
    </row>
    <row r="4717" spans="1:7">
      <c r="A4717" s="152">
        <f t="shared" ca="1" si="480"/>
        <v>46028</v>
      </c>
      <c r="B4717" s="115">
        <f t="shared" ca="1" si="481"/>
        <v>46028.426776504632</v>
      </c>
      <c r="C4717" s="79" t="s">
        <v>724</v>
      </c>
      <c r="D4717" s="79" t="s">
        <v>902</v>
      </c>
      <c r="E4717" s="79" t="s">
        <v>1426</v>
      </c>
      <c r="F4717" s="79"/>
    </row>
    <row r="4718" spans="1:7">
      <c r="A4718" s="152">
        <f t="shared" ca="1" si="480"/>
        <v>46028</v>
      </c>
      <c r="B4718" s="115">
        <f t="shared" ca="1" si="481"/>
        <v>46028.42817835648</v>
      </c>
      <c r="C4718" s="79" t="s">
        <v>724</v>
      </c>
      <c r="D4718" s="79" t="s">
        <v>902</v>
      </c>
      <c r="E4718" s="79" t="s">
        <v>2908</v>
      </c>
      <c r="F4718" s="79"/>
    </row>
    <row r="4719" spans="1:7">
      <c r="A4719" s="152">
        <f t="shared" ca="1" si="480"/>
        <v>46028</v>
      </c>
      <c r="B4719" s="115">
        <f t="shared" ca="1" si="481"/>
        <v>46028.431262152779</v>
      </c>
      <c r="C4719" s="79" t="s">
        <v>724</v>
      </c>
      <c r="D4719" s="79" t="s">
        <v>902</v>
      </c>
      <c r="E4719" s="79" t="s">
        <v>2909</v>
      </c>
      <c r="F4719" s="79"/>
    </row>
    <row r="4720" spans="1:7">
      <c r="A4720" s="152">
        <f t="shared" ca="1" si="480"/>
        <v>46028</v>
      </c>
      <c r="B4720" s="115">
        <f t="shared" ca="1" si="481"/>
        <v>46028.431512499999</v>
      </c>
      <c r="C4720" s="79" t="s">
        <v>724</v>
      </c>
      <c r="D4720" s="79" t="s">
        <v>902</v>
      </c>
      <c r="E4720" s="79" t="s">
        <v>1426</v>
      </c>
      <c r="F4720" s="79"/>
    </row>
    <row r="4721" spans="1:6">
      <c r="A4721" s="152">
        <f t="shared" ca="1" si="480"/>
        <v>46028</v>
      </c>
      <c r="B4721" s="115">
        <f t="shared" ca="1" si="481"/>
        <v>46028.437290740738</v>
      </c>
      <c r="C4721" s="79" t="s">
        <v>724</v>
      </c>
      <c r="D4721" s="79" t="s">
        <v>902</v>
      </c>
      <c r="E4721" s="79" t="s">
        <v>2910</v>
      </c>
      <c r="F4721" s="79"/>
    </row>
    <row r="4722" spans="1:6">
      <c r="A4722" s="152">
        <f t="shared" ca="1" si="480"/>
        <v>46028</v>
      </c>
      <c r="B4722" s="115">
        <f t="shared" ca="1" si="481"/>
        <v>46028.440155555552</v>
      </c>
      <c r="C4722" s="79" t="s">
        <v>724</v>
      </c>
      <c r="D4722" s="79" t="s">
        <v>902</v>
      </c>
      <c r="E4722" s="79" t="s">
        <v>1426</v>
      </c>
      <c r="F4722" s="79"/>
    </row>
    <row r="4723" spans="1:6">
      <c r="A4723" s="152">
        <f t="shared" ca="1" si="480"/>
        <v>46028</v>
      </c>
      <c r="B4723" s="115">
        <f t="shared" ca="1" si="481"/>
        <v>46028.467625694444</v>
      </c>
      <c r="C4723" s="79" t="s">
        <v>724</v>
      </c>
      <c r="D4723" s="79" t="s">
        <v>902</v>
      </c>
      <c r="E4723" s="79" t="s">
        <v>2830</v>
      </c>
      <c r="F4723" s="79"/>
    </row>
    <row r="4724" spans="1:6">
      <c r="A4724" s="152">
        <f t="shared" ca="1" si="480"/>
        <v>46028</v>
      </c>
      <c r="B4724" s="115">
        <f t="shared" ca="1" si="481"/>
        <v>46028.47171273148</v>
      </c>
      <c r="C4724" s="79" t="s">
        <v>724</v>
      </c>
      <c r="D4724" s="79" t="s">
        <v>902</v>
      </c>
      <c r="E4724" s="79" t="s">
        <v>1426</v>
      </c>
      <c r="F4724" s="79"/>
    </row>
    <row r="4725" spans="1:6">
      <c r="A4725" s="152">
        <f t="shared" ca="1" si="480"/>
        <v>46028</v>
      </c>
      <c r="B4725" s="115">
        <f t="shared" ca="1" si="481"/>
        <v>46028.494710185187</v>
      </c>
      <c r="C4725" s="79" t="s">
        <v>724</v>
      </c>
      <c r="D4725" s="79" t="s">
        <v>902</v>
      </c>
      <c r="E4725" s="79" t="s">
        <v>2830</v>
      </c>
      <c r="F4725" s="79"/>
    </row>
    <row r="4726" spans="1:6">
      <c r="A4726" s="152">
        <f t="shared" ca="1" si="480"/>
        <v>46028</v>
      </c>
      <c r="B4726" s="80">
        <f t="shared" ref="B4726:B4731" ca="1" si="482">IF(C4726&lt;&gt;0,IF(B4726=0,NOW(),B4726),)</f>
        <v>46028.508760879631</v>
      </c>
      <c r="C4726" s="79" t="s">
        <v>724</v>
      </c>
      <c r="D4726" s="79" t="s">
        <v>902</v>
      </c>
      <c r="E4726" s="79" t="s">
        <v>932</v>
      </c>
      <c r="F4726" s="79"/>
    </row>
    <row r="4727" spans="1:6">
      <c r="A4727" s="152">
        <f t="shared" ca="1" si="480"/>
        <v>46028</v>
      </c>
      <c r="B4727" s="80">
        <f t="shared" ca="1" si="482"/>
        <v>46028.516063310184</v>
      </c>
      <c r="C4727" s="79" t="s">
        <v>724</v>
      </c>
      <c r="D4727" s="79" t="s">
        <v>902</v>
      </c>
      <c r="E4727" s="79" t="s">
        <v>2162</v>
      </c>
      <c r="F4727" s="79"/>
    </row>
    <row r="4728" spans="1:6">
      <c r="A4728" s="152">
        <f t="shared" ca="1" si="480"/>
        <v>46028</v>
      </c>
      <c r="B4728" s="80">
        <f t="shared" ca="1" si="482"/>
        <v>46028.520236111108</v>
      </c>
      <c r="C4728" s="79" t="s">
        <v>724</v>
      </c>
      <c r="D4728" s="79" t="s">
        <v>902</v>
      </c>
      <c r="E4728" s="79" t="s">
        <v>932</v>
      </c>
      <c r="F4728" s="79"/>
    </row>
    <row r="4729" spans="1:6">
      <c r="A4729" s="152">
        <f t="shared" ca="1" si="480"/>
        <v>46028</v>
      </c>
      <c r="B4729" s="80">
        <f t="shared" ca="1" si="482"/>
        <v>46028.527193055554</v>
      </c>
      <c r="C4729" s="79" t="s">
        <v>724</v>
      </c>
      <c r="D4729" s="79" t="s">
        <v>902</v>
      </c>
      <c r="E4729" s="79" t="s">
        <v>2911</v>
      </c>
      <c r="F4729" s="79"/>
    </row>
    <row r="4730" spans="1:6">
      <c r="A4730" s="152">
        <f t="shared" ca="1" si="480"/>
        <v>46028</v>
      </c>
      <c r="B4730" s="80">
        <f t="shared" ca="1" si="482"/>
        <v>46028.527193055554</v>
      </c>
      <c r="C4730" s="79" t="s">
        <v>724</v>
      </c>
      <c r="D4730" s="79" t="s">
        <v>902</v>
      </c>
      <c r="E4730" s="79" t="s">
        <v>1555</v>
      </c>
      <c r="F4730" s="79"/>
    </row>
    <row r="4731" spans="1:6">
      <c r="A4731" s="152">
        <f t="shared" ca="1" si="480"/>
        <v>46028</v>
      </c>
      <c r="B4731" s="80">
        <f t="shared" ca="1" si="482"/>
        <v>46028.533887384256</v>
      </c>
      <c r="C4731" s="79" t="s">
        <v>724</v>
      </c>
      <c r="D4731" s="150" t="s">
        <v>1007</v>
      </c>
      <c r="E4731" s="79" t="s">
        <v>2912</v>
      </c>
      <c r="F4731" s="79"/>
    </row>
    <row r="4732" spans="1:6">
      <c r="A4732" s="152">
        <f t="shared" ca="1" si="480"/>
        <v>46028</v>
      </c>
      <c r="B4732" s="80">
        <f ca="1">IF(C4732&lt;&gt;0,IF(B4732=0,NOW(),B4732),)</f>
        <v>46028.549689583335</v>
      </c>
      <c r="C4732" s="79" t="s">
        <v>724</v>
      </c>
      <c r="D4732" s="79" t="s">
        <v>902</v>
      </c>
      <c r="E4732" s="79" t="s">
        <v>2689</v>
      </c>
      <c r="F4732" s="79"/>
    </row>
    <row r="4733" spans="1:6">
      <c r="A4733" s="152">
        <v>46028</v>
      </c>
      <c r="B4733" s="80">
        <v>0.56843750000000004</v>
      </c>
      <c r="C4733" s="79" t="s">
        <v>724</v>
      </c>
      <c r="D4733" s="76" t="s">
        <v>902</v>
      </c>
      <c r="E4733" s="79" t="s">
        <v>1555</v>
      </c>
      <c r="F4733" s="79"/>
    </row>
    <row r="4734" spans="1:6">
      <c r="A4734" s="152">
        <v>46028</v>
      </c>
      <c r="B4734" s="80">
        <v>0.57362268518518522</v>
      </c>
      <c r="C4734" s="79" t="s">
        <v>724</v>
      </c>
      <c r="D4734" s="150" t="s">
        <v>1007</v>
      </c>
      <c r="E4734" s="79" t="s">
        <v>2913</v>
      </c>
      <c r="F4734" s="79"/>
    </row>
    <row r="4735" spans="1:6">
      <c r="A4735" s="152">
        <f ca="1">IF(C4735&lt;&gt;0,IF(A4735=0,TODAY(),A4735),)</f>
        <v>46028</v>
      </c>
      <c r="B4735" s="80">
        <f ca="1">IF(C4735&lt;&gt;0,IF(B4735=0,NOW(),B4735),)</f>
        <v>46028.57913784722</v>
      </c>
      <c r="C4735" s="79" t="s">
        <v>724</v>
      </c>
      <c r="D4735" s="79" t="s">
        <v>902</v>
      </c>
      <c r="E4735" s="79" t="s">
        <v>2518</v>
      </c>
      <c r="F4735" s="79"/>
    </row>
    <row r="4736" spans="1:6">
      <c r="A4736" s="152">
        <f ca="1">IF(C4736&lt;&gt;0,IF(A4736=0,TODAY(),A4736),)</f>
        <v>46028</v>
      </c>
      <c r="B4736" s="80">
        <f ca="1">IF(C4736&lt;&gt;0,IF(B4736=0,NOW(),B4736),)</f>
        <v>46028.57994560185</v>
      </c>
      <c r="C4736" s="79" t="s">
        <v>724</v>
      </c>
      <c r="D4736" s="79" t="s">
        <v>902</v>
      </c>
      <c r="E4736" s="79" t="s">
        <v>2914</v>
      </c>
      <c r="F4736" s="79"/>
    </row>
    <row r="4737" spans="1:7">
      <c r="A4737" s="152">
        <f ca="1">IF(C4737&lt;&gt;0,IF(A4737=0,TODAY(),A4737),)</f>
        <v>46028</v>
      </c>
      <c r="B4737" s="80">
        <f ca="1">IF(C4737&lt;&gt;0,IF(B4737=0,NOW(),B4737),)</f>
        <v>46028.581196412037</v>
      </c>
      <c r="C4737" s="79" t="s">
        <v>724</v>
      </c>
      <c r="D4737" s="210" t="s">
        <v>922</v>
      </c>
      <c r="E4737" s="79"/>
      <c r="F4737" s="79"/>
    </row>
    <row r="4738" spans="1:7">
      <c r="A4738" s="152">
        <f ca="1">IF(C4738&lt;&gt;0,IF(A4738=0,TODAY(),A4738),)</f>
        <v>46028</v>
      </c>
      <c r="B4738" s="80">
        <v>0.58682870370370366</v>
      </c>
      <c r="C4738" s="79" t="s">
        <v>724</v>
      </c>
      <c r="D4738" s="210" t="s">
        <v>1098</v>
      </c>
      <c r="E4738" s="150" t="s">
        <v>2915</v>
      </c>
      <c r="F4738" s="79"/>
      <c r="G4738" s="158" t="s">
        <v>2916</v>
      </c>
    </row>
    <row r="4739" spans="1:7">
      <c r="A4739" s="77">
        <f t="shared" ref="A4739:A4749" ca="1" si="483">IF(C4739&lt;&gt;0,IF(A4739=0,TODAY(),A4739),)</f>
        <v>46028</v>
      </c>
      <c r="B4739" s="80">
        <f t="shared" ref="B4739:B4749" ca="1" si="484">IF(C4739&lt;&gt;0,IF(B4739=0,NOW(),B4739),)</f>
        <v>46028.783490277776</v>
      </c>
      <c r="C4739" s="79" t="s">
        <v>728</v>
      </c>
      <c r="D4739" s="210" t="s">
        <v>906</v>
      </c>
      <c r="E4739" s="79" t="s">
        <v>2485</v>
      </c>
      <c r="F4739" s="79"/>
    </row>
    <row r="4740" spans="1:7">
      <c r="A4740" s="77">
        <f t="shared" ca="1" si="483"/>
        <v>46028</v>
      </c>
      <c r="B4740" s="80">
        <f t="shared" ca="1" si="484"/>
        <v>46028.789977546294</v>
      </c>
      <c r="C4740" s="79" t="s">
        <v>728</v>
      </c>
      <c r="D4740" s="210" t="s">
        <v>909</v>
      </c>
      <c r="E4740" s="79"/>
      <c r="F4740" s="79"/>
    </row>
    <row r="4741" spans="1:7">
      <c r="A4741" s="77">
        <f t="shared" ca="1" si="483"/>
        <v>46028</v>
      </c>
      <c r="B4741" s="80">
        <f t="shared" ca="1" si="484"/>
        <v>46028.801707986109</v>
      </c>
      <c r="C4741" s="79" t="s">
        <v>728</v>
      </c>
      <c r="D4741" s="79" t="s">
        <v>902</v>
      </c>
      <c r="E4741" s="79" t="s">
        <v>1346</v>
      </c>
      <c r="F4741" s="79"/>
    </row>
    <row r="4742" spans="1:7">
      <c r="A4742" s="77">
        <f t="shared" ca="1" si="483"/>
        <v>46028</v>
      </c>
      <c r="B4742" s="80">
        <f t="shared" ca="1" si="484"/>
        <v>46028.803405555554</v>
      </c>
      <c r="C4742" s="79" t="s">
        <v>728</v>
      </c>
      <c r="D4742" s="79" t="s">
        <v>902</v>
      </c>
      <c r="E4742" s="79" t="s">
        <v>2917</v>
      </c>
      <c r="F4742" s="79"/>
    </row>
    <row r="4743" spans="1:7">
      <c r="A4743" s="77">
        <f t="shared" ca="1" si="483"/>
        <v>46028</v>
      </c>
      <c r="B4743" s="80">
        <f t="shared" ca="1" si="484"/>
        <v>46028.804750578704</v>
      </c>
      <c r="C4743" s="79" t="s">
        <v>728</v>
      </c>
      <c r="D4743" s="79" t="s">
        <v>902</v>
      </c>
      <c r="E4743" s="79" t="s">
        <v>2918</v>
      </c>
      <c r="F4743" s="79"/>
    </row>
    <row r="4744" spans="1:7">
      <c r="A4744" s="77">
        <f t="shared" ca="1" si="483"/>
        <v>46028</v>
      </c>
      <c r="B4744" s="80">
        <f t="shared" ca="1" si="484"/>
        <v>46028.804970138888</v>
      </c>
      <c r="C4744" s="79" t="s">
        <v>728</v>
      </c>
      <c r="D4744" s="79" t="s">
        <v>902</v>
      </c>
      <c r="E4744" s="79" t="s">
        <v>1128</v>
      </c>
      <c r="F4744" s="79"/>
    </row>
    <row r="4745" spans="1:7">
      <c r="A4745" s="77">
        <f t="shared" ca="1" si="483"/>
        <v>46028</v>
      </c>
      <c r="B4745" s="80">
        <f t="shared" ca="1" si="484"/>
        <v>46028.809411458336</v>
      </c>
      <c r="C4745" s="79" t="s">
        <v>728</v>
      </c>
      <c r="D4745" s="79" t="s">
        <v>902</v>
      </c>
      <c r="E4745" s="79" t="s">
        <v>2861</v>
      </c>
      <c r="F4745" s="79"/>
    </row>
    <row r="4746" spans="1:7">
      <c r="A4746" s="77">
        <f t="shared" ca="1" si="483"/>
        <v>46028</v>
      </c>
      <c r="B4746" s="80">
        <f t="shared" ca="1" si="484"/>
        <v>46028.824464814817</v>
      </c>
      <c r="C4746" s="79" t="s">
        <v>728</v>
      </c>
      <c r="D4746" s="150" t="s">
        <v>1007</v>
      </c>
      <c r="E4746" s="79" t="s">
        <v>2782</v>
      </c>
      <c r="F4746" s="79"/>
    </row>
    <row r="4747" spans="1:7">
      <c r="A4747" s="77">
        <f t="shared" ca="1" si="483"/>
        <v>46028</v>
      </c>
      <c r="B4747" s="80">
        <f t="shared" ca="1" si="484"/>
        <v>46028.824526620374</v>
      </c>
      <c r="C4747" s="79" t="s">
        <v>728</v>
      </c>
      <c r="D4747" s="150" t="s">
        <v>1007</v>
      </c>
      <c r="E4747" s="79" t="s">
        <v>2782</v>
      </c>
      <c r="F4747" s="79"/>
    </row>
    <row r="4748" spans="1:7">
      <c r="A4748" s="77">
        <f t="shared" ca="1" si="483"/>
        <v>46028</v>
      </c>
      <c r="B4748" s="80">
        <f t="shared" ca="1" si="484"/>
        <v>46028.837869212963</v>
      </c>
      <c r="C4748" s="79" t="s">
        <v>728</v>
      </c>
      <c r="D4748" s="79" t="s">
        <v>902</v>
      </c>
      <c r="E4748" s="79" t="s">
        <v>2918</v>
      </c>
      <c r="F4748" s="79"/>
    </row>
    <row r="4749" spans="1:7">
      <c r="A4749" s="77">
        <f t="shared" ca="1" si="483"/>
        <v>46028</v>
      </c>
      <c r="B4749" s="80">
        <f t="shared" ca="1" si="484"/>
        <v>46028.838984606482</v>
      </c>
      <c r="C4749" s="79" t="s">
        <v>728</v>
      </c>
      <c r="D4749" s="79" t="s">
        <v>902</v>
      </c>
      <c r="E4749" s="79" t="s">
        <v>2918</v>
      </c>
      <c r="F4749" s="79"/>
    </row>
    <row r="4750" spans="1:7">
      <c r="A4750" s="77">
        <f ca="1">IF(C4750&lt;&gt;0,IF(A4750=0,TODAY(),A4750),)</f>
        <v>46028</v>
      </c>
      <c r="B4750" s="80">
        <f ca="1">IF(C4750&lt;&gt;0,IF(B4750=0,NOW(),B4750),)</f>
        <v>46028.842256018521</v>
      </c>
      <c r="C4750" s="79" t="s">
        <v>728</v>
      </c>
      <c r="D4750" s="79" t="s">
        <v>902</v>
      </c>
      <c r="E4750" s="79" t="s">
        <v>2919</v>
      </c>
      <c r="F4750" s="79"/>
    </row>
    <row r="4751" spans="1:7">
      <c r="A4751" s="77">
        <f t="shared" ref="A4751:A4761" ca="1" si="485">IF(C4751&lt;&gt;0,IF(A4751=0,TODAY(),A4751),)</f>
        <v>46028</v>
      </c>
      <c r="B4751" s="80">
        <f t="shared" ref="B4751:B4761" ca="1" si="486">IF(C4751&lt;&gt;0,IF(B4751=0,NOW(),B4751),)</f>
        <v>46028.846048148145</v>
      </c>
      <c r="C4751" s="79" t="s">
        <v>728</v>
      </c>
      <c r="D4751" s="79" t="s">
        <v>902</v>
      </c>
      <c r="E4751" s="79" t="s">
        <v>1677</v>
      </c>
      <c r="F4751" s="79"/>
    </row>
    <row r="4752" spans="1:7">
      <c r="A4752" s="77">
        <f t="shared" ca="1" si="485"/>
        <v>46028</v>
      </c>
      <c r="B4752" s="80">
        <f t="shared" ca="1" si="486"/>
        <v>46028.849856134257</v>
      </c>
      <c r="C4752" s="79" t="s">
        <v>728</v>
      </c>
      <c r="D4752" s="150" t="s">
        <v>1007</v>
      </c>
      <c r="E4752" s="79" t="s">
        <v>2920</v>
      </c>
      <c r="F4752" s="79"/>
    </row>
    <row r="4753" spans="1:6">
      <c r="A4753" s="77">
        <f t="shared" ca="1" si="485"/>
        <v>46028</v>
      </c>
      <c r="B4753" s="80">
        <f t="shared" ca="1" si="486"/>
        <v>46028.849856134257</v>
      </c>
      <c r="C4753" s="79" t="s">
        <v>728</v>
      </c>
      <c r="D4753" s="79" t="s">
        <v>902</v>
      </c>
      <c r="E4753" s="79" t="s">
        <v>2921</v>
      </c>
      <c r="F4753" s="79"/>
    </row>
    <row r="4754" spans="1:6">
      <c r="A4754" s="77">
        <f t="shared" ca="1" si="485"/>
        <v>46028</v>
      </c>
      <c r="B4754" s="80">
        <f t="shared" ca="1" si="486"/>
        <v>46028.853651851852</v>
      </c>
      <c r="C4754" s="79" t="s">
        <v>728</v>
      </c>
      <c r="D4754" s="79" t="s">
        <v>902</v>
      </c>
      <c r="E4754" s="79" t="s">
        <v>2773</v>
      </c>
      <c r="F4754" s="79"/>
    </row>
    <row r="4755" spans="1:6">
      <c r="A4755" s="77">
        <f t="shared" ca="1" si="485"/>
        <v>46028</v>
      </c>
      <c r="B4755" s="80">
        <f t="shared" ca="1" si="486"/>
        <v>46028.863777777777</v>
      </c>
      <c r="C4755" s="79" t="s">
        <v>728</v>
      </c>
      <c r="D4755" s="79" t="s">
        <v>902</v>
      </c>
      <c r="E4755" s="79" t="s">
        <v>2922</v>
      </c>
      <c r="F4755" s="79"/>
    </row>
    <row r="4756" spans="1:6">
      <c r="A4756" s="77">
        <f t="shared" ca="1" si="485"/>
        <v>46028</v>
      </c>
      <c r="B4756" s="80">
        <f t="shared" ca="1" si="486"/>
        <v>46028.869469675927</v>
      </c>
      <c r="C4756" s="79" t="s">
        <v>728</v>
      </c>
      <c r="D4756" s="79" t="s">
        <v>902</v>
      </c>
      <c r="E4756" s="79" t="s">
        <v>2861</v>
      </c>
      <c r="F4756" s="79"/>
    </row>
    <row r="4757" spans="1:6">
      <c r="A4757" s="77">
        <f t="shared" ca="1" si="485"/>
        <v>46028</v>
      </c>
      <c r="B4757" s="80">
        <f t="shared" ca="1" si="486"/>
        <v>46028.870080671295</v>
      </c>
      <c r="C4757" s="79" t="s">
        <v>728</v>
      </c>
      <c r="D4757" s="79" t="s">
        <v>902</v>
      </c>
      <c r="E4757" s="79" t="s">
        <v>2923</v>
      </c>
      <c r="F4757" s="79"/>
    </row>
    <row r="4758" spans="1:6">
      <c r="A4758" s="77">
        <f t="shared" ca="1" si="485"/>
        <v>46028</v>
      </c>
      <c r="B4758" s="80">
        <f t="shared" ca="1" si="486"/>
        <v>46028.872887962963</v>
      </c>
      <c r="C4758" s="79" t="s">
        <v>728</v>
      </c>
      <c r="D4758" s="79" t="s">
        <v>902</v>
      </c>
      <c r="E4758" s="79" t="s">
        <v>1677</v>
      </c>
      <c r="F4758" s="79"/>
    </row>
    <row r="4759" spans="1:6">
      <c r="A4759" s="77">
        <f t="shared" ca="1" si="485"/>
        <v>46028</v>
      </c>
      <c r="B4759" s="80">
        <f t="shared" ca="1" si="486"/>
        <v>46028.873917592595</v>
      </c>
      <c r="C4759" s="79" t="s">
        <v>728</v>
      </c>
      <c r="D4759" s="79" t="s">
        <v>902</v>
      </c>
      <c r="E4759" s="79" t="s">
        <v>1196</v>
      </c>
      <c r="F4759" s="79"/>
    </row>
    <row r="4760" spans="1:6">
      <c r="A4760" s="77">
        <f t="shared" ca="1" si="485"/>
        <v>46028</v>
      </c>
      <c r="B4760" s="80">
        <f t="shared" ca="1" si="486"/>
        <v>46028.876055671295</v>
      </c>
      <c r="C4760" s="79" t="s">
        <v>728</v>
      </c>
      <c r="D4760" s="79" t="s">
        <v>902</v>
      </c>
      <c r="E4760" s="79" t="s">
        <v>1677</v>
      </c>
      <c r="F4760" s="79"/>
    </row>
    <row r="4761" spans="1:6">
      <c r="A4761" s="77">
        <f t="shared" ca="1" si="485"/>
        <v>46028</v>
      </c>
      <c r="B4761" s="80">
        <f t="shared" ca="1" si="486"/>
        <v>46028.881480902775</v>
      </c>
      <c r="C4761" s="79" t="s">
        <v>728</v>
      </c>
      <c r="D4761" s="79" t="s">
        <v>902</v>
      </c>
      <c r="E4761" s="79" t="s">
        <v>2830</v>
      </c>
      <c r="F4761" s="79"/>
    </row>
    <row r="4762" spans="1:6">
      <c r="A4762" s="77">
        <f t="shared" ref="A4762:A4783" ca="1" si="487">IF(C4762&lt;&gt;0,IF(A4762=0,TODAY(),A4762),)</f>
        <v>46028</v>
      </c>
      <c r="B4762" s="80">
        <f t="shared" ref="B4762:B4783" ca="1" si="488">IF(C4762&lt;&gt;0,IF(B4762=0,NOW(),B4762),)</f>
        <v>46028.881480902775</v>
      </c>
      <c r="C4762" s="79" t="s">
        <v>728</v>
      </c>
      <c r="D4762" s="79" t="s">
        <v>902</v>
      </c>
      <c r="E4762" s="79" t="s">
        <v>1196</v>
      </c>
      <c r="F4762" s="79"/>
    </row>
    <row r="4763" spans="1:6">
      <c r="A4763" s="77">
        <f t="shared" ca="1" si="487"/>
        <v>46028</v>
      </c>
      <c r="B4763" s="80">
        <f t="shared" ca="1" si="488"/>
        <v>46028.892759490744</v>
      </c>
      <c r="C4763" s="76" t="s">
        <v>728</v>
      </c>
      <c r="D4763" s="150" t="s">
        <v>1007</v>
      </c>
      <c r="E4763" s="79" t="s">
        <v>2924</v>
      </c>
      <c r="F4763" s="79"/>
    </row>
    <row r="4764" spans="1:6">
      <c r="A4764" s="77">
        <f t="shared" ca="1" si="487"/>
        <v>46028</v>
      </c>
      <c r="B4764" s="80">
        <f t="shared" ca="1" si="488"/>
        <v>46028.902251736108</v>
      </c>
      <c r="C4764" s="76" t="s">
        <v>728</v>
      </c>
      <c r="D4764" s="79" t="s">
        <v>902</v>
      </c>
      <c r="E4764" s="79" t="s">
        <v>1229</v>
      </c>
      <c r="F4764" s="79"/>
    </row>
    <row r="4765" spans="1:6">
      <c r="A4765" s="77">
        <f t="shared" ca="1" si="487"/>
        <v>46028</v>
      </c>
      <c r="B4765" s="80">
        <f t="shared" ca="1" si="488"/>
        <v>46028.903315509262</v>
      </c>
      <c r="C4765" s="76" t="s">
        <v>728</v>
      </c>
      <c r="D4765" s="79" t="s">
        <v>902</v>
      </c>
      <c r="E4765" s="79" t="s">
        <v>1229</v>
      </c>
      <c r="F4765" s="79"/>
    </row>
    <row r="4766" spans="1:6">
      <c r="A4766" s="77">
        <f t="shared" ca="1" si="487"/>
        <v>46028</v>
      </c>
      <c r="B4766" s="80">
        <f t="shared" ca="1" si="488"/>
        <v>46028.906172337964</v>
      </c>
      <c r="C4766" s="76" t="s">
        <v>728</v>
      </c>
      <c r="D4766" s="79" t="s">
        <v>902</v>
      </c>
      <c r="E4766" s="79" t="s">
        <v>1229</v>
      </c>
      <c r="F4766" s="79"/>
    </row>
    <row r="4767" spans="1:6">
      <c r="A4767" s="77">
        <f t="shared" ca="1" si="487"/>
        <v>46028</v>
      </c>
      <c r="B4767" s="80">
        <f t="shared" ca="1" si="488"/>
        <v>46028.906546990744</v>
      </c>
      <c r="C4767" s="76" t="s">
        <v>728</v>
      </c>
      <c r="D4767" s="79" t="s">
        <v>902</v>
      </c>
      <c r="E4767" s="79" t="s">
        <v>1196</v>
      </c>
      <c r="F4767" s="79"/>
    </row>
    <row r="4768" spans="1:6">
      <c r="A4768" s="77">
        <f t="shared" ca="1" si="487"/>
        <v>46028</v>
      </c>
      <c r="B4768" s="80">
        <f t="shared" ca="1" si="488"/>
        <v>46028.909551736113</v>
      </c>
      <c r="C4768" s="76" t="s">
        <v>728</v>
      </c>
      <c r="D4768" s="79" t="s">
        <v>902</v>
      </c>
      <c r="E4768" s="79" t="s">
        <v>1196</v>
      </c>
      <c r="F4768" s="79"/>
    </row>
    <row r="4769" spans="1:6">
      <c r="A4769" s="77">
        <f t="shared" ca="1" si="487"/>
        <v>46028</v>
      </c>
      <c r="B4769" s="80">
        <f t="shared" ca="1" si="488"/>
        <v>46028.913327199072</v>
      </c>
      <c r="C4769" s="76" t="s">
        <v>728</v>
      </c>
      <c r="D4769" s="76" t="s">
        <v>902</v>
      </c>
      <c r="E4769" s="79" t="s">
        <v>2925</v>
      </c>
      <c r="F4769" s="79"/>
    </row>
    <row r="4770" spans="1:6">
      <c r="A4770" s="77">
        <f t="shared" ca="1" si="487"/>
        <v>46028</v>
      </c>
      <c r="B4770" s="80">
        <f t="shared" ca="1" si="488"/>
        <v>46028.923974768521</v>
      </c>
      <c r="C4770" s="76" t="s">
        <v>728</v>
      </c>
      <c r="D4770" s="150" t="s">
        <v>1007</v>
      </c>
      <c r="E4770" s="79" t="s">
        <v>2926</v>
      </c>
      <c r="F4770" s="79"/>
    </row>
    <row r="4771" spans="1:6">
      <c r="A4771" s="77">
        <f t="shared" ca="1" si="487"/>
        <v>46028</v>
      </c>
      <c r="B4771" s="80">
        <f t="shared" ca="1" si="488"/>
        <v>46028.924383564816</v>
      </c>
      <c r="C4771" s="76" t="s">
        <v>728</v>
      </c>
      <c r="D4771" s="150" t="s">
        <v>1007</v>
      </c>
      <c r="E4771" s="79" t="s">
        <v>2927</v>
      </c>
      <c r="F4771" s="79"/>
    </row>
    <row r="4772" spans="1:6">
      <c r="A4772" s="77">
        <f t="shared" ca="1" si="487"/>
        <v>46028</v>
      </c>
      <c r="B4772" s="80">
        <f t="shared" ca="1" si="488"/>
        <v>46028.92948240741</v>
      </c>
      <c r="C4772" s="76" t="s">
        <v>728</v>
      </c>
      <c r="D4772" s="76" t="s">
        <v>902</v>
      </c>
      <c r="E4772" s="79" t="s">
        <v>942</v>
      </c>
      <c r="F4772" s="79"/>
    </row>
    <row r="4773" spans="1:6">
      <c r="A4773" s="77">
        <f t="shared" ca="1" si="487"/>
        <v>46028</v>
      </c>
      <c r="B4773" s="80">
        <f t="shared" ca="1" si="488"/>
        <v>46028.930093055555</v>
      </c>
      <c r="C4773" s="76" t="s">
        <v>728</v>
      </c>
      <c r="D4773" s="76" t="s">
        <v>902</v>
      </c>
      <c r="E4773" s="79" t="s">
        <v>2487</v>
      </c>
      <c r="F4773" s="79"/>
    </row>
    <row r="4774" spans="1:6">
      <c r="A4774" s="77">
        <f t="shared" ca="1" si="487"/>
        <v>46028</v>
      </c>
      <c r="B4774" s="80">
        <f t="shared" ca="1" si="488"/>
        <v>46028.932216782407</v>
      </c>
      <c r="C4774" s="76" t="s">
        <v>728</v>
      </c>
      <c r="D4774" s="76" t="s">
        <v>902</v>
      </c>
      <c r="E4774" s="79" t="s">
        <v>2928</v>
      </c>
      <c r="F4774" s="79"/>
    </row>
    <row r="4775" spans="1:6">
      <c r="A4775" s="77">
        <f t="shared" ca="1" si="487"/>
        <v>46028</v>
      </c>
      <c r="B4775" s="80">
        <f t="shared" ca="1" si="488"/>
        <v>46028.933071296298</v>
      </c>
      <c r="C4775" s="76" t="s">
        <v>728</v>
      </c>
      <c r="D4775" s="76" t="s">
        <v>902</v>
      </c>
      <c r="E4775" s="79" t="s">
        <v>2861</v>
      </c>
      <c r="F4775" s="79"/>
    </row>
    <row r="4776" spans="1:6">
      <c r="A4776" s="77">
        <f t="shared" ca="1" si="487"/>
        <v>46028</v>
      </c>
      <c r="B4776" s="80">
        <f t="shared" ca="1" si="488"/>
        <v>46028.948822685183</v>
      </c>
      <c r="C4776" s="76" t="s">
        <v>728</v>
      </c>
      <c r="D4776" s="76" t="s">
        <v>902</v>
      </c>
      <c r="E4776" s="79" t="s">
        <v>2861</v>
      </c>
      <c r="F4776" s="79"/>
    </row>
    <row r="4777" spans="1:6">
      <c r="A4777" s="77">
        <f t="shared" ca="1" si="487"/>
        <v>46028</v>
      </c>
      <c r="B4777" s="80">
        <f t="shared" ca="1" si="488"/>
        <v>46028.95912349537</v>
      </c>
      <c r="C4777" s="76" t="s">
        <v>728</v>
      </c>
      <c r="D4777" s="76" t="s">
        <v>902</v>
      </c>
      <c r="E4777" s="79" t="s">
        <v>2929</v>
      </c>
      <c r="F4777" s="79"/>
    </row>
    <row r="4778" spans="1:6">
      <c r="A4778" s="77">
        <f t="shared" ca="1" si="487"/>
        <v>46028</v>
      </c>
      <c r="B4778" s="80">
        <f t="shared" ca="1" si="488"/>
        <v>46028.965139699074</v>
      </c>
      <c r="C4778" s="76" t="s">
        <v>728</v>
      </c>
      <c r="D4778" s="76" t="s">
        <v>902</v>
      </c>
      <c r="E4778" s="79" t="s">
        <v>2930</v>
      </c>
      <c r="F4778" s="79"/>
    </row>
    <row r="4779" spans="1:6">
      <c r="A4779" s="77">
        <f t="shared" ca="1" si="487"/>
        <v>46028</v>
      </c>
      <c r="B4779" s="80">
        <f t="shared" ca="1" si="488"/>
        <v>46028.968506249999</v>
      </c>
      <c r="C4779" s="76" t="s">
        <v>728</v>
      </c>
      <c r="D4779" s="76" t="s">
        <v>902</v>
      </c>
      <c r="E4779" s="79" t="s">
        <v>2861</v>
      </c>
      <c r="F4779" s="79"/>
    </row>
    <row r="4780" spans="1:6">
      <c r="A4780" s="77">
        <f t="shared" ca="1" si="487"/>
        <v>46028</v>
      </c>
      <c r="B4780" s="80">
        <f t="shared" ca="1" si="488"/>
        <v>46028.974260069444</v>
      </c>
      <c r="C4780" s="76" t="s">
        <v>728</v>
      </c>
      <c r="D4780" s="76" t="s">
        <v>902</v>
      </c>
      <c r="E4780" s="79" t="s">
        <v>1229</v>
      </c>
      <c r="F4780" s="79"/>
    </row>
    <row r="4781" spans="1:6">
      <c r="A4781" s="77">
        <f t="shared" ca="1" si="487"/>
        <v>46028</v>
      </c>
      <c r="B4781" s="80">
        <f t="shared" ca="1" si="488"/>
        <v>46028.986283796294</v>
      </c>
      <c r="C4781" s="76" t="s">
        <v>728</v>
      </c>
      <c r="D4781" s="76" t="s">
        <v>902</v>
      </c>
      <c r="E4781" s="79" t="s">
        <v>1493</v>
      </c>
      <c r="F4781" s="79"/>
    </row>
    <row r="4782" spans="1:6">
      <c r="A4782" s="77">
        <f t="shared" ca="1" si="487"/>
        <v>46028</v>
      </c>
      <c r="B4782" s="80">
        <f t="shared" ca="1" si="488"/>
        <v>46028.989808680555</v>
      </c>
      <c r="C4782" s="76" t="s">
        <v>728</v>
      </c>
      <c r="D4782" s="76" t="s">
        <v>902</v>
      </c>
      <c r="E4782" s="79" t="s">
        <v>2931</v>
      </c>
      <c r="F4782" s="79"/>
    </row>
    <row r="4783" spans="1:6">
      <c r="A4783" s="77">
        <f t="shared" ca="1" si="487"/>
        <v>46029</v>
      </c>
      <c r="B4783" s="80">
        <f t="shared" ca="1" si="488"/>
        <v>46029.006377083337</v>
      </c>
      <c r="C4783" s="76" t="s">
        <v>728</v>
      </c>
      <c r="D4783" s="76" t="s">
        <v>902</v>
      </c>
      <c r="E4783" s="79" t="s">
        <v>2830</v>
      </c>
      <c r="F4783" s="79"/>
    </row>
    <row r="4784" spans="1:6">
      <c r="A4784" s="77">
        <f t="shared" ref="A4784:A4797" ca="1" si="489">IF(C4784&lt;&gt;0,IF(A4784=0,TODAY(),A4784),)</f>
        <v>46029</v>
      </c>
      <c r="B4784" s="80">
        <f t="shared" ref="B4784:B4797" ca="1" si="490">IF(C4784&lt;&gt;0,IF(B4784=0,NOW(),B4784),)</f>
        <v>46029.007296296295</v>
      </c>
      <c r="C4784" s="76" t="s">
        <v>728</v>
      </c>
      <c r="D4784" s="76" t="s">
        <v>902</v>
      </c>
      <c r="E4784" s="79" t="s">
        <v>2830</v>
      </c>
      <c r="F4784" s="79"/>
    </row>
    <row r="4785" spans="1:7">
      <c r="A4785" s="77">
        <f t="shared" ca="1" si="489"/>
        <v>46029</v>
      </c>
      <c r="B4785" s="80">
        <f t="shared" ca="1" si="490"/>
        <v>46029.016255902781</v>
      </c>
      <c r="C4785" s="76" t="s">
        <v>728</v>
      </c>
      <c r="D4785" s="76" t="s">
        <v>902</v>
      </c>
      <c r="E4785" s="79" t="s">
        <v>2487</v>
      </c>
      <c r="F4785" s="79"/>
    </row>
    <row r="4786" spans="1:7">
      <c r="A4786" s="77">
        <f t="shared" ca="1" si="489"/>
        <v>46029</v>
      </c>
      <c r="B4786" s="80">
        <f t="shared" ca="1" si="490"/>
        <v>46029.024876736112</v>
      </c>
      <c r="C4786" s="76" t="s">
        <v>728</v>
      </c>
      <c r="D4786" s="76" t="s">
        <v>902</v>
      </c>
      <c r="E4786" s="79" t="s">
        <v>2861</v>
      </c>
      <c r="F4786" s="79"/>
    </row>
    <row r="4787" spans="1:7">
      <c r="A4787" s="77">
        <f t="shared" ca="1" si="489"/>
        <v>46029</v>
      </c>
      <c r="B4787" s="80">
        <f t="shared" ca="1" si="490"/>
        <v>46029.028860648148</v>
      </c>
      <c r="C4787" s="76" t="s">
        <v>728</v>
      </c>
      <c r="D4787" s="76" t="s">
        <v>902</v>
      </c>
      <c r="E4787" s="79" t="s">
        <v>1229</v>
      </c>
      <c r="F4787" s="79"/>
    </row>
    <row r="4788" spans="1:7">
      <c r="A4788" s="77">
        <f t="shared" ca="1" si="489"/>
        <v>46029</v>
      </c>
      <c r="B4788" s="80">
        <f t="shared" ca="1" si="490"/>
        <v>46029.034926388886</v>
      </c>
      <c r="C4788" s="76" t="s">
        <v>728</v>
      </c>
      <c r="D4788" s="76" t="s">
        <v>902</v>
      </c>
      <c r="E4788" s="79" t="s">
        <v>2072</v>
      </c>
      <c r="F4788" s="79"/>
    </row>
    <row r="4789" spans="1:7">
      <c r="A4789" s="77">
        <f t="shared" ca="1" si="489"/>
        <v>46029</v>
      </c>
      <c r="B4789" s="80">
        <f t="shared" ca="1" si="490"/>
        <v>46029.035850347223</v>
      </c>
      <c r="C4789" s="76" t="s">
        <v>728</v>
      </c>
      <c r="D4789" s="76" t="s">
        <v>902</v>
      </c>
      <c r="E4789" s="79" t="s">
        <v>2072</v>
      </c>
      <c r="F4789" s="79"/>
    </row>
    <row r="4790" spans="1:7">
      <c r="A4790" s="77">
        <f t="shared" ca="1" si="489"/>
        <v>46029</v>
      </c>
      <c r="B4790" s="80">
        <f t="shared" ca="1" si="490"/>
        <v>46029.053205671298</v>
      </c>
      <c r="C4790" s="76" t="s">
        <v>728</v>
      </c>
      <c r="D4790" s="76" t="s">
        <v>902</v>
      </c>
      <c r="E4790" s="79" t="s">
        <v>2487</v>
      </c>
      <c r="F4790" s="79"/>
    </row>
    <row r="4791" spans="1:7">
      <c r="A4791" s="77">
        <f t="shared" ca="1" si="489"/>
        <v>46029</v>
      </c>
      <c r="B4791" s="80">
        <f t="shared" ca="1" si="490"/>
        <v>46029.067254861111</v>
      </c>
      <c r="C4791" s="76" t="s">
        <v>728</v>
      </c>
      <c r="D4791" s="76" t="s">
        <v>902</v>
      </c>
      <c r="E4791" s="79" t="s">
        <v>2932</v>
      </c>
      <c r="F4791" s="79"/>
    </row>
    <row r="4792" spans="1:7">
      <c r="A4792" s="77">
        <f t="shared" ca="1" si="489"/>
        <v>46029</v>
      </c>
      <c r="B4792" s="80">
        <f t="shared" ca="1" si="490"/>
        <v>46029.076340740743</v>
      </c>
      <c r="C4792" s="76" t="s">
        <v>728</v>
      </c>
      <c r="D4792" s="210" t="s">
        <v>922</v>
      </c>
      <c r="E4792" s="79"/>
      <c r="F4792" s="79"/>
    </row>
    <row r="4793" spans="1:7">
      <c r="A4793" s="77">
        <f t="shared" ca="1" si="489"/>
        <v>46029</v>
      </c>
      <c r="B4793" s="80">
        <f t="shared" ca="1" si="490"/>
        <v>46029.11946840278</v>
      </c>
      <c r="C4793" s="76" t="s">
        <v>728</v>
      </c>
      <c r="D4793" s="210" t="s">
        <v>1098</v>
      </c>
      <c r="E4793" s="79" t="s">
        <v>2933</v>
      </c>
      <c r="F4793" s="79"/>
      <c r="G4793" s="76" t="s">
        <v>2934</v>
      </c>
    </row>
    <row r="4794" spans="1:7" ht="30.75">
      <c r="A4794" s="77">
        <f t="shared" ca="1" si="489"/>
        <v>46029</v>
      </c>
      <c r="B4794" s="80">
        <v>0.14166666666666666</v>
      </c>
      <c r="C4794" s="76" t="s">
        <v>728</v>
      </c>
      <c r="D4794" s="210" t="s">
        <v>906</v>
      </c>
      <c r="E4794" s="79" t="s">
        <v>2935</v>
      </c>
      <c r="F4794" s="79"/>
    </row>
    <row r="4795" spans="1:7">
      <c r="A4795" s="77">
        <f t="shared" ca="1" si="489"/>
        <v>46029</v>
      </c>
      <c r="B4795" s="80">
        <v>0.16284722222222223</v>
      </c>
      <c r="C4795" s="76" t="s">
        <v>728</v>
      </c>
      <c r="D4795" s="210" t="s">
        <v>1098</v>
      </c>
      <c r="E4795" s="79"/>
      <c r="F4795" s="79"/>
      <c r="G4795" s="150" t="s">
        <v>2936</v>
      </c>
    </row>
    <row r="4796" spans="1:7">
      <c r="A4796" s="77">
        <f t="shared" ca="1" si="489"/>
        <v>46029</v>
      </c>
      <c r="B4796" s="80">
        <f t="shared" ca="1" si="490"/>
        <v>46029.209555092595</v>
      </c>
      <c r="C4796" s="76" t="s">
        <v>732</v>
      </c>
      <c r="D4796" s="210" t="s">
        <v>906</v>
      </c>
      <c r="E4796" s="79"/>
      <c r="F4796" s="79"/>
    </row>
    <row r="4797" spans="1:7">
      <c r="A4797" s="77">
        <f t="shared" ca="1" si="489"/>
        <v>46029</v>
      </c>
      <c r="B4797" s="80">
        <f t="shared" ca="1" si="490"/>
        <v>46029.279148611109</v>
      </c>
      <c r="C4797" s="76" t="s">
        <v>732</v>
      </c>
      <c r="D4797" s="210" t="s">
        <v>909</v>
      </c>
      <c r="E4797" s="79"/>
      <c r="F4797" s="79"/>
    </row>
    <row r="4798" spans="1:7">
      <c r="A4798" s="77">
        <f t="shared" ref="A4798:A4808" ca="1" si="491">IF(C4798&lt;&gt;0,IF(A4798=0,TODAY(),A4798),)</f>
        <v>46029</v>
      </c>
      <c r="B4798" s="80">
        <f t="shared" ref="B4798:B4808" ca="1" si="492">IF(C4798&lt;&gt;0,IF(B4798=0,NOW(),B4798),)</f>
        <v>46029.280020138889</v>
      </c>
      <c r="C4798" s="76" t="s">
        <v>732</v>
      </c>
      <c r="D4798" s="76" t="s">
        <v>902</v>
      </c>
      <c r="E4798" s="79" t="s">
        <v>1486</v>
      </c>
      <c r="F4798" s="79"/>
    </row>
    <row r="4799" spans="1:7">
      <c r="A4799" s="77">
        <f t="shared" ca="1" si="491"/>
        <v>46029</v>
      </c>
      <c r="B4799" s="80">
        <f t="shared" ca="1" si="492"/>
        <v>46029.281806712963</v>
      </c>
      <c r="C4799" s="76" t="s">
        <v>732</v>
      </c>
      <c r="D4799" s="76" t="s">
        <v>902</v>
      </c>
      <c r="E4799" s="79" t="s">
        <v>1426</v>
      </c>
      <c r="F4799" s="79"/>
    </row>
    <row r="4800" spans="1:7">
      <c r="A4800" s="77">
        <f t="shared" ca="1" si="491"/>
        <v>46029</v>
      </c>
      <c r="B4800" s="80">
        <f t="shared" ca="1" si="492"/>
        <v>46029.283570486114</v>
      </c>
      <c r="C4800" s="76" t="s">
        <v>732</v>
      </c>
      <c r="D4800" s="76" t="s">
        <v>902</v>
      </c>
      <c r="E4800" s="79" t="s">
        <v>1426</v>
      </c>
      <c r="F4800" s="79"/>
    </row>
    <row r="4801" spans="1:7">
      <c r="A4801" s="77">
        <f t="shared" ca="1" si="491"/>
        <v>46029</v>
      </c>
      <c r="B4801" s="80">
        <f t="shared" ca="1" si="492"/>
        <v>46029.37190648148</v>
      </c>
      <c r="C4801" s="76" t="s">
        <v>732</v>
      </c>
      <c r="D4801" s="76" t="s">
        <v>902</v>
      </c>
      <c r="E4801" s="79" t="s">
        <v>2917</v>
      </c>
      <c r="F4801" s="79"/>
    </row>
    <row r="4802" spans="1:7">
      <c r="A4802" s="77">
        <f t="shared" ca="1" si="491"/>
        <v>46029</v>
      </c>
      <c r="B4802" s="80">
        <f t="shared" ca="1" si="492"/>
        <v>46029.382990740742</v>
      </c>
      <c r="C4802" s="76" t="s">
        <v>732</v>
      </c>
      <c r="D4802" s="76" t="s">
        <v>902</v>
      </c>
      <c r="E4802" s="79" t="s">
        <v>2937</v>
      </c>
      <c r="F4802" s="79"/>
    </row>
    <row r="4803" spans="1:7">
      <c r="A4803" s="77">
        <f t="shared" ca="1" si="491"/>
        <v>46029</v>
      </c>
      <c r="B4803" s="80">
        <f t="shared" ca="1" si="492"/>
        <v>46029.386451041668</v>
      </c>
      <c r="C4803" s="76" t="s">
        <v>732</v>
      </c>
      <c r="D4803" s="76" t="s">
        <v>902</v>
      </c>
      <c r="E4803" s="79" t="s">
        <v>2937</v>
      </c>
      <c r="F4803" s="79"/>
    </row>
    <row r="4804" spans="1:7">
      <c r="A4804" s="77">
        <f t="shared" ca="1" si="491"/>
        <v>46029</v>
      </c>
      <c r="B4804" s="80">
        <f t="shared" ca="1" si="492"/>
        <v>46029.392107291664</v>
      </c>
      <c r="C4804" s="76" t="s">
        <v>732</v>
      </c>
      <c r="D4804" s="76" t="s">
        <v>902</v>
      </c>
      <c r="E4804" s="79" t="s">
        <v>2938</v>
      </c>
      <c r="F4804" s="79"/>
    </row>
    <row r="4805" spans="1:7">
      <c r="A4805" s="77">
        <f t="shared" ca="1" si="491"/>
        <v>46029</v>
      </c>
      <c r="B4805" s="80">
        <f t="shared" ca="1" si="492"/>
        <v>46029.394709490742</v>
      </c>
      <c r="C4805" s="76" t="s">
        <v>732</v>
      </c>
      <c r="D4805" s="150" t="s">
        <v>1007</v>
      </c>
      <c r="E4805" s="79" t="s">
        <v>2939</v>
      </c>
      <c r="F4805" s="79"/>
    </row>
    <row r="4806" spans="1:7">
      <c r="A4806" s="77">
        <f t="shared" ca="1" si="491"/>
        <v>46029</v>
      </c>
      <c r="B4806" s="80">
        <f t="shared" ca="1" si="492"/>
        <v>46029.416154513892</v>
      </c>
      <c r="C4806" s="76" t="s">
        <v>732</v>
      </c>
      <c r="D4806" s="76" t="s">
        <v>902</v>
      </c>
      <c r="E4806" s="79" t="s">
        <v>2030</v>
      </c>
      <c r="F4806" s="79"/>
    </row>
    <row r="4807" spans="1:7">
      <c r="A4807" s="77">
        <f t="shared" ca="1" si="491"/>
        <v>46029</v>
      </c>
      <c r="B4807" s="80">
        <f t="shared" ca="1" si="492"/>
        <v>46029.418626273145</v>
      </c>
      <c r="C4807" s="76" t="s">
        <v>732</v>
      </c>
      <c r="D4807" s="76" t="s">
        <v>902</v>
      </c>
      <c r="E4807" s="79" t="s">
        <v>2940</v>
      </c>
      <c r="F4807" s="79"/>
    </row>
    <row r="4808" spans="1:7">
      <c r="A4808" s="77">
        <f t="shared" ca="1" si="491"/>
        <v>46029</v>
      </c>
      <c r="B4808" s="80">
        <f t="shared" ca="1" si="492"/>
        <v>46029.453535879627</v>
      </c>
      <c r="C4808" s="76" t="s">
        <v>732</v>
      </c>
      <c r="D4808" s="210" t="s">
        <v>922</v>
      </c>
      <c r="E4808" s="79"/>
      <c r="F4808" s="79"/>
    </row>
    <row r="4809" spans="1:7">
      <c r="A4809" s="77">
        <f t="shared" ref="A4809" ca="1" si="493">IF(C4809&lt;&gt;0,IF(A4809=0,TODAY(),A4809),)</f>
        <v>46029</v>
      </c>
      <c r="B4809" s="80">
        <f t="shared" ref="B4809" ca="1" si="494">IF(C4809&lt;&gt;0,IF(B4809=0,NOW(),B4809),)</f>
        <v>46029.503489236115</v>
      </c>
      <c r="C4809" s="76" t="s">
        <v>732</v>
      </c>
      <c r="D4809" s="210" t="s">
        <v>1098</v>
      </c>
      <c r="E4809" s="79"/>
      <c r="F4809" s="79"/>
      <c r="G4809" s="150" t="s">
        <v>2941</v>
      </c>
    </row>
    <row r="4810" spans="1:7">
      <c r="A4810" s="77">
        <f t="shared" ref="A4810:A4812" ca="1" si="495">IF(C4810&lt;&gt;0,IF(A4810=0,TODAY(),A4810),)</f>
        <v>46029</v>
      </c>
      <c r="B4810" s="80">
        <f t="shared" ref="B4810:B4812" ca="1" si="496">IF(C4810&lt;&gt;0,IF(B4810=0,NOW(),B4810),)</f>
        <v>46029.635184953702</v>
      </c>
      <c r="C4810" s="76" t="s">
        <v>737</v>
      </c>
      <c r="D4810" s="210" t="s">
        <v>906</v>
      </c>
      <c r="E4810" s="79"/>
      <c r="F4810" s="79"/>
    </row>
    <row r="4811" spans="1:7">
      <c r="A4811" s="77">
        <f t="shared" ca="1" si="495"/>
        <v>46029</v>
      </c>
      <c r="B4811" s="80">
        <f t="shared" ca="1" si="496"/>
        <v>46029.70464398148</v>
      </c>
      <c r="C4811" s="76" t="s">
        <v>737</v>
      </c>
      <c r="D4811" s="210" t="s">
        <v>909</v>
      </c>
      <c r="E4811" s="79"/>
      <c r="F4811" s="79"/>
    </row>
    <row r="4812" spans="1:7">
      <c r="A4812" s="77">
        <f t="shared" ca="1" si="495"/>
        <v>46029</v>
      </c>
      <c r="B4812" s="80">
        <f t="shared" ca="1" si="496"/>
        <v>46029.706109606479</v>
      </c>
      <c r="C4812" s="76" t="s">
        <v>737</v>
      </c>
      <c r="D4812" s="76" t="s">
        <v>902</v>
      </c>
      <c r="E4812" s="79" t="s">
        <v>2942</v>
      </c>
      <c r="F4812" s="79"/>
    </row>
    <row r="4813" spans="1:7">
      <c r="A4813" s="77">
        <f t="shared" ref="A4813:A4844" ca="1" si="497">IF(C4813&lt;&gt;0,IF(A4813=0,TODAY(),A4813),)</f>
        <v>46029</v>
      </c>
      <c r="B4813" s="80">
        <f t="shared" ref="B4813:B4844" ca="1" si="498">IF(C4813&lt;&gt;0,IF(B4813=0,NOW(),B4813),)</f>
        <v>46029.707404050925</v>
      </c>
      <c r="C4813" s="76" t="s">
        <v>737</v>
      </c>
      <c r="D4813" s="76" t="s">
        <v>902</v>
      </c>
      <c r="E4813" s="79" t="s">
        <v>2943</v>
      </c>
      <c r="F4813" s="79"/>
    </row>
    <row r="4814" spans="1:7">
      <c r="A4814" s="77">
        <f t="shared" ca="1" si="497"/>
        <v>46029</v>
      </c>
      <c r="B4814" s="80">
        <f t="shared" ca="1" si="498"/>
        <v>46029.711744675929</v>
      </c>
      <c r="C4814" s="76" t="s">
        <v>737</v>
      </c>
      <c r="D4814" s="76" t="s">
        <v>902</v>
      </c>
      <c r="E4814" s="79" t="s">
        <v>2944</v>
      </c>
      <c r="F4814" s="79"/>
    </row>
    <row r="4815" spans="1:7">
      <c r="A4815" s="77">
        <f t="shared" ca="1" si="497"/>
        <v>46029</v>
      </c>
      <c r="B4815" s="80">
        <f t="shared" ca="1" si="498"/>
        <v>46029.713558449075</v>
      </c>
      <c r="C4815" s="76" t="s">
        <v>737</v>
      </c>
      <c r="D4815" s="76" t="s">
        <v>902</v>
      </c>
      <c r="E4815" s="79" t="s">
        <v>2945</v>
      </c>
      <c r="F4815" s="79"/>
    </row>
    <row r="4816" spans="1:7">
      <c r="A4816" s="77">
        <f t="shared" ca="1" si="497"/>
        <v>46029</v>
      </c>
      <c r="B4816" s="80">
        <f t="shared" ca="1" si="498"/>
        <v>46029.714366087966</v>
      </c>
      <c r="C4816" s="76" t="s">
        <v>737</v>
      </c>
      <c r="D4816" s="76" t="s">
        <v>902</v>
      </c>
      <c r="E4816" s="79" t="s">
        <v>1370</v>
      </c>
      <c r="F4816" s="79"/>
    </row>
    <row r="4817" spans="1:6">
      <c r="A4817" s="77">
        <f t="shared" ca="1" si="497"/>
        <v>46029</v>
      </c>
      <c r="B4817" s="80">
        <f t="shared" ca="1" si="498"/>
        <v>46029.716766319441</v>
      </c>
      <c r="C4817" s="76" t="s">
        <v>737</v>
      </c>
      <c r="D4817" s="76" t="s">
        <v>902</v>
      </c>
      <c r="E4817" s="79" t="s">
        <v>1426</v>
      </c>
      <c r="F4817" s="79"/>
    </row>
    <row r="4818" spans="1:6">
      <c r="A4818" s="77">
        <f t="shared" ca="1" si="497"/>
        <v>46029</v>
      </c>
      <c r="B4818" s="80">
        <f t="shared" ca="1" si="498"/>
        <v>46029.717173726851</v>
      </c>
      <c r="C4818" s="76" t="s">
        <v>737</v>
      </c>
      <c r="D4818" s="76" t="s">
        <v>902</v>
      </c>
      <c r="E4818" s="79" t="s">
        <v>1426</v>
      </c>
      <c r="F4818" s="79"/>
    </row>
    <row r="4819" spans="1:6">
      <c r="A4819" s="77">
        <f t="shared" ca="1" si="497"/>
        <v>46029</v>
      </c>
      <c r="B4819" s="80">
        <f t="shared" ca="1" si="498"/>
        <v>46029.71829513889</v>
      </c>
      <c r="C4819" s="76" t="s">
        <v>737</v>
      </c>
      <c r="D4819" s="76" t="s">
        <v>902</v>
      </c>
      <c r="E4819" s="79" t="s">
        <v>2946</v>
      </c>
      <c r="F4819" s="79"/>
    </row>
    <row r="4820" spans="1:6">
      <c r="A4820" s="77">
        <f t="shared" ca="1" si="497"/>
        <v>46029</v>
      </c>
      <c r="B4820" s="80">
        <f t="shared" ca="1" si="498"/>
        <v>46029.719328125</v>
      </c>
      <c r="C4820" s="76" t="s">
        <v>737</v>
      </c>
      <c r="D4820" s="76" t="s">
        <v>902</v>
      </c>
      <c r="E4820" s="156" t="s">
        <v>2947</v>
      </c>
      <c r="F4820" s="79"/>
    </row>
    <row r="4821" spans="1:6">
      <c r="A4821" s="77">
        <f t="shared" ca="1" si="497"/>
        <v>46029</v>
      </c>
      <c r="B4821" s="80">
        <f t="shared" ca="1" si="498"/>
        <v>46029.724682638887</v>
      </c>
      <c r="C4821" s="76" t="s">
        <v>737</v>
      </c>
      <c r="D4821" s="76" t="s">
        <v>902</v>
      </c>
      <c r="E4821" s="79" t="s">
        <v>2948</v>
      </c>
      <c r="F4821" s="79"/>
    </row>
    <row r="4822" spans="1:6" ht="30">
      <c r="A4822" s="77">
        <f t="shared" ca="1" si="497"/>
        <v>46029</v>
      </c>
      <c r="B4822" s="80">
        <f t="shared" ca="1" si="498"/>
        <v>46029.725853240743</v>
      </c>
      <c r="C4822" s="76" t="s">
        <v>737</v>
      </c>
      <c r="D4822" s="76" t="s">
        <v>902</v>
      </c>
      <c r="E4822" s="79" t="s">
        <v>2949</v>
      </c>
      <c r="F4822" s="79"/>
    </row>
    <row r="4823" spans="1:6">
      <c r="A4823" s="77">
        <f t="shared" ca="1" si="497"/>
        <v>46029</v>
      </c>
      <c r="B4823" s="80">
        <f t="shared" ca="1" si="498"/>
        <v>46029.728342592593</v>
      </c>
      <c r="C4823" s="76" t="s">
        <v>737</v>
      </c>
      <c r="D4823" s="76" t="s">
        <v>902</v>
      </c>
      <c r="E4823" s="79" t="s">
        <v>1426</v>
      </c>
      <c r="F4823" s="79"/>
    </row>
    <row r="4824" spans="1:6">
      <c r="A4824" s="77">
        <f t="shared" ca="1" si="497"/>
        <v>46029</v>
      </c>
      <c r="B4824" s="80">
        <f t="shared" ca="1" si="498"/>
        <v>46029.72944328704</v>
      </c>
      <c r="C4824" s="76" t="s">
        <v>737</v>
      </c>
      <c r="D4824" s="76" t="s">
        <v>902</v>
      </c>
      <c r="E4824" s="79" t="s">
        <v>2942</v>
      </c>
      <c r="F4824" s="79"/>
    </row>
    <row r="4825" spans="1:6">
      <c r="A4825" s="77">
        <f t="shared" ca="1" si="497"/>
        <v>46029</v>
      </c>
      <c r="B4825" s="80">
        <f t="shared" ca="1" si="498"/>
        <v>46029.729919328704</v>
      </c>
      <c r="C4825" s="76" t="s">
        <v>737</v>
      </c>
      <c r="D4825" s="76" t="s">
        <v>902</v>
      </c>
      <c r="E4825" s="79" t="s">
        <v>2942</v>
      </c>
      <c r="F4825" s="79"/>
    </row>
    <row r="4826" spans="1:6">
      <c r="A4826" s="77">
        <f t="shared" ca="1" si="497"/>
        <v>46029</v>
      </c>
      <c r="B4826" s="80">
        <f t="shared" ca="1" si="498"/>
        <v>46029.73020578704</v>
      </c>
      <c r="C4826" s="76" t="s">
        <v>737</v>
      </c>
      <c r="D4826" s="76" t="s">
        <v>902</v>
      </c>
      <c r="E4826" s="79" t="s">
        <v>2950</v>
      </c>
      <c r="F4826" s="79"/>
    </row>
    <row r="4827" spans="1:6">
      <c r="A4827" s="77">
        <f t="shared" ca="1" si="497"/>
        <v>46029</v>
      </c>
      <c r="B4827" s="80">
        <f t="shared" ca="1" si="498"/>
        <v>46029.731148148145</v>
      </c>
      <c r="C4827" s="76" t="s">
        <v>737</v>
      </c>
      <c r="D4827" s="76" t="s">
        <v>902</v>
      </c>
      <c r="E4827" s="79" t="s">
        <v>2950</v>
      </c>
      <c r="F4827" s="79"/>
    </row>
    <row r="4828" spans="1:6">
      <c r="A4828" s="77">
        <f t="shared" ca="1" si="497"/>
        <v>46029</v>
      </c>
      <c r="B4828" s="80">
        <f t="shared" ca="1" si="498"/>
        <v>46029.73453263889</v>
      </c>
      <c r="C4828" s="76" t="s">
        <v>737</v>
      </c>
      <c r="D4828" s="76" t="s">
        <v>902</v>
      </c>
      <c r="E4828" s="79" t="s">
        <v>2951</v>
      </c>
      <c r="F4828" s="79"/>
    </row>
    <row r="4829" spans="1:6">
      <c r="A4829" s="77">
        <f t="shared" ca="1" si="497"/>
        <v>46029</v>
      </c>
      <c r="B4829" s="80">
        <f t="shared" ca="1" si="498"/>
        <v>46029.735199768518</v>
      </c>
      <c r="C4829" s="76" t="s">
        <v>737</v>
      </c>
      <c r="D4829" s="76" t="s">
        <v>902</v>
      </c>
      <c r="E4829" s="79" t="s">
        <v>932</v>
      </c>
      <c r="F4829" s="79"/>
    </row>
    <row r="4830" spans="1:6">
      <c r="A4830" s="77">
        <f t="shared" ca="1" si="497"/>
        <v>46029</v>
      </c>
      <c r="B4830" s="80">
        <f t="shared" ca="1" si="498"/>
        <v>46029.736698148146</v>
      </c>
      <c r="C4830" s="76" t="s">
        <v>737</v>
      </c>
      <c r="D4830" s="76" t="s">
        <v>902</v>
      </c>
      <c r="E4830" s="79" t="s">
        <v>2952</v>
      </c>
      <c r="F4830" s="79"/>
    </row>
    <row r="4831" spans="1:6">
      <c r="A4831" s="77">
        <f t="shared" ca="1" si="497"/>
        <v>46029</v>
      </c>
      <c r="B4831" s="80">
        <f t="shared" ca="1" si="498"/>
        <v>46029.738296412041</v>
      </c>
      <c r="C4831" s="76" t="s">
        <v>737</v>
      </c>
      <c r="D4831" s="76" t="s">
        <v>902</v>
      </c>
      <c r="E4831" s="156" t="s">
        <v>2947</v>
      </c>
      <c r="F4831" s="79"/>
    </row>
    <row r="4832" spans="1:6">
      <c r="A4832" s="77">
        <f t="shared" ca="1" si="497"/>
        <v>46029</v>
      </c>
      <c r="B4832" s="80">
        <f t="shared" ca="1" si="498"/>
        <v>46029.739474074071</v>
      </c>
      <c r="C4832" s="76" t="s">
        <v>737</v>
      </c>
      <c r="D4832" s="76" t="s">
        <v>902</v>
      </c>
      <c r="E4832" s="156" t="s">
        <v>2947</v>
      </c>
      <c r="F4832" s="79"/>
    </row>
    <row r="4833" spans="1:6">
      <c r="A4833" s="77">
        <f t="shared" ca="1" si="497"/>
        <v>46029</v>
      </c>
      <c r="B4833" s="80">
        <f t="shared" ca="1" si="498"/>
        <v>46029.740999074071</v>
      </c>
      <c r="C4833" s="76" t="s">
        <v>737</v>
      </c>
      <c r="D4833" s="76" t="s">
        <v>902</v>
      </c>
      <c r="E4833" s="79" t="s">
        <v>2953</v>
      </c>
      <c r="F4833" s="79"/>
    </row>
    <row r="4834" spans="1:6">
      <c r="A4834" s="77">
        <f t="shared" ca="1" si="497"/>
        <v>46029</v>
      </c>
      <c r="B4834" s="80">
        <f t="shared" ca="1" si="498"/>
        <v>46029.742769097225</v>
      </c>
      <c r="C4834" s="76" t="s">
        <v>737</v>
      </c>
      <c r="D4834" s="76" t="s">
        <v>902</v>
      </c>
      <c r="E4834" s="79" t="s">
        <v>1426</v>
      </c>
      <c r="F4834" s="79"/>
    </row>
    <row r="4835" spans="1:6">
      <c r="A4835" s="77">
        <f t="shared" ca="1" si="497"/>
        <v>46029</v>
      </c>
      <c r="B4835" s="80">
        <f t="shared" ca="1" si="498"/>
        <v>46029.744609953705</v>
      </c>
      <c r="C4835" s="76" t="s">
        <v>737</v>
      </c>
      <c r="D4835" s="76" t="s">
        <v>902</v>
      </c>
      <c r="E4835" s="79" t="s">
        <v>2954</v>
      </c>
      <c r="F4835" s="79"/>
    </row>
    <row r="4836" spans="1:6">
      <c r="A4836" s="77">
        <f t="shared" ca="1" si="497"/>
        <v>46029</v>
      </c>
      <c r="B4836" s="80">
        <f t="shared" ca="1" si="498"/>
        <v>46029.745673032405</v>
      </c>
      <c r="C4836" s="76" t="s">
        <v>737</v>
      </c>
      <c r="D4836" s="76" t="s">
        <v>902</v>
      </c>
      <c r="E4836" s="79" t="s">
        <v>1426</v>
      </c>
      <c r="F4836" s="79"/>
    </row>
    <row r="4837" spans="1:6">
      <c r="A4837" s="77">
        <f t="shared" ca="1" si="497"/>
        <v>46029</v>
      </c>
      <c r="B4837" s="80">
        <f t="shared" ca="1" si="498"/>
        <v>46029.74574583333</v>
      </c>
      <c r="C4837" s="76" t="s">
        <v>737</v>
      </c>
      <c r="D4837" s="76" t="s">
        <v>902</v>
      </c>
      <c r="E4837" s="79" t="s">
        <v>1426</v>
      </c>
      <c r="F4837" s="79"/>
    </row>
    <row r="4838" spans="1:6">
      <c r="A4838" s="77">
        <f t="shared" ca="1" si="497"/>
        <v>46029</v>
      </c>
      <c r="B4838" s="80">
        <f t="shared" ca="1" si="498"/>
        <v>46029.747843750003</v>
      </c>
      <c r="C4838" s="76" t="s">
        <v>737</v>
      </c>
      <c r="D4838" s="76" t="s">
        <v>902</v>
      </c>
      <c r="E4838" s="79" t="s">
        <v>1426</v>
      </c>
      <c r="F4838" s="79"/>
    </row>
    <row r="4839" spans="1:6">
      <c r="A4839" s="77">
        <f t="shared" ca="1" si="497"/>
        <v>46029</v>
      </c>
      <c r="B4839" s="80">
        <f t="shared" ca="1" si="498"/>
        <v>46029.748656018521</v>
      </c>
      <c r="C4839" s="76" t="s">
        <v>737</v>
      </c>
      <c r="D4839" s="76" t="s">
        <v>902</v>
      </c>
      <c r="E4839" s="156" t="s">
        <v>2947</v>
      </c>
      <c r="F4839" s="79"/>
    </row>
    <row r="4840" spans="1:6">
      <c r="A4840" s="77">
        <f t="shared" ca="1" si="497"/>
        <v>46029</v>
      </c>
      <c r="B4840" s="80">
        <f t="shared" ca="1" si="498"/>
        <v>46029.754836342596</v>
      </c>
      <c r="C4840" s="76" t="s">
        <v>737</v>
      </c>
      <c r="D4840" s="76" t="s">
        <v>902</v>
      </c>
      <c r="E4840" s="79" t="s">
        <v>2955</v>
      </c>
      <c r="F4840" s="79"/>
    </row>
    <row r="4841" spans="1:6">
      <c r="A4841" s="77">
        <f t="shared" ca="1" si="497"/>
        <v>46029</v>
      </c>
      <c r="B4841" s="80">
        <f t="shared" ca="1" si="498"/>
        <v>46029.756379861108</v>
      </c>
      <c r="C4841" s="76" t="s">
        <v>737</v>
      </c>
      <c r="D4841" s="76" t="s">
        <v>902</v>
      </c>
      <c r="E4841" s="79" t="s">
        <v>1426</v>
      </c>
      <c r="F4841" s="79"/>
    </row>
    <row r="4842" spans="1:6">
      <c r="A4842" s="77">
        <f t="shared" ca="1" si="497"/>
        <v>46029</v>
      </c>
      <c r="B4842" s="80">
        <f t="shared" ca="1" si="498"/>
        <v>46029.758871064812</v>
      </c>
      <c r="C4842" s="76" t="s">
        <v>737</v>
      </c>
      <c r="D4842" s="76" t="s">
        <v>902</v>
      </c>
      <c r="E4842" s="79" t="s">
        <v>2956</v>
      </c>
      <c r="F4842" s="79"/>
    </row>
    <row r="4843" spans="1:6">
      <c r="A4843" s="77">
        <f t="shared" ca="1" si="497"/>
        <v>46029</v>
      </c>
      <c r="B4843" s="80">
        <f t="shared" ca="1" si="498"/>
        <v>46029.760716319448</v>
      </c>
      <c r="C4843" s="76" t="s">
        <v>737</v>
      </c>
      <c r="D4843" s="76" t="s">
        <v>902</v>
      </c>
      <c r="E4843" s="156" t="s">
        <v>2947</v>
      </c>
      <c r="F4843" s="79"/>
    </row>
    <row r="4844" spans="1:6">
      <c r="A4844" s="77">
        <f t="shared" ca="1" si="497"/>
        <v>46029</v>
      </c>
      <c r="B4844" s="80">
        <f t="shared" ca="1" si="498"/>
        <v>46029.761814699072</v>
      </c>
      <c r="C4844" s="76" t="s">
        <v>737</v>
      </c>
      <c r="D4844" s="76" t="s">
        <v>902</v>
      </c>
      <c r="E4844" s="79" t="s">
        <v>2957</v>
      </c>
      <c r="F4844" s="79"/>
    </row>
    <row r="4845" spans="1:6">
      <c r="A4845" s="77">
        <f t="shared" ref="A4845:A4875" ca="1" si="499">IF(C4845&lt;&gt;0,IF(A4845=0,TODAY(),A4845),)</f>
        <v>46029</v>
      </c>
      <c r="B4845" s="80">
        <f t="shared" ref="B4845:B4875" ca="1" si="500">IF(C4845&lt;&gt;0,IF(B4845=0,NOW(),B4845),)</f>
        <v>46029.763028240741</v>
      </c>
      <c r="C4845" s="76" t="s">
        <v>737</v>
      </c>
      <c r="D4845" s="76" t="s">
        <v>902</v>
      </c>
      <c r="E4845" s="79" t="s">
        <v>2958</v>
      </c>
      <c r="F4845" s="79"/>
    </row>
    <row r="4846" spans="1:6">
      <c r="A4846" s="77">
        <f t="shared" ca="1" si="499"/>
        <v>46029</v>
      </c>
      <c r="B4846" s="80">
        <f t="shared" ca="1" si="500"/>
        <v>46029.76348090278</v>
      </c>
      <c r="C4846" s="76" t="s">
        <v>737</v>
      </c>
      <c r="D4846" s="76" t="s">
        <v>902</v>
      </c>
      <c r="E4846" s="79" t="s">
        <v>2487</v>
      </c>
      <c r="F4846" s="79"/>
    </row>
    <row r="4847" spans="1:6">
      <c r="A4847" s="77">
        <f t="shared" ca="1" si="499"/>
        <v>46029</v>
      </c>
      <c r="B4847" s="80">
        <f t="shared" ca="1" si="500"/>
        <v>46029.770471064818</v>
      </c>
      <c r="C4847" s="76" t="s">
        <v>737</v>
      </c>
      <c r="D4847" s="76" t="s">
        <v>902</v>
      </c>
      <c r="E4847" s="79" t="s">
        <v>2959</v>
      </c>
      <c r="F4847" s="79"/>
    </row>
    <row r="4848" spans="1:6">
      <c r="A4848" s="77">
        <f t="shared" ca="1" si="499"/>
        <v>46029</v>
      </c>
      <c r="B4848" s="80">
        <f t="shared" ca="1" si="500"/>
        <v>46029.771850231482</v>
      </c>
      <c r="C4848" s="76" t="s">
        <v>737</v>
      </c>
      <c r="D4848" s="76" t="s">
        <v>902</v>
      </c>
      <c r="E4848" s="156" t="s">
        <v>2947</v>
      </c>
      <c r="F4848" s="79"/>
    </row>
    <row r="4849" spans="1:6">
      <c r="A4849" s="77">
        <f t="shared" ca="1" si="499"/>
        <v>46029</v>
      </c>
      <c r="B4849" s="80">
        <f t="shared" ca="1" si="500"/>
        <v>46029.779300694441</v>
      </c>
      <c r="C4849" s="76" t="s">
        <v>737</v>
      </c>
      <c r="D4849" s="150" t="s">
        <v>1007</v>
      </c>
      <c r="E4849" s="79" t="s">
        <v>2960</v>
      </c>
      <c r="F4849" s="79"/>
    </row>
    <row r="4850" spans="1:6">
      <c r="A4850" s="77">
        <f t="shared" ca="1" si="499"/>
        <v>46029</v>
      </c>
      <c r="B4850" s="80">
        <f t="shared" ca="1" si="500"/>
        <v>46029.782850347219</v>
      </c>
      <c r="C4850" s="76" t="s">
        <v>737</v>
      </c>
      <c r="D4850" s="76" t="s">
        <v>902</v>
      </c>
      <c r="E4850" s="79" t="s">
        <v>2961</v>
      </c>
      <c r="F4850" s="79"/>
    </row>
    <row r="4851" spans="1:6">
      <c r="A4851" s="77">
        <f t="shared" ca="1" si="499"/>
        <v>46029</v>
      </c>
      <c r="B4851" s="80">
        <f t="shared" ca="1" si="500"/>
        <v>46029.784070833331</v>
      </c>
      <c r="C4851" s="76" t="s">
        <v>737</v>
      </c>
      <c r="D4851" s="76" t="s">
        <v>902</v>
      </c>
      <c r="E4851" s="79" t="s">
        <v>2962</v>
      </c>
      <c r="F4851" s="79"/>
    </row>
    <row r="4852" spans="1:6">
      <c r="A4852" s="77">
        <f t="shared" ca="1" si="499"/>
        <v>46029</v>
      </c>
      <c r="B4852" s="80">
        <f t="shared" ca="1" si="500"/>
        <v>46029.786065624998</v>
      </c>
      <c r="C4852" s="76" t="s">
        <v>737</v>
      </c>
      <c r="D4852" s="76" t="s">
        <v>902</v>
      </c>
      <c r="E4852" s="79" t="s">
        <v>1196</v>
      </c>
      <c r="F4852" s="79"/>
    </row>
    <row r="4853" spans="1:6">
      <c r="A4853" s="77">
        <f t="shared" ca="1" si="499"/>
        <v>46029</v>
      </c>
      <c r="B4853" s="80">
        <f t="shared" ca="1" si="500"/>
        <v>46029.788425231483</v>
      </c>
      <c r="C4853" s="76" t="s">
        <v>737</v>
      </c>
      <c r="D4853" s="76" t="s">
        <v>902</v>
      </c>
      <c r="E4853" s="79" t="s">
        <v>2962</v>
      </c>
      <c r="F4853" s="79"/>
    </row>
    <row r="4854" spans="1:6">
      <c r="A4854" s="77">
        <f t="shared" ca="1" si="499"/>
        <v>46029</v>
      </c>
      <c r="B4854" s="80">
        <f t="shared" ca="1" si="500"/>
        <v>46029.791943634256</v>
      </c>
      <c r="C4854" s="76" t="s">
        <v>737</v>
      </c>
      <c r="D4854" s="76" t="s">
        <v>902</v>
      </c>
      <c r="E4854" s="79" t="s">
        <v>2962</v>
      </c>
      <c r="F4854" s="79"/>
    </row>
    <row r="4855" spans="1:6">
      <c r="A4855" s="77">
        <f t="shared" ca="1" si="499"/>
        <v>46029</v>
      </c>
      <c r="B4855" s="80">
        <f t="shared" ca="1" si="500"/>
        <v>46029.792220023148</v>
      </c>
      <c r="C4855" s="76" t="s">
        <v>737</v>
      </c>
      <c r="D4855" s="76" t="s">
        <v>902</v>
      </c>
      <c r="E4855" s="79" t="s">
        <v>2962</v>
      </c>
      <c r="F4855" s="79"/>
    </row>
    <row r="4856" spans="1:6">
      <c r="A4856" s="77">
        <f t="shared" ca="1" si="499"/>
        <v>46029</v>
      </c>
      <c r="B4856" s="80">
        <f t="shared" ca="1" si="500"/>
        <v>46029.794368634262</v>
      </c>
      <c r="C4856" s="76" t="s">
        <v>737</v>
      </c>
      <c r="D4856" s="76" t="s">
        <v>902</v>
      </c>
      <c r="E4856" s="156" t="s">
        <v>2947</v>
      </c>
      <c r="F4856" s="79"/>
    </row>
    <row r="4857" spans="1:6">
      <c r="A4857" s="77">
        <f t="shared" ca="1" si="499"/>
        <v>46029</v>
      </c>
      <c r="B4857" s="80">
        <f t="shared" ca="1" si="500"/>
        <v>46029.798069444441</v>
      </c>
      <c r="C4857" s="76" t="s">
        <v>737</v>
      </c>
      <c r="D4857" s="150" t="s">
        <v>1007</v>
      </c>
      <c r="E4857" s="79" t="s">
        <v>2960</v>
      </c>
      <c r="F4857" s="79"/>
    </row>
    <row r="4858" spans="1:6">
      <c r="A4858" s="77">
        <f t="shared" ca="1" si="499"/>
        <v>46029</v>
      </c>
      <c r="B4858" s="80">
        <f t="shared" ca="1" si="500"/>
        <v>46029.803792476851</v>
      </c>
      <c r="C4858" s="76" t="s">
        <v>737</v>
      </c>
      <c r="D4858" s="150" t="s">
        <v>1070</v>
      </c>
      <c r="E4858" s="79" t="s">
        <v>2963</v>
      </c>
      <c r="F4858" s="79"/>
    </row>
    <row r="4859" spans="1:6">
      <c r="A4859" s="77">
        <f t="shared" ca="1" si="499"/>
        <v>46029</v>
      </c>
      <c r="B4859" s="80">
        <f t="shared" ca="1" si="500"/>
        <v>46029.806281481484</v>
      </c>
      <c r="C4859" s="76" t="s">
        <v>737</v>
      </c>
      <c r="D4859" s="76" t="s">
        <v>902</v>
      </c>
      <c r="E4859" s="79" t="s">
        <v>2964</v>
      </c>
      <c r="F4859" s="79"/>
    </row>
    <row r="4860" spans="1:6">
      <c r="A4860" s="77">
        <f t="shared" ca="1" si="499"/>
        <v>46029</v>
      </c>
      <c r="B4860" s="80">
        <f t="shared" ca="1" si="500"/>
        <v>46029.809152430556</v>
      </c>
      <c r="C4860" s="76" t="s">
        <v>737</v>
      </c>
      <c r="D4860" s="76" t="s">
        <v>902</v>
      </c>
      <c r="E4860" s="79" t="s">
        <v>2956</v>
      </c>
      <c r="F4860" s="79"/>
    </row>
    <row r="4861" spans="1:6">
      <c r="A4861" s="77">
        <f t="shared" ca="1" si="499"/>
        <v>46029</v>
      </c>
      <c r="B4861" s="80">
        <f t="shared" ca="1" si="500"/>
        <v>46029.810018750002</v>
      </c>
      <c r="C4861" s="76" t="s">
        <v>737</v>
      </c>
      <c r="D4861" s="76" t="s">
        <v>902</v>
      </c>
      <c r="E4861" s="79" t="s">
        <v>2965</v>
      </c>
      <c r="F4861" s="79"/>
    </row>
    <row r="4862" spans="1:6">
      <c r="A4862" s="77">
        <f t="shared" ca="1" si="499"/>
        <v>46029</v>
      </c>
      <c r="B4862" s="80">
        <f t="shared" ca="1" si="500"/>
        <v>46029.813908912038</v>
      </c>
      <c r="C4862" s="76" t="s">
        <v>737</v>
      </c>
      <c r="D4862" s="76" t="s">
        <v>902</v>
      </c>
      <c r="E4862" s="156" t="s">
        <v>2947</v>
      </c>
      <c r="F4862" s="79"/>
    </row>
    <row r="4863" spans="1:6">
      <c r="A4863" s="77">
        <f t="shared" ca="1" si="499"/>
        <v>46029</v>
      </c>
      <c r="B4863" s="80">
        <f t="shared" ca="1" si="500"/>
        <v>46029.814783796297</v>
      </c>
      <c r="C4863" s="76" t="s">
        <v>737</v>
      </c>
      <c r="D4863" s="76" t="s">
        <v>902</v>
      </c>
      <c r="E4863" s="79" t="s">
        <v>2965</v>
      </c>
      <c r="F4863" s="79"/>
    </row>
    <row r="4864" spans="1:6">
      <c r="A4864" s="77">
        <f t="shared" ca="1" si="499"/>
        <v>46029</v>
      </c>
      <c r="B4864" s="80">
        <f t="shared" ca="1" si="500"/>
        <v>46029.81715451389</v>
      </c>
      <c r="C4864" s="76" t="s">
        <v>737</v>
      </c>
      <c r="D4864" s="210" t="s">
        <v>922</v>
      </c>
      <c r="E4864" s="79"/>
      <c r="F4864" s="79"/>
    </row>
    <row r="4865" spans="1:7">
      <c r="A4865" s="77">
        <f t="shared" ca="1" si="499"/>
        <v>46029</v>
      </c>
      <c r="B4865" s="80">
        <f t="shared" ca="1" si="500"/>
        <v>46029.822072453702</v>
      </c>
      <c r="C4865" s="76" t="s">
        <v>737</v>
      </c>
      <c r="D4865" s="210" t="s">
        <v>1098</v>
      </c>
      <c r="E4865" s="163" t="s">
        <v>2966</v>
      </c>
      <c r="F4865" s="79"/>
      <c r="G4865" s="164" t="s">
        <v>2967</v>
      </c>
    </row>
    <row r="4866" spans="1:7">
      <c r="A4866" s="77">
        <f t="shared" ca="1" si="499"/>
        <v>46029</v>
      </c>
      <c r="B4866" s="80">
        <f t="shared" ca="1" si="500"/>
        <v>46029.92046238426</v>
      </c>
      <c r="C4866" s="76" t="s">
        <v>742</v>
      </c>
      <c r="D4866" s="210" t="s">
        <v>906</v>
      </c>
      <c r="E4866" s="150" t="s">
        <v>2968</v>
      </c>
      <c r="F4866" s="79"/>
    </row>
    <row r="4867" spans="1:7">
      <c r="A4867" s="77">
        <f t="shared" ca="1" si="499"/>
        <v>46029</v>
      </c>
      <c r="B4867" s="80">
        <f t="shared" ca="1" si="500"/>
        <v>46029.923470949077</v>
      </c>
      <c r="C4867" s="76" t="s">
        <v>742</v>
      </c>
      <c r="D4867" s="210" t="s">
        <v>909</v>
      </c>
      <c r="E4867" s="79"/>
      <c r="F4867" s="79"/>
    </row>
    <row r="4868" spans="1:7">
      <c r="A4868" s="77">
        <f t="shared" ca="1" si="499"/>
        <v>46029</v>
      </c>
      <c r="B4868" s="80">
        <f t="shared" ca="1" si="500"/>
        <v>46029.924531481483</v>
      </c>
      <c r="C4868" s="76" t="s">
        <v>742</v>
      </c>
      <c r="D4868" s="76" t="s">
        <v>902</v>
      </c>
      <c r="E4868" s="79" t="s">
        <v>2899</v>
      </c>
      <c r="F4868" s="79"/>
    </row>
    <row r="4869" spans="1:7">
      <c r="A4869" s="77">
        <f t="shared" ca="1" si="499"/>
        <v>46029</v>
      </c>
      <c r="B4869" s="80">
        <f t="shared" ca="1" si="500"/>
        <v>46029.926239120374</v>
      </c>
      <c r="C4869" s="76" t="s">
        <v>742</v>
      </c>
      <c r="D4869" s="76" t="s">
        <v>902</v>
      </c>
      <c r="E4869" s="79" t="s">
        <v>2899</v>
      </c>
      <c r="F4869" s="79"/>
    </row>
    <row r="4870" spans="1:7">
      <c r="A4870" s="77">
        <f t="shared" ca="1" si="499"/>
        <v>46029</v>
      </c>
      <c r="B4870" s="80">
        <f t="shared" ca="1" si="500"/>
        <v>46029.930217129629</v>
      </c>
      <c r="C4870" s="76" t="s">
        <v>742</v>
      </c>
      <c r="D4870" s="76" t="s">
        <v>902</v>
      </c>
      <c r="E4870" s="79" t="s">
        <v>2917</v>
      </c>
      <c r="F4870" s="79"/>
    </row>
    <row r="4871" spans="1:7">
      <c r="A4871" s="77">
        <f t="shared" ca="1" si="499"/>
        <v>46029</v>
      </c>
      <c r="B4871" s="80">
        <f t="shared" ca="1" si="500"/>
        <v>46029.930575115737</v>
      </c>
      <c r="C4871" s="76" t="s">
        <v>742</v>
      </c>
      <c r="D4871" s="76" t="s">
        <v>902</v>
      </c>
      <c r="E4871" s="79" t="s">
        <v>2899</v>
      </c>
      <c r="F4871" s="79"/>
    </row>
    <row r="4872" spans="1:7">
      <c r="A4872" s="77">
        <f t="shared" ca="1" si="499"/>
        <v>46029</v>
      </c>
      <c r="B4872" s="80">
        <f t="shared" ca="1" si="500"/>
        <v>46029.931357638889</v>
      </c>
      <c r="C4872" s="76" t="s">
        <v>742</v>
      </c>
      <c r="D4872" s="76" t="s">
        <v>902</v>
      </c>
      <c r="E4872" s="79" t="s">
        <v>2899</v>
      </c>
      <c r="F4872" s="79"/>
    </row>
    <row r="4873" spans="1:7">
      <c r="A4873" s="77">
        <f t="shared" ca="1" si="499"/>
        <v>46029</v>
      </c>
      <c r="B4873" s="80">
        <f t="shared" ca="1" si="500"/>
        <v>46029.935559027777</v>
      </c>
      <c r="C4873" s="76" t="s">
        <v>742</v>
      </c>
      <c r="D4873" s="76" t="s">
        <v>902</v>
      </c>
      <c r="E4873" s="79" t="s">
        <v>2932</v>
      </c>
      <c r="F4873" s="79"/>
    </row>
    <row r="4874" spans="1:7">
      <c r="A4874" s="77">
        <f t="shared" ca="1" si="499"/>
        <v>46029</v>
      </c>
      <c r="B4874" s="80">
        <f t="shared" ca="1" si="500"/>
        <v>46029.939243749999</v>
      </c>
      <c r="C4874" s="76" t="s">
        <v>742</v>
      </c>
      <c r="D4874" s="76" t="s">
        <v>902</v>
      </c>
      <c r="E4874" s="79" t="s">
        <v>2487</v>
      </c>
      <c r="F4874" s="79"/>
    </row>
    <row r="4875" spans="1:7">
      <c r="A4875" s="77">
        <f t="shared" ca="1" si="499"/>
        <v>46029</v>
      </c>
      <c r="B4875" s="80">
        <f t="shared" ca="1" si="500"/>
        <v>46029.939617939817</v>
      </c>
      <c r="C4875" s="76" t="s">
        <v>742</v>
      </c>
      <c r="D4875" s="76" t="s">
        <v>902</v>
      </c>
      <c r="E4875" s="79" t="s">
        <v>2899</v>
      </c>
      <c r="F4875" s="79"/>
    </row>
    <row r="4876" spans="1:7">
      <c r="A4876" s="77">
        <f t="shared" ref="A4876:A4907" ca="1" si="501">IF(C4876&lt;&gt;0,IF(A4876=0,TODAY(),A4876),)</f>
        <v>46029</v>
      </c>
      <c r="B4876" s="80">
        <f t="shared" ref="B4876:B4907" ca="1" si="502">IF(C4876&lt;&gt;0,IF(B4876=0,NOW(),B4876),)</f>
        <v>46029.939663310186</v>
      </c>
      <c r="C4876" s="76" t="s">
        <v>742</v>
      </c>
      <c r="D4876" s="76" t="s">
        <v>902</v>
      </c>
      <c r="E4876" s="79" t="s">
        <v>2540</v>
      </c>
      <c r="F4876" s="79"/>
    </row>
    <row r="4877" spans="1:7">
      <c r="A4877" s="77">
        <f t="shared" ca="1" si="501"/>
        <v>46029</v>
      </c>
      <c r="B4877" s="80">
        <f t="shared" ca="1" si="502"/>
        <v>46029.943396759256</v>
      </c>
      <c r="C4877" s="76" t="s">
        <v>742</v>
      </c>
      <c r="D4877" s="76" t="s">
        <v>902</v>
      </c>
      <c r="E4877" s="79" t="s">
        <v>2969</v>
      </c>
      <c r="F4877" s="79"/>
    </row>
    <row r="4878" spans="1:7">
      <c r="A4878" s="77">
        <f t="shared" ca="1" si="501"/>
        <v>46029</v>
      </c>
      <c r="B4878" s="80">
        <f t="shared" ca="1" si="502"/>
        <v>46029.94928252315</v>
      </c>
      <c r="C4878" s="76" t="s">
        <v>742</v>
      </c>
      <c r="D4878" s="76" t="s">
        <v>902</v>
      </c>
      <c r="E4878" s="79" t="s">
        <v>2970</v>
      </c>
      <c r="F4878" s="79"/>
    </row>
    <row r="4879" spans="1:7">
      <c r="A4879" s="77">
        <f t="shared" ca="1" si="501"/>
        <v>46029</v>
      </c>
      <c r="B4879" s="80">
        <f t="shared" ca="1" si="502"/>
        <v>46029.951201620373</v>
      </c>
      <c r="C4879" s="76" t="s">
        <v>742</v>
      </c>
      <c r="D4879" s="76" t="s">
        <v>902</v>
      </c>
      <c r="E4879" s="79" t="s">
        <v>2970</v>
      </c>
      <c r="F4879" s="79"/>
    </row>
    <row r="4880" spans="1:7">
      <c r="A4880" s="77">
        <f t="shared" ca="1" si="501"/>
        <v>46029</v>
      </c>
      <c r="B4880" s="80">
        <f t="shared" ca="1" si="502"/>
        <v>46029.954494791666</v>
      </c>
      <c r="C4880" s="76" t="s">
        <v>742</v>
      </c>
      <c r="D4880" s="76" t="s">
        <v>902</v>
      </c>
      <c r="E4880" s="79" t="s">
        <v>2969</v>
      </c>
      <c r="F4880" s="79"/>
    </row>
    <row r="4881" spans="1:6">
      <c r="A4881" s="77">
        <f t="shared" ca="1" si="501"/>
        <v>46029</v>
      </c>
      <c r="B4881" s="80">
        <f t="shared" ca="1" si="502"/>
        <v>46029.956942245371</v>
      </c>
      <c r="C4881" s="76" t="s">
        <v>742</v>
      </c>
      <c r="D4881" s="76" t="s">
        <v>902</v>
      </c>
      <c r="E4881" s="79" t="s">
        <v>2970</v>
      </c>
      <c r="F4881" s="79"/>
    </row>
    <row r="4882" spans="1:6">
      <c r="A4882" s="77">
        <f t="shared" ca="1" si="501"/>
        <v>46029</v>
      </c>
      <c r="B4882" s="80">
        <f t="shared" ca="1" si="502"/>
        <v>46029.957733680552</v>
      </c>
      <c r="C4882" s="76" t="s">
        <v>742</v>
      </c>
      <c r="D4882" s="76" t="s">
        <v>902</v>
      </c>
      <c r="E4882" s="79" t="s">
        <v>2970</v>
      </c>
      <c r="F4882" s="79"/>
    </row>
    <row r="4883" spans="1:6">
      <c r="A4883" s="77">
        <f t="shared" ca="1" si="501"/>
        <v>46029</v>
      </c>
      <c r="B4883" s="80">
        <f t="shared" ca="1" si="502"/>
        <v>46029.961160879633</v>
      </c>
      <c r="C4883" s="76" t="s">
        <v>742</v>
      </c>
      <c r="D4883" s="76" t="s">
        <v>902</v>
      </c>
      <c r="E4883" s="79" t="s">
        <v>2970</v>
      </c>
      <c r="F4883" s="79"/>
    </row>
    <row r="4884" spans="1:6">
      <c r="A4884" s="77">
        <f t="shared" ca="1" si="501"/>
        <v>46029</v>
      </c>
      <c r="B4884" s="80">
        <f t="shared" ca="1" si="502"/>
        <v>46029.961876041663</v>
      </c>
      <c r="C4884" s="76" t="s">
        <v>742</v>
      </c>
      <c r="D4884" s="76" t="s">
        <v>902</v>
      </c>
      <c r="E4884" s="79" t="s">
        <v>2971</v>
      </c>
      <c r="F4884" s="79"/>
    </row>
    <row r="4885" spans="1:6">
      <c r="A4885" s="77">
        <f t="shared" ca="1" si="501"/>
        <v>46029</v>
      </c>
      <c r="B4885" s="80">
        <f t="shared" ca="1" si="502"/>
        <v>46029.962379976852</v>
      </c>
      <c r="C4885" s="76" t="s">
        <v>742</v>
      </c>
      <c r="D4885" s="76" t="s">
        <v>902</v>
      </c>
      <c r="E4885" s="79" t="s">
        <v>2487</v>
      </c>
      <c r="F4885" s="79"/>
    </row>
    <row r="4886" spans="1:6">
      <c r="A4886" s="77">
        <f t="shared" ca="1" si="501"/>
        <v>46029</v>
      </c>
      <c r="B4886" s="80">
        <f t="shared" ca="1" si="502"/>
        <v>46029.964715972223</v>
      </c>
      <c r="C4886" s="76" t="s">
        <v>742</v>
      </c>
      <c r="D4886" s="76" t="s">
        <v>902</v>
      </c>
      <c r="E4886" s="79" t="s">
        <v>2970</v>
      </c>
      <c r="F4886" s="79"/>
    </row>
    <row r="4887" spans="1:6">
      <c r="A4887" s="77">
        <f t="shared" ca="1" si="501"/>
        <v>46029</v>
      </c>
      <c r="B4887" s="80">
        <f t="shared" ca="1" si="502"/>
        <v>46029.96800601852</v>
      </c>
      <c r="C4887" s="76" t="s">
        <v>742</v>
      </c>
      <c r="D4887" s="76" t="s">
        <v>902</v>
      </c>
      <c r="E4887" s="79" t="s">
        <v>2972</v>
      </c>
      <c r="F4887" s="79"/>
    </row>
    <row r="4888" spans="1:6">
      <c r="A4888" s="77">
        <f t="shared" ca="1" si="501"/>
        <v>46029</v>
      </c>
      <c r="B4888" s="80">
        <f t="shared" ca="1" si="502"/>
        <v>46029.969103356481</v>
      </c>
      <c r="C4888" s="76" t="s">
        <v>742</v>
      </c>
      <c r="D4888" s="76" t="s">
        <v>902</v>
      </c>
      <c r="E4888" s="79" t="s">
        <v>2487</v>
      </c>
      <c r="F4888" s="79"/>
    </row>
    <row r="4889" spans="1:6">
      <c r="A4889" s="77">
        <f t="shared" ca="1" si="501"/>
        <v>46029</v>
      </c>
      <c r="B4889" s="80">
        <f t="shared" ca="1" si="502"/>
        <v>46029.969895833332</v>
      </c>
      <c r="C4889" s="76" t="s">
        <v>742</v>
      </c>
      <c r="D4889" s="76" t="s">
        <v>902</v>
      </c>
      <c r="E4889" s="79" t="s">
        <v>2970</v>
      </c>
      <c r="F4889" s="79"/>
    </row>
    <row r="4890" spans="1:6">
      <c r="A4890" s="77">
        <f t="shared" ca="1" si="501"/>
        <v>46029</v>
      </c>
      <c r="B4890" s="80">
        <f t="shared" ca="1" si="502"/>
        <v>46029.970923958332</v>
      </c>
      <c r="C4890" s="76" t="s">
        <v>742</v>
      </c>
      <c r="D4890" s="76" t="s">
        <v>902</v>
      </c>
      <c r="E4890" s="79" t="s">
        <v>2973</v>
      </c>
      <c r="F4890" s="79"/>
    </row>
    <row r="4891" spans="1:6">
      <c r="A4891" s="77">
        <f t="shared" ca="1" si="501"/>
        <v>46029</v>
      </c>
      <c r="B4891" s="80">
        <f t="shared" ca="1" si="502"/>
        <v>46029.971336226852</v>
      </c>
      <c r="C4891" s="76" t="s">
        <v>742</v>
      </c>
      <c r="D4891" s="76" t="s">
        <v>902</v>
      </c>
      <c r="E4891" s="79" t="s">
        <v>2961</v>
      </c>
      <c r="F4891" s="79"/>
    </row>
    <row r="4892" spans="1:6">
      <c r="A4892" s="77">
        <f t="shared" ca="1" si="501"/>
        <v>46029</v>
      </c>
      <c r="B4892" s="80">
        <f t="shared" ca="1" si="502"/>
        <v>46029.971788078707</v>
      </c>
      <c r="C4892" s="76" t="s">
        <v>742</v>
      </c>
      <c r="D4892" s="76" t="s">
        <v>902</v>
      </c>
      <c r="E4892" s="79" t="s">
        <v>2970</v>
      </c>
      <c r="F4892" s="79"/>
    </row>
    <row r="4893" spans="1:6">
      <c r="A4893" s="77">
        <f t="shared" ca="1" si="501"/>
        <v>46029</v>
      </c>
      <c r="B4893" s="80">
        <f t="shared" ca="1" si="502"/>
        <v>46029.974907638891</v>
      </c>
      <c r="C4893" s="76" t="s">
        <v>742</v>
      </c>
      <c r="D4893" s="76" t="s">
        <v>902</v>
      </c>
      <c r="E4893" s="79" t="s">
        <v>2487</v>
      </c>
      <c r="F4893" s="79"/>
    </row>
    <row r="4894" spans="1:6">
      <c r="A4894" s="77">
        <f t="shared" ca="1" si="501"/>
        <v>46029</v>
      </c>
      <c r="B4894" s="80">
        <f t="shared" ca="1" si="502"/>
        <v>46029.975505208335</v>
      </c>
      <c r="C4894" s="76" t="s">
        <v>742</v>
      </c>
      <c r="D4894" s="76" t="s">
        <v>902</v>
      </c>
      <c r="E4894" s="79" t="s">
        <v>2970</v>
      </c>
      <c r="F4894" s="79"/>
    </row>
    <row r="4895" spans="1:6">
      <c r="A4895" s="77">
        <f t="shared" ca="1" si="501"/>
        <v>46029</v>
      </c>
      <c r="B4895" s="80">
        <f t="shared" ca="1" si="502"/>
        <v>46029.97632962963</v>
      </c>
      <c r="C4895" s="76" t="s">
        <v>742</v>
      </c>
      <c r="D4895" s="76" t="s">
        <v>902</v>
      </c>
      <c r="E4895" s="79" t="s">
        <v>2970</v>
      </c>
      <c r="F4895" s="79"/>
    </row>
    <row r="4896" spans="1:6">
      <c r="A4896" s="77">
        <f t="shared" ca="1" si="501"/>
        <v>46029</v>
      </c>
      <c r="B4896" s="80">
        <f t="shared" ca="1" si="502"/>
        <v>46029.977271296295</v>
      </c>
      <c r="C4896" s="76" t="s">
        <v>742</v>
      </c>
      <c r="D4896" s="76" t="s">
        <v>902</v>
      </c>
      <c r="E4896" s="79" t="s">
        <v>1493</v>
      </c>
      <c r="F4896" s="79"/>
    </row>
    <row r="4897" spans="1:7">
      <c r="A4897" s="77">
        <f t="shared" ca="1" si="501"/>
        <v>46029</v>
      </c>
      <c r="B4897" s="80">
        <f t="shared" ca="1" si="502"/>
        <v>46029.978954282407</v>
      </c>
      <c r="C4897" s="76" t="s">
        <v>742</v>
      </c>
      <c r="D4897" s="76" t="s">
        <v>902</v>
      </c>
      <c r="E4897" s="79" t="s">
        <v>2974</v>
      </c>
      <c r="F4897" s="79"/>
    </row>
    <row r="4898" spans="1:7">
      <c r="A4898" s="77">
        <f t="shared" ca="1" si="501"/>
        <v>46029</v>
      </c>
      <c r="B4898" s="80">
        <f t="shared" ca="1" si="502"/>
        <v>46029.982289236112</v>
      </c>
      <c r="C4898" s="76" t="s">
        <v>742</v>
      </c>
      <c r="D4898" s="150" t="s">
        <v>1007</v>
      </c>
      <c r="E4898" s="79" t="s">
        <v>2975</v>
      </c>
      <c r="F4898" s="79"/>
    </row>
    <row r="4899" spans="1:7">
      <c r="A4899" s="77">
        <f t="shared" ca="1" si="501"/>
        <v>46029</v>
      </c>
      <c r="B4899" s="80">
        <f t="shared" ca="1" si="502"/>
        <v>46029.989931944445</v>
      </c>
      <c r="C4899" s="76" t="s">
        <v>742</v>
      </c>
      <c r="D4899" s="76" t="s">
        <v>902</v>
      </c>
      <c r="E4899" s="79" t="s">
        <v>2976</v>
      </c>
      <c r="F4899" s="79"/>
    </row>
    <row r="4900" spans="1:7">
      <c r="A4900" s="77">
        <f t="shared" ca="1" si="501"/>
        <v>46029</v>
      </c>
      <c r="B4900" s="80">
        <f t="shared" ca="1" si="502"/>
        <v>46029.989955439814</v>
      </c>
      <c r="C4900" s="76" t="s">
        <v>742</v>
      </c>
      <c r="D4900" s="76" t="s">
        <v>902</v>
      </c>
      <c r="E4900" s="79" t="s">
        <v>2487</v>
      </c>
      <c r="F4900" s="79"/>
    </row>
    <row r="4901" spans="1:7">
      <c r="A4901" s="77">
        <f t="shared" ca="1" si="501"/>
        <v>46029</v>
      </c>
      <c r="B4901" s="80">
        <f t="shared" ca="1" si="502"/>
        <v>46029.990244328706</v>
      </c>
      <c r="C4901" s="76" t="s">
        <v>742</v>
      </c>
      <c r="D4901" s="76" t="s">
        <v>902</v>
      </c>
      <c r="E4901" s="79" t="s">
        <v>2970</v>
      </c>
      <c r="F4901" s="79"/>
    </row>
    <row r="4902" spans="1:7">
      <c r="A4902" s="77">
        <f t="shared" ca="1" si="501"/>
        <v>46029</v>
      </c>
      <c r="B4902" s="80">
        <f t="shared" ca="1" si="502"/>
        <v>46029.992171990743</v>
      </c>
      <c r="C4902" s="76" t="s">
        <v>742</v>
      </c>
      <c r="D4902" s="76" t="s">
        <v>902</v>
      </c>
      <c r="E4902" s="79" t="s">
        <v>2072</v>
      </c>
      <c r="F4902" s="79"/>
    </row>
    <row r="4903" spans="1:7">
      <c r="A4903" s="77">
        <f t="shared" ca="1" si="501"/>
        <v>46029</v>
      </c>
      <c r="B4903" s="80">
        <f t="shared" ca="1" si="502"/>
        <v>46029.99303784722</v>
      </c>
      <c r="C4903" s="76" t="s">
        <v>742</v>
      </c>
      <c r="D4903" s="76" t="s">
        <v>902</v>
      </c>
      <c r="E4903" s="79" t="s">
        <v>2970</v>
      </c>
      <c r="F4903" s="79"/>
    </row>
    <row r="4904" spans="1:7">
      <c r="A4904" s="77">
        <f t="shared" ca="1" si="501"/>
        <v>46029</v>
      </c>
      <c r="B4904" s="80">
        <f t="shared" ca="1" si="502"/>
        <v>46029.993071527781</v>
      </c>
      <c r="C4904" s="76" t="s">
        <v>742</v>
      </c>
      <c r="D4904" s="76" t="s">
        <v>902</v>
      </c>
      <c r="E4904" s="79" t="s">
        <v>2970</v>
      </c>
      <c r="F4904" s="79"/>
    </row>
    <row r="4905" spans="1:7">
      <c r="A4905" s="77">
        <f t="shared" ca="1" si="501"/>
        <v>46029</v>
      </c>
      <c r="B4905" s="80">
        <f t="shared" ca="1" si="502"/>
        <v>46029.994367013889</v>
      </c>
      <c r="C4905" s="76" t="s">
        <v>742</v>
      </c>
      <c r="D4905" s="76" t="s">
        <v>902</v>
      </c>
      <c r="E4905" s="79" t="s">
        <v>2969</v>
      </c>
      <c r="F4905" s="79"/>
    </row>
    <row r="4906" spans="1:7">
      <c r="A4906" s="77">
        <f t="shared" ca="1" si="501"/>
        <v>46029</v>
      </c>
      <c r="B4906" s="80">
        <f t="shared" ca="1" si="502"/>
        <v>46029.9957818287</v>
      </c>
      <c r="C4906" s="76" t="s">
        <v>742</v>
      </c>
      <c r="D4906" s="76" t="s">
        <v>902</v>
      </c>
      <c r="E4906" s="79" t="s">
        <v>2961</v>
      </c>
      <c r="F4906" s="79"/>
    </row>
    <row r="4907" spans="1:7">
      <c r="A4907" s="77">
        <f t="shared" ca="1" si="501"/>
        <v>46029</v>
      </c>
      <c r="B4907" s="80">
        <f t="shared" ca="1" si="502"/>
        <v>46029.99800428241</v>
      </c>
      <c r="C4907" s="76" t="s">
        <v>742</v>
      </c>
      <c r="D4907" s="76" t="s">
        <v>902</v>
      </c>
      <c r="E4907" s="79" t="s">
        <v>2970</v>
      </c>
      <c r="F4907" s="79"/>
    </row>
    <row r="4908" spans="1:7">
      <c r="A4908" s="77">
        <f t="shared" ref="A4908:A4941" ca="1" si="503">IF(C4908&lt;&gt;0,IF(A4908=0,TODAY(),A4908),)</f>
        <v>46029</v>
      </c>
      <c r="B4908" s="80">
        <f t="shared" ref="B4908:B4939" ca="1" si="504">IF(C4908&lt;&gt;0,IF(B4908=0,NOW(),B4908),)</f>
        <v>46029.998261921297</v>
      </c>
      <c r="C4908" s="76" t="s">
        <v>742</v>
      </c>
      <c r="D4908" s="76" t="s">
        <v>902</v>
      </c>
      <c r="E4908" s="79" t="s">
        <v>2969</v>
      </c>
      <c r="F4908" s="79"/>
    </row>
    <row r="4909" spans="1:7">
      <c r="A4909" s="77">
        <f t="shared" ca="1" si="503"/>
        <v>46030</v>
      </c>
      <c r="B4909" s="80">
        <f t="shared" ca="1" si="504"/>
        <v>46030.000325000001</v>
      </c>
      <c r="C4909" s="76" t="s">
        <v>742</v>
      </c>
      <c r="D4909" s="76" t="s">
        <v>902</v>
      </c>
      <c r="E4909" s="79" t="s">
        <v>2487</v>
      </c>
      <c r="F4909" s="79"/>
    </row>
    <row r="4910" spans="1:7">
      <c r="A4910" s="77">
        <f t="shared" ca="1" si="503"/>
        <v>46030</v>
      </c>
      <c r="B4910" s="80">
        <f t="shared" ca="1" si="504"/>
        <v>46030.000649768517</v>
      </c>
      <c r="C4910" s="76" t="s">
        <v>742</v>
      </c>
      <c r="D4910" s="76" t="s">
        <v>902</v>
      </c>
      <c r="E4910" s="79" t="s">
        <v>2487</v>
      </c>
      <c r="F4910" s="79"/>
    </row>
    <row r="4911" spans="1:7">
      <c r="A4911" s="77">
        <f t="shared" ca="1" si="503"/>
        <v>46030</v>
      </c>
      <c r="B4911" s="80">
        <f t="shared" ca="1" si="504"/>
        <v>46030.010837731483</v>
      </c>
      <c r="C4911" s="76" t="s">
        <v>742</v>
      </c>
      <c r="D4911" s="150" t="s">
        <v>1007</v>
      </c>
      <c r="E4911" s="105" t="s">
        <v>2977</v>
      </c>
      <c r="F4911" s="79"/>
      <c r="G4911" s="76" t="s">
        <v>2978</v>
      </c>
    </row>
    <row r="4912" spans="1:7">
      <c r="A4912" s="77">
        <f t="shared" ca="1" si="503"/>
        <v>46030</v>
      </c>
      <c r="B4912" s="80">
        <f t="shared" ca="1" si="504"/>
        <v>46030.016499189813</v>
      </c>
      <c r="C4912" s="76" t="s">
        <v>742</v>
      </c>
      <c r="D4912" s="76" t="s">
        <v>902</v>
      </c>
      <c r="E4912" s="79" t="s">
        <v>2970</v>
      </c>
      <c r="F4912" s="79"/>
    </row>
    <row r="4913" spans="1:7">
      <c r="A4913" s="77">
        <f t="shared" ca="1" si="503"/>
        <v>46030</v>
      </c>
      <c r="B4913" s="80">
        <f t="shared" ca="1" si="504"/>
        <v>46030.017450115738</v>
      </c>
      <c r="C4913" s="76" t="s">
        <v>742</v>
      </c>
      <c r="D4913" s="76" t="s">
        <v>902</v>
      </c>
      <c r="E4913" s="76" t="s">
        <v>911</v>
      </c>
      <c r="F4913" s="79" t="s">
        <v>911</v>
      </c>
    </row>
    <row r="4914" spans="1:7">
      <c r="A4914" s="77">
        <f t="shared" ca="1" si="503"/>
        <v>46030</v>
      </c>
      <c r="B4914" s="80">
        <f t="shared" ca="1" si="504"/>
        <v>46030.020322337965</v>
      </c>
      <c r="C4914" s="76" t="s">
        <v>742</v>
      </c>
      <c r="D4914" s="76" t="s">
        <v>902</v>
      </c>
      <c r="E4914" s="79" t="s">
        <v>2970</v>
      </c>
      <c r="F4914" s="79"/>
    </row>
    <row r="4915" spans="1:7">
      <c r="A4915" s="77">
        <f t="shared" ca="1" si="503"/>
        <v>46030</v>
      </c>
      <c r="B4915" s="80">
        <f t="shared" ca="1" si="504"/>
        <v>46030.023327199073</v>
      </c>
      <c r="C4915" s="76" t="s">
        <v>742</v>
      </c>
      <c r="D4915" s="76" t="s">
        <v>902</v>
      </c>
      <c r="E4915" s="79" t="s">
        <v>2970</v>
      </c>
      <c r="F4915" s="79"/>
    </row>
    <row r="4916" spans="1:7">
      <c r="A4916" s="77">
        <f t="shared" ca="1" si="503"/>
        <v>46030</v>
      </c>
      <c r="B4916" s="80">
        <f t="shared" ca="1" si="504"/>
        <v>46030.023520254632</v>
      </c>
      <c r="C4916" s="76" t="s">
        <v>742</v>
      </c>
      <c r="D4916" s="76" t="s">
        <v>902</v>
      </c>
      <c r="E4916" s="79" t="s">
        <v>2970</v>
      </c>
      <c r="F4916" s="79"/>
    </row>
    <row r="4917" spans="1:7">
      <c r="A4917" s="77">
        <f t="shared" ca="1" si="503"/>
        <v>46030</v>
      </c>
      <c r="B4917" s="80">
        <f t="shared" ca="1" si="504"/>
        <v>46030.024368981482</v>
      </c>
      <c r="C4917" s="76" t="s">
        <v>742</v>
      </c>
      <c r="D4917" s="76" t="s">
        <v>902</v>
      </c>
      <c r="E4917" s="79" t="s">
        <v>2969</v>
      </c>
      <c r="F4917" s="79"/>
    </row>
    <row r="4918" spans="1:7">
      <c r="A4918" s="77">
        <f t="shared" ca="1" si="503"/>
        <v>46030</v>
      </c>
      <c r="B4918" s="80">
        <f t="shared" ca="1" si="504"/>
        <v>46030.032505092589</v>
      </c>
      <c r="C4918" s="76" t="s">
        <v>742</v>
      </c>
      <c r="D4918" s="76" t="s">
        <v>902</v>
      </c>
      <c r="E4918" s="79" t="s">
        <v>2970</v>
      </c>
      <c r="F4918" s="79"/>
    </row>
    <row r="4919" spans="1:7">
      <c r="A4919" s="77">
        <f t="shared" ca="1" si="503"/>
        <v>46030</v>
      </c>
      <c r="B4919" s="80">
        <v>3.3125000000000002E-2</v>
      </c>
      <c r="C4919" s="76" t="s">
        <v>742</v>
      </c>
      <c r="D4919" s="76" t="s">
        <v>902</v>
      </c>
      <c r="E4919" s="79" t="s">
        <v>2970</v>
      </c>
      <c r="F4919" s="79"/>
    </row>
    <row r="4920" spans="1:7">
      <c r="A4920" s="77">
        <f t="shared" ca="1" si="503"/>
        <v>46030</v>
      </c>
      <c r="B4920" s="80">
        <f t="shared" ca="1" si="504"/>
        <v>46030.040365972221</v>
      </c>
      <c r="C4920" s="76" t="s">
        <v>742</v>
      </c>
      <c r="D4920" s="76" t="s">
        <v>902</v>
      </c>
      <c r="E4920" s="79" t="s">
        <v>2969</v>
      </c>
      <c r="F4920" s="79"/>
    </row>
    <row r="4921" spans="1:7">
      <c r="A4921" s="77">
        <f t="shared" ca="1" si="503"/>
        <v>46030</v>
      </c>
      <c r="B4921" s="80">
        <f t="shared" ca="1" si="504"/>
        <v>46030.042989699075</v>
      </c>
      <c r="C4921" s="76" t="s">
        <v>742</v>
      </c>
      <c r="D4921" s="76" t="s">
        <v>902</v>
      </c>
      <c r="E4921" s="79" t="s">
        <v>2979</v>
      </c>
      <c r="F4921" s="79"/>
    </row>
    <row r="4922" spans="1:7">
      <c r="A4922" s="77">
        <f t="shared" ca="1" si="503"/>
        <v>46030</v>
      </c>
      <c r="B4922" s="80">
        <f t="shared" ca="1" si="504"/>
        <v>46030.055546064817</v>
      </c>
      <c r="C4922" s="76" t="s">
        <v>742</v>
      </c>
      <c r="D4922" s="76" t="s">
        <v>902</v>
      </c>
      <c r="E4922" s="79" t="s">
        <v>2980</v>
      </c>
      <c r="F4922" s="79"/>
    </row>
    <row r="4923" spans="1:7">
      <c r="A4923" s="77">
        <f t="shared" ca="1" si="503"/>
        <v>46030</v>
      </c>
      <c r="B4923" s="80">
        <f t="shared" ca="1" si="504"/>
        <v>46030.059209143517</v>
      </c>
      <c r="C4923" s="76" t="s">
        <v>742</v>
      </c>
      <c r="D4923" s="210" t="s">
        <v>922</v>
      </c>
      <c r="E4923" s="79" t="s">
        <v>2981</v>
      </c>
      <c r="F4923" s="79"/>
    </row>
    <row r="4924" spans="1:7">
      <c r="A4924" s="77">
        <f t="shared" ca="1" si="503"/>
        <v>46030</v>
      </c>
      <c r="B4924" s="80">
        <f t="shared" ca="1" si="504"/>
        <v>46030.063420601851</v>
      </c>
      <c r="C4924" s="76" t="s">
        <v>742</v>
      </c>
      <c r="D4924" s="210" t="s">
        <v>1098</v>
      </c>
      <c r="E4924" s="158" t="s">
        <v>2982</v>
      </c>
      <c r="F4924" s="79"/>
      <c r="G4924" s="164" t="s">
        <v>2983</v>
      </c>
    </row>
    <row r="4925" spans="1:7">
      <c r="A4925" s="77">
        <f t="shared" ca="1" si="503"/>
        <v>46030</v>
      </c>
      <c r="B4925" s="80">
        <f t="shared" ca="1" si="504"/>
        <v>46030.067448148147</v>
      </c>
      <c r="C4925" s="76" t="s">
        <v>746</v>
      </c>
      <c r="D4925" s="76" t="s">
        <v>902</v>
      </c>
      <c r="E4925" s="79" t="s">
        <v>2984</v>
      </c>
      <c r="F4925" s="79"/>
    </row>
    <row r="4926" spans="1:7">
      <c r="A4926" s="77">
        <f t="shared" ca="1" si="503"/>
        <v>46030</v>
      </c>
      <c r="B4926" s="80">
        <f t="shared" ca="1" si="504"/>
        <v>46030.139164930559</v>
      </c>
      <c r="C4926" s="76" t="s">
        <v>746</v>
      </c>
      <c r="D4926" s="210" t="s">
        <v>906</v>
      </c>
      <c r="E4926" s="79" t="s">
        <v>2985</v>
      </c>
      <c r="F4926" s="79"/>
    </row>
    <row r="4927" spans="1:7">
      <c r="A4927" s="77">
        <f t="shared" ca="1" si="503"/>
        <v>46030</v>
      </c>
      <c r="B4927" s="80">
        <f t="shared" ca="1" si="504"/>
        <v>46030.143587037041</v>
      </c>
      <c r="C4927" s="76" t="s">
        <v>746</v>
      </c>
      <c r="D4927" s="210" t="s">
        <v>909</v>
      </c>
      <c r="E4927" s="79"/>
      <c r="F4927" s="79"/>
    </row>
    <row r="4928" spans="1:7">
      <c r="A4928" s="77">
        <f t="shared" ca="1" si="503"/>
        <v>46030</v>
      </c>
      <c r="B4928" s="80">
        <f t="shared" ca="1" si="504"/>
        <v>46030.144948958332</v>
      </c>
      <c r="C4928" s="76" t="s">
        <v>746</v>
      </c>
      <c r="D4928" s="76" t="s">
        <v>902</v>
      </c>
      <c r="E4928" s="79" t="s">
        <v>2969</v>
      </c>
      <c r="F4928" s="79"/>
    </row>
    <row r="4929" spans="1:6">
      <c r="A4929" s="77">
        <f t="shared" ca="1" si="503"/>
        <v>46030</v>
      </c>
      <c r="B4929" s="80">
        <f t="shared" ca="1" si="504"/>
        <v>46030.148295370367</v>
      </c>
      <c r="C4929" s="76" t="s">
        <v>746</v>
      </c>
      <c r="D4929" s="76" t="s">
        <v>902</v>
      </c>
      <c r="E4929" s="79" t="s">
        <v>2956</v>
      </c>
      <c r="F4929" s="79"/>
    </row>
    <row r="4930" spans="1:6">
      <c r="A4930" s="77">
        <f t="shared" ca="1" si="503"/>
        <v>46030</v>
      </c>
      <c r="B4930" s="80">
        <f t="shared" ca="1" si="504"/>
        <v>46030.150060416665</v>
      </c>
      <c r="C4930" s="76" t="s">
        <v>746</v>
      </c>
      <c r="D4930" s="76" t="s">
        <v>902</v>
      </c>
      <c r="E4930" s="79" t="s">
        <v>2956</v>
      </c>
      <c r="F4930" s="79"/>
    </row>
    <row r="4931" spans="1:6">
      <c r="A4931" s="77">
        <f t="shared" ca="1" si="503"/>
        <v>46030</v>
      </c>
      <c r="B4931" s="80">
        <f t="shared" ca="1" si="504"/>
        <v>46030.169997569443</v>
      </c>
      <c r="C4931" s="76" t="s">
        <v>746</v>
      </c>
      <c r="D4931" s="76" t="s">
        <v>902</v>
      </c>
      <c r="E4931" s="79" t="s">
        <v>2986</v>
      </c>
      <c r="F4931" s="79"/>
    </row>
    <row r="4932" spans="1:6">
      <c r="A4932" s="77">
        <f t="shared" ca="1" si="503"/>
        <v>46030</v>
      </c>
      <c r="B4932" s="80">
        <f t="shared" ca="1" si="504"/>
        <v>46030.173566666665</v>
      </c>
      <c r="C4932" s="76" t="s">
        <v>746</v>
      </c>
      <c r="D4932" s="76" t="s">
        <v>902</v>
      </c>
      <c r="E4932" s="79" t="s">
        <v>1504</v>
      </c>
      <c r="F4932" s="79"/>
    </row>
    <row r="4933" spans="1:6">
      <c r="A4933" s="77">
        <f t="shared" ca="1" si="503"/>
        <v>46030</v>
      </c>
      <c r="B4933" s="80">
        <f t="shared" ca="1" si="504"/>
        <v>46030.189013425923</v>
      </c>
      <c r="C4933" s="76" t="s">
        <v>746</v>
      </c>
      <c r="D4933" s="76" t="s">
        <v>902</v>
      </c>
      <c r="E4933" s="79" t="s">
        <v>2987</v>
      </c>
      <c r="F4933" s="79"/>
    </row>
    <row r="4934" spans="1:6">
      <c r="A4934" s="77">
        <f t="shared" ca="1" si="503"/>
        <v>46030</v>
      </c>
      <c r="B4934" s="80">
        <f t="shared" ca="1" si="504"/>
        <v>46030.194284606485</v>
      </c>
      <c r="C4934" s="76" t="s">
        <v>746</v>
      </c>
      <c r="D4934" s="76" t="s">
        <v>902</v>
      </c>
      <c r="E4934" s="79" t="s">
        <v>2956</v>
      </c>
      <c r="F4934" s="79"/>
    </row>
    <row r="4935" spans="1:6">
      <c r="A4935" s="77">
        <f t="shared" ca="1" si="503"/>
        <v>46030</v>
      </c>
      <c r="B4935" s="80">
        <f t="shared" ca="1" si="504"/>
        <v>46030.196069212965</v>
      </c>
      <c r="C4935" s="76" t="s">
        <v>746</v>
      </c>
      <c r="D4935" s="76" t="s">
        <v>902</v>
      </c>
      <c r="E4935" s="79" t="s">
        <v>2956</v>
      </c>
      <c r="F4935" s="79"/>
    </row>
    <row r="4936" spans="1:6">
      <c r="A4936" s="77">
        <f t="shared" ca="1" si="503"/>
        <v>46030</v>
      </c>
      <c r="B4936" s="80">
        <f t="shared" ca="1" si="504"/>
        <v>46030.197763194446</v>
      </c>
      <c r="C4936" s="76" t="s">
        <v>746</v>
      </c>
      <c r="D4936" s="76" t="s">
        <v>902</v>
      </c>
      <c r="E4936" s="79" t="s">
        <v>2917</v>
      </c>
      <c r="F4936" s="79"/>
    </row>
    <row r="4937" spans="1:6">
      <c r="A4937" s="77">
        <f t="shared" ca="1" si="503"/>
        <v>46030</v>
      </c>
      <c r="B4937" s="80">
        <f t="shared" ca="1" si="504"/>
        <v>46030.2002474537</v>
      </c>
      <c r="C4937" s="157" t="s">
        <v>746</v>
      </c>
      <c r="D4937" s="76" t="s">
        <v>902</v>
      </c>
      <c r="E4937" s="79" t="s">
        <v>2988</v>
      </c>
      <c r="F4937" s="79"/>
    </row>
    <row r="4938" spans="1:6">
      <c r="A4938" s="77">
        <f t="shared" ca="1" si="503"/>
        <v>46030</v>
      </c>
      <c r="B4938" s="80">
        <f t="shared" ca="1" si="504"/>
        <v>46030.207969791663</v>
      </c>
      <c r="C4938" s="76" t="s">
        <v>746</v>
      </c>
      <c r="D4938" s="76" t="s">
        <v>902</v>
      </c>
      <c r="E4938" s="79" t="s">
        <v>2956</v>
      </c>
      <c r="F4938" s="79"/>
    </row>
    <row r="4939" spans="1:6">
      <c r="A4939" s="77">
        <f t="shared" ca="1" si="503"/>
        <v>46030</v>
      </c>
      <c r="B4939" s="80">
        <f t="shared" ca="1" si="504"/>
        <v>46030.21344363426</v>
      </c>
      <c r="C4939" s="76" t="s">
        <v>746</v>
      </c>
      <c r="D4939" s="76" t="s">
        <v>902</v>
      </c>
      <c r="E4939" s="79" t="s">
        <v>2988</v>
      </c>
      <c r="F4939" s="79"/>
    </row>
    <row r="4940" spans="1:6">
      <c r="A4940" s="77">
        <f t="shared" ca="1" si="503"/>
        <v>46030</v>
      </c>
      <c r="B4940" s="80">
        <f t="shared" ref="B4940:B4941" ca="1" si="505">IF(C4940&lt;&gt;0,IF(B4940=0,NOW(),B4940),)</f>
        <v>46030.215632638887</v>
      </c>
      <c r="C4940" s="76" t="s">
        <v>746</v>
      </c>
      <c r="D4940" s="76" t="s">
        <v>902</v>
      </c>
      <c r="E4940" s="79" t="s">
        <v>2988</v>
      </c>
      <c r="F4940" s="79"/>
    </row>
    <row r="4941" spans="1:6">
      <c r="A4941" s="77">
        <f t="shared" ca="1" si="503"/>
        <v>46030</v>
      </c>
      <c r="B4941" s="80">
        <f t="shared" ca="1" si="505"/>
        <v>46030.220149421293</v>
      </c>
      <c r="C4941" s="76" t="s">
        <v>746</v>
      </c>
      <c r="D4941" s="76" t="s">
        <v>902</v>
      </c>
      <c r="E4941" s="79" t="s">
        <v>1504</v>
      </c>
      <c r="F4941" s="79"/>
    </row>
    <row r="4942" spans="1:6">
      <c r="A4942" s="77">
        <f ca="1">IF(C4942&lt;&gt;0,IF(A4942=0,TODAY(),A4942),)</f>
        <v>46030</v>
      </c>
      <c r="B4942" s="80">
        <f ca="1">IF(C4942&lt;&gt;0,IF(B4942=0,NOW(),B4942),)</f>
        <v>46030.227932754628</v>
      </c>
      <c r="C4942" s="76" t="s">
        <v>746</v>
      </c>
      <c r="D4942" s="76" t="s">
        <v>902</v>
      </c>
      <c r="E4942" s="79" t="s">
        <v>1370</v>
      </c>
      <c r="F4942" s="79"/>
    </row>
    <row r="4943" spans="1:6">
      <c r="A4943" s="77">
        <f t="shared" ref="A4943:A4974" ca="1" si="506">IF(C4943&lt;&gt;0,IF(A4943=0,TODAY(),A4943),)</f>
        <v>46030</v>
      </c>
      <c r="B4943" s="80">
        <f t="shared" ref="B4943:B4974" ca="1" si="507">IF(C4943&lt;&gt;0,IF(B4943=0,NOW(),B4943),)</f>
        <v>46030.234940046299</v>
      </c>
      <c r="C4943" s="76" t="s">
        <v>746</v>
      </c>
      <c r="D4943" s="76" t="s">
        <v>902</v>
      </c>
      <c r="E4943" s="79" t="s">
        <v>2989</v>
      </c>
      <c r="F4943" s="79"/>
    </row>
    <row r="4944" spans="1:6">
      <c r="A4944" s="77">
        <f t="shared" ca="1" si="506"/>
        <v>46030</v>
      </c>
      <c r="B4944" s="80">
        <f t="shared" ca="1" si="507"/>
        <v>46030.239309722223</v>
      </c>
      <c r="C4944" s="76" t="s">
        <v>746</v>
      </c>
      <c r="D4944" s="76" t="s">
        <v>902</v>
      </c>
      <c r="E4944" s="79" t="s">
        <v>2988</v>
      </c>
      <c r="F4944" s="79"/>
    </row>
    <row r="4945" spans="1:7">
      <c r="A4945" s="77">
        <f t="shared" ca="1" si="506"/>
        <v>46030</v>
      </c>
      <c r="B4945" s="80">
        <f t="shared" ca="1" si="507"/>
        <v>46030.240691087965</v>
      </c>
      <c r="C4945" s="79" t="s">
        <v>746</v>
      </c>
      <c r="D4945" s="76" t="s">
        <v>902</v>
      </c>
      <c r="E4945" s="79" t="s">
        <v>1370</v>
      </c>
      <c r="F4945" s="79"/>
    </row>
    <row r="4946" spans="1:7">
      <c r="A4946" s="77">
        <f t="shared" ca="1" si="506"/>
        <v>46030</v>
      </c>
      <c r="B4946" s="80">
        <f t="shared" ca="1" si="507"/>
        <v>46030.246078587959</v>
      </c>
      <c r="C4946" s="76" t="s">
        <v>746</v>
      </c>
      <c r="D4946" s="76" t="s">
        <v>902</v>
      </c>
      <c r="E4946" s="79" t="s">
        <v>1370</v>
      </c>
      <c r="F4946" s="79"/>
    </row>
    <row r="4947" spans="1:7">
      <c r="A4947" s="77">
        <f t="shared" ca="1" si="506"/>
        <v>46030</v>
      </c>
      <c r="B4947" s="80">
        <f t="shared" ca="1" si="507"/>
        <v>46030.250564814814</v>
      </c>
      <c r="C4947" s="76" t="s">
        <v>746</v>
      </c>
      <c r="D4947" s="76" t="s">
        <v>902</v>
      </c>
      <c r="E4947" s="79" t="s">
        <v>2827</v>
      </c>
      <c r="F4947" s="79"/>
    </row>
    <row r="4948" spans="1:7">
      <c r="A4948" s="77">
        <f t="shared" ca="1" si="506"/>
        <v>46030</v>
      </c>
      <c r="B4948" s="80">
        <f t="shared" ca="1" si="507"/>
        <v>46030.252161111108</v>
      </c>
      <c r="C4948" s="76" t="s">
        <v>746</v>
      </c>
      <c r="D4948" s="76" t="s">
        <v>902</v>
      </c>
      <c r="E4948" s="79" t="s">
        <v>2956</v>
      </c>
      <c r="F4948" s="79"/>
    </row>
    <row r="4949" spans="1:7">
      <c r="A4949" s="77">
        <f t="shared" ca="1" si="506"/>
        <v>46030</v>
      </c>
      <c r="B4949" s="80">
        <f t="shared" ca="1" si="507"/>
        <v>46030.25719502315</v>
      </c>
      <c r="C4949" s="76" t="s">
        <v>746</v>
      </c>
      <c r="D4949" s="210" t="s">
        <v>922</v>
      </c>
      <c r="E4949" s="79"/>
      <c r="F4949" s="79"/>
    </row>
    <row r="4950" spans="1:7">
      <c r="A4950" s="77">
        <f t="shared" ca="1" si="506"/>
        <v>46030</v>
      </c>
      <c r="B4950" s="80">
        <v>0.29898148148148146</v>
      </c>
      <c r="C4950" s="76" t="s">
        <v>746</v>
      </c>
      <c r="D4950" s="210" t="s">
        <v>1098</v>
      </c>
      <c r="E4950" s="79"/>
      <c r="F4950" s="79"/>
      <c r="G4950" s="150" t="s">
        <v>2990</v>
      </c>
    </row>
    <row r="4951" spans="1:7">
      <c r="A4951" s="77">
        <f t="shared" ca="1" si="506"/>
        <v>46030</v>
      </c>
      <c r="B4951" s="80">
        <f t="shared" ca="1" si="507"/>
        <v>46030.4541994213</v>
      </c>
      <c r="C4951" s="76" t="s">
        <v>750</v>
      </c>
      <c r="D4951" s="210" t="s">
        <v>906</v>
      </c>
      <c r="E4951" s="79"/>
      <c r="F4951" s="79"/>
    </row>
    <row r="4952" spans="1:7">
      <c r="A4952" s="77">
        <f t="shared" ca="1" si="506"/>
        <v>46030</v>
      </c>
      <c r="B4952" s="80">
        <f t="shared" ca="1" si="507"/>
        <v>46030.520227893518</v>
      </c>
      <c r="C4952" s="76" t="s">
        <v>750</v>
      </c>
      <c r="D4952" s="210" t="s">
        <v>909</v>
      </c>
      <c r="E4952" s="79"/>
      <c r="F4952" s="79"/>
    </row>
    <row r="4953" spans="1:7">
      <c r="A4953" s="77">
        <f t="shared" ca="1" si="506"/>
        <v>46030</v>
      </c>
      <c r="B4953" s="80">
        <f t="shared" ca="1" si="507"/>
        <v>46030.521580439818</v>
      </c>
      <c r="C4953" s="76" t="s">
        <v>750</v>
      </c>
      <c r="D4953" s="76" t="s">
        <v>902</v>
      </c>
      <c r="E4953" s="79" t="s">
        <v>2991</v>
      </c>
      <c r="F4953" s="79"/>
    </row>
    <row r="4954" spans="1:7">
      <c r="A4954" s="77">
        <f t="shared" ca="1" si="506"/>
        <v>46030</v>
      </c>
      <c r="B4954" s="80">
        <f t="shared" ca="1" si="507"/>
        <v>46030.52454189815</v>
      </c>
      <c r="C4954" s="76" t="s">
        <v>750</v>
      </c>
      <c r="D4954" s="76" t="s">
        <v>902</v>
      </c>
      <c r="E4954" s="79" t="s">
        <v>2991</v>
      </c>
      <c r="F4954" s="79"/>
    </row>
    <row r="4955" spans="1:7">
      <c r="A4955" s="77">
        <f t="shared" ca="1" si="506"/>
        <v>46030</v>
      </c>
      <c r="B4955" s="80">
        <f t="shared" ca="1" si="507"/>
        <v>46030.537045717596</v>
      </c>
      <c r="C4955" s="76" t="s">
        <v>750</v>
      </c>
      <c r="D4955" s="76" t="s">
        <v>902</v>
      </c>
      <c r="E4955" s="79" t="s">
        <v>2992</v>
      </c>
      <c r="F4955" s="79"/>
    </row>
    <row r="4956" spans="1:7">
      <c r="A4956" s="77">
        <f t="shared" ca="1" si="506"/>
        <v>46030</v>
      </c>
      <c r="B4956" s="80">
        <f t="shared" ca="1" si="507"/>
        <v>46030.546962615743</v>
      </c>
      <c r="C4956" s="76" t="s">
        <v>750</v>
      </c>
      <c r="D4956" s="150" t="s">
        <v>1007</v>
      </c>
      <c r="E4956" s="79" t="s">
        <v>2993</v>
      </c>
      <c r="F4956" s="79"/>
      <c r="G4956" s="76" t="s">
        <v>2994</v>
      </c>
    </row>
    <row r="4957" spans="1:7">
      <c r="A4957" s="77">
        <f t="shared" ca="1" si="506"/>
        <v>46030</v>
      </c>
      <c r="B4957" s="80">
        <f t="shared" ca="1" si="507"/>
        <v>46030.555586342591</v>
      </c>
      <c r="C4957" s="76" t="s">
        <v>750</v>
      </c>
      <c r="D4957" s="76" t="s">
        <v>902</v>
      </c>
      <c r="E4957" s="79" t="s">
        <v>2991</v>
      </c>
      <c r="F4957" s="79"/>
    </row>
    <row r="4958" spans="1:7">
      <c r="A4958" s="77">
        <f t="shared" ca="1" si="506"/>
        <v>46030</v>
      </c>
      <c r="B4958" s="80">
        <f t="shared" ca="1" si="507"/>
        <v>46030.556715393519</v>
      </c>
      <c r="C4958" s="76" t="s">
        <v>750</v>
      </c>
      <c r="D4958" s="76" t="s">
        <v>902</v>
      </c>
      <c r="E4958" s="79" t="s">
        <v>1426</v>
      </c>
      <c r="F4958" s="79"/>
    </row>
    <row r="4959" spans="1:7">
      <c r="A4959" s="77">
        <f t="shared" ca="1" si="506"/>
        <v>46030</v>
      </c>
      <c r="B4959" s="80">
        <f t="shared" ca="1" si="507"/>
        <v>46030.55752303241</v>
      </c>
      <c r="C4959" s="76" t="s">
        <v>750</v>
      </c>
      <c r="D4959" s="76" t="s">
        <v>902</v>
      </c>
      <c r="E4959" s="79" t="s">
        <v>2991</v>
      </c>
      <c r="F4959" s="79"/>
    </row>
    <row r="4960" spans="1:7">
      <c r="A4960" s="77">
        <f t="shared" ca="1" si="506"/>
        <v>46030</v>
      </c>
      <c r="B4960" s="80">
        <f t="shared" ca="1" si="507"/>
        <v>46030.557858680557</v>
      </c>
      <c r="C4960" s="76" t="s">
        <v>750</v>
      </c>
      <c r="D4960" s="76" t="s">
        <v>902</v>
      </c>
      <c r="E4960" s="79" t="s">
        <v>2991</v>
      </c>
      <c r="F4960" s="79"/>
    </row>
    <row r="4961" spans="1:6">
      <c r="A4961" s="77">
        <f t="shared" ca="1" si="506"/>
        <v>46030</v>
      </c>
      <c r="B4961" s="80">
        <f t="shared" ca="1" si="507"/>
        <v>46030.558981134258</v>
      </c>
      <c r="C4961" s="76" t="s">
        <v>750</v>
      </c>
      <c r="D4961" s="76" t="s">
        <v>902</v>
      </c>
      <c r="E4961" s="79" t="s">
        <v>2991</v>
      </c>
      <c r="F4961" s="79"/>
    </row>
    <row r="4962" spans="1:6">
      <c r="A4962" s="77">
        <f t="shared" ca="1" si="506"/>
        <v>46030</v>
      </c>
      <c r="B4962" s="80">
        <f t="shared" ca="1" si="507"/>
        <v>46030.558981134258</v>
      </c>
      <c r="C4962" s="76" t="s">
        <v>750</v>
      </c>
      <c r="D4962" s="76" t="s">
        <v>902</v>
      </c>
      <c r="E4962" s="79" t="s">
        <v>2991</v>
      </c>
      <c r="F4962" s="79"/>
    </row>
    <row r="4963" spans="1:6">
      <c r="A4963" s="77">
        <f t="shared" ca="1" si="506"/>
        <v>46030</v>
      </c>
      <c r="B4963" s="80">
        <f t="shared" ca="1" si="507"/>
        <v>46030.561840856484</v>
      </c>
      <c r="C4963" s="76" t="s">
        <v>750</v>
      </c>
      <c r="D4963" s="76" t="s">
        <v>902</v>
      </c>
      <c r="E4963" s="79" t="s">
        <v>2991</v>
      </c>
      <c r="F4963" s="79"/>
    </row>
    <row r="4964" spans="1:6">
      <c r="A4964" s="77">
        <f t="shared" ca="1" si="506"/>
        <v>46030</v>
      </c>
      <c r="B4964" s="80">
        <f t="shared" ca="1" si="507"/>
        <v>46030.568330787035</v>
      </c>
      <c r="C4964" s="76" t="s">
        <v>750</v>
      </c>
      <c r="D4964" s="76" t="s">
        <v>902</v>
      </c>
      <c r="E4964" s="79" t="s">
        <v>2917</v>
      </c>
      <c r="F4964" s="79"/>
    </row>
    <row r="4965" spans="1:6">
      <c r="A4965" s="77">
        <f t="shared" ca="1" si="506"/>
        <v>46030</v>
      </c>
      <c r="B4965" s="80">
        <f t="shared" ca="1" si="507"/>
        <v>46030.573206250003</v>
      </c>
      <c r="C4965" s="76" t="s">
        <v>750</v>
      </c>
      <c r="D4965" s="76" t="s">
        <v>902</v>
      </c>
      <c r="E4965" s="79" t="s">
        <v>2995</v>
      </c>
      <c r="F4965" s="79"/>
    </row>
    <row r="4966" spans="1:6">
      <c r="A4966" s="77">
        <f t="shared" ca="1" si="506"/>
        <v>46030</v>
      </c>
      <c r="B4966" s="80">
        <f t="shared" ca="1" si="507"/>
        <v>46030.575901736112</v>
      </c>
      <c r="C4966" s="76" t="s">
        <v>750</v>
      </c>
      <c r="D4966" s="76" t="s">
        <v>902</v>
      </c>
      <c r="E4966" s="79" t="s">
        <v>2991</v>
      </c>
      <c r="F4966" s="79"/>
    </row>
    <row r="4967" spans="1:6">
      <c r="A4967" s="77">
        <f t="shared" ca="1" si="506"/>
        <v>46030</v>
      </c>
      <c r="B4967" s="80">
        <f t="shared" ca="1" si="507"/>
        <v>46030.580837615744</v>
      </c>
      <c r="C4967" s="76" t="s">
        <v>750</v>
      </c>
      <c r="D4967" s="76" t="s">
        <v>902</v>
      </c>
      <c r="E4967" s="79" t="s">
        <v>2991</v>
      </c>
      <c r="F4967" s="79"/>
    </row>
    <row r="4968" spans="1:6">
      <c r="A4968" s="77">
        <f t="shared" ca="1" si="506"/>
        <v>46030</v>
      </c>
      <c r="B4968" s="80">
        <f t="shared" ca="1" si="507"/>
        <v>46030.584253935187</v>
      </c>
      <c r="C4968" s="76" t="s">
        <v>750</v>
      </c>
      <c r="D4968" s="76" t="s">
        <v>902</v>
      </c>
      <c r="E4968" s="79" t="s">
        <v>1783</v>
      </c>
      <c r="F4968" s="79"/>
    </row>
    <row r="4969" spans="1:6">
      <c r="A4969" s="77">
        <f t="shared" ca="1" si="506"/>
        <v>46030</v>
      </c>
      <c r="B4969" s="80">
        <f t="shared" ca="1" si="507"/>
        <v>46030.590769212962</v>
      </c>
      <c r="C4969" s="76" t="s">
        <v>750</v>
      </c>
      <c r="D4969" s="76" t="s">
        <v>902</v>
      </c>
      <c r="E4969" s="79" t="s">
        <v>1783</v>
      </c>
      <c r="F4969" s="79"/>
    </row>
    <row r="4970" spans="1:6">
      <c r="A4970" s="77">
        <f t="shared" ca="1" si="506"/>
        <v>46030</v>
      </c>
      <c r="B4970" s="80">
        <f t="shared" ca="1" si="507"/>
        <v>46030.630286111111</v>
      </c>
      <c r="C4970" s="76" t="s">
        <v>750</v>
      </c>
      <c r="D4970" s="76" t="s">
        <v>902</v>
      </c>
      <c r="E4970" s="79" t="s">
        <v>2991</v>
      </c>
      <c r="F4970" s="79"/>
    </row>
    <row r="4971" spans="1:6">
      <c r="A4971" s="77">
        <f t="shared" ca="1" si="506"/>
        <v>46030</v>
      </c>
      <c r="B4971" s="80">
        <f t="shared" ca="1" si="507"/>
        <v>46030.644250694444</v>
      </c>
      <c r="C4971" s="76" t="s">
        <v>750</v>
      </c>
      <c r="D4971" s="76" t="s">
        <v>902</v>
      </c>
      <c r="E4971" s="79" t="s">
        <v>2991</v>
      </c>
      <c r="F4971" s="79"/>
    </row>
    <row r="4972" spans="1:6">
      <c r="A4972" s="77">
        <f t="shared" ca="1" si="506"/>
        <v>46030</v>
      </c>
      <c r="B4972" s="80">
        <f t="shared" ca="1" si="507"/>
        <v>46030.645315856484</v>
      </c>
      <c r="C4972" s="76" t="s">
        <v>750</v>
      </c>
      <c r="D4972" s="76" t="s">
        <v>902</v>
      </c>
      <c r="E4972" s="79" t="s">
        <v>2914</v>
      </c>
      <c r="F4972" s="79"/>
    </row>
    <row r="4973" spans="1:6">
      <c r="A4973" s="77">
        <f t="shared" ca="1" si="506"/>
        <v>46030</v>
      </c>
      <c r="B4973" s="80">
        <f t="shared" ca="1" si="507"/>
        <v>46030.662450000003</v>
      </c>
      <c r="C4973" s="76" t="s">
        <v>750</v>
      </c>
      <c r="D4973" s="76" t="s">
        <v>902</v>
      </c>
      <c r="E4973" s="79" t="s">
        <v>2996</v>
      </c>
      <c r="F4973" s="79"/>
    </row>
    <row r="4974" spans="1:6">
      <c r="A4974" s="77">
        <f t="shared" ca="1" si="506"/>
        <v>46030</v>
      </c>
      <c r="B4974" s="80">
        <f t="shared" ca="1" si="507"/>
        <v>46030.676004166664</v>
      </c>
      <c r="C4974" s="76" t="s">
        <v>750</v>
      </c>
      <c r="D4974" s="76" t="s">
        <v>902</v>
      </c>
      <c r="E4974" s="79" t="s">
        <v>2489</v>
      </c>
      <c r="F4974" s="79"/>
    </row>
    <row r="4975" spans="1:6">
      <c r="A4975" s="77">
        <f t="shared" ref="A4975:A5002" ca="1" si="508">IF(C4975&lt;&gt;0,IF(A4975=0,TODAY(),A4975),)</f>
        <v>46030</v>
      </c>
      <c r="B4975" s="80">
        <f t="shared" ref="B4975:B5002" ca="1" si="509">IF(C4975&lt;&gt;0,IF(B4975=0,NOW(),B4975),)</f>
        <v>46030.676753587963</v>
      </c>
      <c r="C4975" s="76" t="s">
        <v>750</v>
      </c>
      <c r="D4975" s="76" t="s">
        <v>902</v>
      </c>
      <c r="E4975" s="79" t="s">
        <v>2991</v>
      </c>
      <c r="F4975" s="79"/>
    </row>
    <row r="4976" spans="1:6">
      <c r="A4976" s="77">
        <f t="shared" ca="1" si="508"/>
        <v>46030</v>
      </c>
      <c r="B4976" s="80">
        <f t="shared" ca="1" si="509"/>
        <v>46030.680459374998</v>
      </c>
      <c r="C4976" s="76" t="s">
        <v>750</v>
      </c>
      <c r="D4976" s="210" t="s">
        <v>922</v>
      </c>
      <c r="E4976" s="79"/>
      <c r="F4976" s="79"/>
    </row>
    <row r="4977" spans="1:7">
      <c r="A4977" s="77">
        <f t="shared" ca="1" si="508"/>
        <v>46030</v>
      </c>
      <c r="B4977" s="80">
        <f t="shared" ca="1" si="509"/>
        <v>46030.723519444444</v>
      </c>
      <c r="C4977" s="76" t="s">
        <v>750</v>
      </c>
      <c r="D4977" s="210" t="s">
        <v>1098</v>
      </c>
      <c r="E4977" s="79"/>
      <c r="F4977" s="79"/>
      <c r="G4977" s="150" t="s">
        <v>2997</v>
      </c>
    </row>
    <row r="4978" spans="1:7">
      <c r="A4978" s="77">
        <f t="shared" ca="1" si="508"/>
        <v>46030</v>
      </c>
      <c r="B4978" s="80">
        <f t="shared" ca="1" si="509"/>
        <v>46030.783776620374</v>
      </c>
      <c r="C4978" s="76" t="s">
        <v>754</v>
      </c>
      <c r="D4978" s="210" t="s">
        <v>906</v>
      </c>
      <c r="E4978" s="79"/>
      <c r="F4978" s="79"/>
    </row>
    <row r="4979" spans="1:7">
      <c r="A4979" s="77">
        <f t="shared" ca="1" si="508"/>
        <v>46030</v>
      </c>
      <c r="B4979" s="80">
        <f t="shared" ca="1" si="509"/>
        <v>46030.831936805553</v>
      </c>
      <c r="C4979" s="76" t="s">
        <v>754</v>
      </c>
      <c r="D4979" s="210" t="s">
        <v>909</v>
      </c>
      <c r="E4979" s="79"/>
      <c r="F4979" s="79"/>
    </row>
    <row r="4980" spans="1:7">
      <c r="A4980" s="77">
        <f t="shared" ca="1" si="508"/>
        <v>46030</v>
      </c>
      <c r="B4980" s="80">
        <f t="shared" ca="1" si="509"/>
        <v>46030.83893391204</v>
      </c>
      <c r="C4980" s="76" t="s">
        <v>754</v>
      </c>
      <c r="D4980" s="76" t="s">
        <v>902</v>
      </c>
      <c r="E4980" s="79" t="s">
        <v>1346</v>
      </c>
      <c r="F4980" s="79"/>
    </row>
    <row r="4981" spans="1:7">
      <c r="A4981" s="77">
        <f t="shared" ca="1" si="508"/>
        <v>46030</v>
      </c>
      <c r="B4981" s="80">
        <f t="shared" ca="1" si="509"/>
        <v>46030.855282986115</v>
      </c>
      <c r="C4981" s="76" t="s">
        <v>754</v>
      </c>
      <c r="D4981" s="76" t="s">
        <v>902</v>
      </c>
      <c r="E4981" s="79" t="s">
        <v>2487</v>
      </c>
      <c r="F4981" s="79"/>
    </row>
    <row r="4982" spans="1:7">
      <c r="A4982" s="77">
        <f t="shared" ca="1" si="508"/>
        <v>46030</v>
      </c>
      <c r="B4982" s="80">
        <f t="shared" ca="1" si="509"/>
        <v>46030.859655902779</v>
      </c>
      <c r="C4982" s="76" t="s">
        <v>754</v>
      </c>
      <c r="D4982" s="76" t="s">
        <v>902</v>
      </c>
      <c r="E4982" s="79" t="s">
        <v>2998</v>
      </c>
      <c r="F4982" s="79"/>
    </row>
    <row r="4983" spans="1:7">
      <c r="A4983" s="77">
        <f t="shared" ca="1" si="508"/>
        <v>46030</v>
      </c>
      <c r="B4983" s="80">
        <f t="shared" ca="1" si="509"/>
        <v>46030.86479039352</v>
      </c>
      <c r="C4983" s="76" t="s">
        <v>754</v>
      </c>
      <c r="D4983" s="76" t="s">
        <v>902</v>
      </c>
      <c r="E4983" s="79" t="s">
        <v>2999</v>
      </c>
      <c r="F4983" s="79"/>
    </row>
    <row r="4984" spans="1:7">
      <c r="A4984" s="77">
        <f t="shared" ca="1" si="508"/>
        <v>46030</v>
      </c>
      <c r="B4984" s="80">
        <f t="shared" ca="1" si="509"/>
        <v>46030.873864004629</v>
      </c>
      <c r="C4984" s="76" t="s">
        <v>754</v>
      </c>
      <c r="D4984" s="76" t="s">
        <v>902</v>
      </c>
      <c r="E4984" s="160" t="s">
        <v>2027</v>
      </c>
      <c r="F4984" s="79"/>
    </row>
    <row r="4985" spans="1:7">
      <c r="A4985" s="77">
        <f t="shared" ca="1" si="508"/>
        <v>46030</v>
      </c>
      <c r="B4985" s="80">
        <f t="shared" ca="1" si="509"/>
        <v>46030.881764930557</v>
      </c>
      <c r="C4985" s="76" t="s">
        <v>754</v>
      </c>
      <c r="D4985" s="76" t="s">
        <v>902</v>
      </c>
      <c r="E4985" s="79" t="s">
        <v>3000</v>
      </c>
      <c r="F4985" s="79"/>
    </row>
    <row r="4986" spans="1:7">
      <c r="A4986" s="77">
        <f t="shared" ca="1" si="508"/>
        <v>46030</v>
      </c>
      <c r="B4986" s="80">
        <f t="shared" ca="1" si="509"/>
        <v>46030.885878819441</v>
      </c>
      <c r="C4986" s="76" t="s">
        <v>754</v>
      </c>
      <c r="D4986" s="76" t="s">
        <v>902</v>
      </c>
      <c r="E4986" s="79" t="s">
        <v>2487</v>
      </c>
      <c r="F4986" s="79"/>
    </row>
    <row r="4987" spans="1:7">
      <c r="A4987" s="77">
        <f t="shared" ca="1" si="508"/>
        <v>46030</v>
      </c>
      <c r="B4987" s="80">
        <f t="shared" ca="1" si="509"/>
        <v>46030.890371643516</v>
      </c>
      <c r="C4987" s="76" t="s">
        <v>754</v>
      </c>
      <c r="D4987" s="76" t="s">
        <v>902</v>
      </c>
      <c r="E4987" s="79" t="s">
        <v>3001</v>
      </c>
      <c r="F4987" s="79"/>
    </row>
    <row r="4988" spans="1:7">
      <c r="A4988" s="77">
        <f t="shared" ca="1" si="508"/>
        <v>46030</v>
      </c>
      <c r="B4988" s="80">
        <f t="shared" ca="1" si="509"/>
        <v>46030.89108854167</v>
      </c>
      <c r="C4988" s="76" t="s">
        <v>754</v>
      </c>
      <c r="D4988" s="76" t="s">
        <v>902</v>
      </c>
      <c r="E4988" s="79" t="s">
        <v>3002</v>
      </c>
      <c r="F4988" s="79"/>
    </row>
    <row r="4989" spans="1:7">
      <c r="A4989" s="77">
        <f t="shared" ca="1" si="508"/>
        <v>46030</v>
      </c>
      <c r="B4989" s="80">
        <f t="shared" ca="1" si="509"/>
        <v>46030.891907291669</v>
      </c>
      <c r="C4989" s="76" t="s">
        <v>754</v>
      </c>
      <c r="D4989" s="76" t="s">
        <v>902</v>
      </c>
      <c r="E4989" s="79" t="s">
        <v>3003</v>
      </c>
      <c r="F4989" s="79"/>
    </row>
    <row r="4990" spans="1:7">
      <c r="A4990" s="77">
        <f t="shared" ca="1" si="508"/>
        <v>46030</v>
      </c>
      <c r="B4990" s="80">
        <f t="shared" ca="1" si="509"/>
        <v>46030.891983217596</v>
      </c>
      <c r="C4990" s="76" t="s">
        <v>754</v>
      </c>
      <c r="D4990" s="76" t="s">
        <v>902</v>
      </c>
      <c r="E4990" s="79" t="s">
        <v>3004</v>
      </c>
      <c r="F4990" s="79"/>
    </row>
    <row r="4991" spans="1:7">
      <c r="A4991" s="77">
        <f t="shared" ca="1" si="508"/>
        <v>46030</v>
      </c>
      <c r="B4991" s="80">
        <f t="shared" ca="1" si="509"/>
        <v>46030.894670023146</v>
      </c>
      <c r="C4991" s="76" t="s">
        <v>754</v>
      </c>
      <c r="D4991" s="76" t="s">
        <v>902</v>
      </c>
      <c r="E4991" s="79" t="s">
        <v>2487</v>
      </c>
      <c r="F4991" s="79"/>
    </row>
    <row r="4992" spans="1:7">
      <c r="A4992" s="77">
        <f t="shared" ca="1" si="508"/>
        <v>46030</v>
      </c>
      <c r="B4992" s="80">
        <f t="shared" ca="1" si="509"/>
        <v>46030.904815046299</v>
      </c>
      <c r="C4992" s="76" t="s">
        <v>754</v>
      </c>
      <c r="D4992" s="76" t="s">
        <v>902</v>
      </c>
      <c r="E4992" s="79" t="s">
        <v>2999</v>
      </c>
      <c r="F4992" s="79"/>
    </row>
    <row r="4993" spans="1:7">
      <c r="A4993" s="77">
        <f t="shared" ca="1" si="508"/>
        <v>46030</v>
      </c>
      <c r="B4993" s="80">
        <f t="shared" ca="1" si="509"/>
        <v>46030.911914236109</v>
      </c>
      <c r="C4993" s="76" t="s">
        <v>754</v>
      </c>
      <c r="D4993" s="76" t="s">
        <v>902</v>
      </c>
      <c r="E4993" s="79" t="s">
        <v>3005</v>
      </c>
      <c r="F4993" s="79"/>
    </row>
    <row r="4994" spans="1:7">
      <c r="A4994" s="77">
        <f t="shared" ca="1" si="508"/>
        <v>46030</v>
      </c>
      <c r="B4994" s="80">
        <f t="shared" ca="1" si="509"/>
        <v>46030.915422569444</v>
      </c>
      <c r="C4994" s="76" t="s">
        <v>754</v>
      </c>
      <c r="D4994" s="76" t="s">
        <v>902</v>
      </c>
      <c r="E4994" s="79" t="s">
        <v>3006</v>
      </c>
      <c r="F4994" s="79"/>
    </row>
    <row r="4995" spans="1:7">
      <c r="A4995" s="77">
        <f t="shared" ca="1" si="508"/>
        <v>46030</v>
      </c>
      <c r="B4995" s="80">
        <f t="shared" ca="1" si="509"/>
        <v>46030.918985300923</v>
      </c>
      <c r="C4995" s="76" t="s">
        <v>754</v>
      </c>
      <c r="D4995" s="210" t="s">
        <v>922</v>
      </c>
      <c r="E4995" s="79"/>
      <c r="F4995" s="79"/>
    </row>
    <row r="4996" spans="1:7">
      <c r="A4996" s="77">
        <f t="shared" ca="1" si="508"/>
        <v>46030</v>
      </c>
      <c r="B4996" s="80">
        <v>0.95613425925925921</v>
      </c>
      <c r="C4996" s="76" t="s">
        <v>754</v>
      </c>
      <c r="D4996" s="210" t="s">
        <v>1098</v>
      </c>
      <c r="E4996" s="79"/>
      <c r="F4996" s="79"/>
      <c r="G4996" s="158" t="s">
        <v>3007</v>
      </c>
    </row>
    <row r="4997" spans="1:7">
      <c r="A4997" s="77">
        <f t="shared" ca="1" si="508"/>
        <v>46030</v>
      </c>
      <c r="B4997" s="80">
        <f t="shared" ca="1" si="509"/>
        <v>46030.99960185185</v>
      </c>
      <c r="C4997" s="76" t="s">
        <v>758</v>
      </c>
      <c r="D4997" s="210" t="s">
        <v>906</v>
      </c>
      <c r="E4997" s="79"/>
      <c r="F4997" s="79"/>
    </row>
    <row r="4998" spans="1:7">
      <c r="A4998" s="77">
        <f t="shared" ca="1" si="508"/>
        <v>46031</v>
      </c>
      <c r="B4998" s="80">
        <f t="shared" ca="1" si="509"/>
        <v>46031.069916203705</v>
      </c>
      <c r="C4998" s="76" t="s">
        <v>758</v>
      </c>
      <c r="D4998" s="210" t="s">
        <v>909</v>
      </c>
      <c r="E4998" s="79"/>
      <c r="F4998" s="79"/>
    </row>
    <row r="4999" spans="1:7">
      <c r="A4999" s="77">
        <f t="shared" ca="1" si="508"/>
        <v>46031</v>
      </c>
      <c r="B4999" s="80">
        <f t="shared" ca="1" si="509"/>
        <v>46031.071398842592</v>
      </c>
      <c r="C4999" s="76" t="s">
        <v>758</v>
      </c>
      <c r="D4999" s="76" t="s">
        <v>902</v>
      </c>
      <c r="E4999" s="79" t="s">
        <v>980</v>
      </c>
      <c r="F4999" s="79"/>
    </row>
    <row r="5000" spans="1:7">
      <c r="A5000" s="77">
        <f t="shared" ca="1" si="508"/>
        <v>46031</v>
      </c>
      <c r="B5000" s="80">
        <f t="shared" ca="1" si="509"/>
        <v>46031.075931134263</v>
      </c>
      <c r="C5000" s="76" t="s">
        <v>758</v>
      </c>
      <c r="D5000" s="76" t="s">
        <v>902</v>
      </c>
      <c r="E5000" s="79" t="s">
        <v>2487</v>
      </c>
      <c r="F5000" s="79"/>
    </row>
    <row r="5001" spans="1:7">
      <c r="A5001" s="77">
        <f t="shared" ca="1" si="508"/>
        <v>46031</v>
      </c>
      <c r="B5001" s="80">
        <f t="shared" ca="1" si="509"/>
        <v>46031.077055324073</v>
      </c>
      <c r="C5001" s="76" t="s">
        <v>758</v>
      </c>
      <c r="D5001" s="76" t="s">
        <v>902</v>
      </c>
      <c r="E5001" s="79" t="s">
        <v>3008</v>
      </c>
      <c r="F5001" s="79"/>
    </row>
    <row r="5002" spans="1:7">
      <c r="A5002" s="77">
        <f t="shared" ca="1" si="508"/>
        <v>46031</v>
      </c>
      <c r="B5002" s="80">
        <f t="shared" ca="1" si="509"/>
        <v>46031.084359606481</v>
      </c>
      <c r="C5002" s="76" t="s">
        <v>758</v>
      </c>
      <c r="D5002" s="76" t="s">
        <v>902</v>
      </c>
      <c r="E5002" s="79" t="s">
        <v>1493</v>
      </c>
      <c r="F5002" s="79"/>
    </row>
    <row r="5003" spans="1:7">
      <c r="A5003" s="77">
        <f t="shared" ref="A5003:A5024" ca="1" si="510">IF(C5003&lt;&gt;0,IF(A5003=0,TODAY(),A5003),)</f>
        <v>46031</v>
      </c>
      <c r="B5003" s="80">
        <f t="shared" ref="B5003:B5024" ca="1" si="511">IF(C5003&lt;&gt;0,IF(B5003=0,NOW(),B5003),)</f>
        <v>46031.088794791664</v>
      </c>
      <c r="C5003" s="76" t="s">
        <v>758</v>
      </c>
      <c r="D5003" s="76" t="s">
        <v>902</v>
      </c>
      <c r="E5003" s="79" t="s">
        <v>3009</v>
      </c>
      <c r="F5003" s="79"/>
    </row>
    <row r="5004" spans="1:7">
      <c r="A5004" s="77">
        <f t="shared" ca="1" si="510"/>
        <v>46031</v>
      </c>
      <c r="B5004" s="80">
        <f t="shared" ca="1" si="511"/>
        <v>46031.091185879632</v>
      </c>
      <c r="C5004" s="76" t="s">
        <v>758</v>
      </c>
      <c r="D5004" s="76" t="s">
        <v>902</v>
      </c>
      <c r="E5004" s="79" t="s">
        <v>3008</v>
      </c>
      <c r="F5004" s="79"/>
    </row>
    <row r="5005" spans="1:7">
      <c r="A5005" s="77">
        <f t="shared" ca="1" si="510"/>
        <v>46031</v>
      </c>
      <c r="B5005" s="80">
        <f t="shared" ca="1" si="511"/>
        <v>46031.09425185185</v>
      </c>
      <c r="C5005" s="79" t="s">
        <v>758</v>
      </c>
      <c r="D5005" s="76" t="s">
        <v>902</v>
      </c>
      <c r="E5005" s="79" t="s">
        <v>3010</v>
      </c>
      <c r="F5005" s="79"/>
    </row>
    <row r="5006" spans="1:7">
      <c r="A5006" s="77">
        <f t="shared" ca="1" si="510"/>
        <v>46031</v>
      </c>
      <c r="B5006" s="80">
        <f t="shared" ca="1" si="511"/>
        <v>46031.095454861112</v>
      </c>
      <c r="C5006" s="76" t="s">
        <v>758</v>
      </c>
      <c r="D5006" s="76" t="s">
        <v>902</v>
      </c>
      <c r="E5006" s="79" t="s">
        <v>3011</v>
      </c>
      <c r="F5006" s="79"/>
    </row>
    <row r="5007" spans="1:7">
      <c r="A5007" s="77">
        <f t="shared" ca="1" si="510"/>
        <v>46031</v>
      </c>
      <c r="B5007" s="80">
        <f t="shared" ca="1" si="511"/>
        <v>46031.105722337961</v>
      </c>
      <c r="C5007" s="76" t="s">
        <v>758</v>
      </c>
      <c r="D5007" s="76" t="s">
        <v>902</v>
      </c>
      <c r="E5007" s="79" t="s">
        <v>2955</v>
      </c>
      <c r="F5007" s="79"/>
    </row>
    <row r="5008" spans="1:7">
      <c r="A5008" s="77">
        <f t="shared" ca="1" si="510"/>
        <v>46031</v>
      </c>
      <c r="B5008" s="80">
        <f t="shared" ca="1" si="511"/>
        <v>46031.11150752315</v>
      </c>
      <c r="C5008" s="76" t="s">
        <v>758</v>
      </c>
      <c r="D5008" s="76" t="s">
        <v>902</v>
      </c>
      <c r="E5008" s="79" t="s">
        <v>1493</v>
      </c>
      <c r="F5008" s="79"/>
    </row>
    <row r="5009" spans="1:6">
      <c r="A5009" s="77">
        <f t="shared" ca="1" si="510"/>
        <v>46031</v>
      </c>
      <c r="B5009" s="80">
        <f t="shared" ca="1" si="511"/>
        <v>46031.113697106484</v>
      </c>
      <c r="C5009" s="76" t="s">
        <v>758</v>
      </c>
      <c r="D5009" s="76" t="s">
        <v>902</v>
      </c>
      <c r="E5009" s="79" t="s">
        <v>3012</v>
      </c>
      <c r="F5009" s="79"/>
    </row>
    <row r="5010" spans="1:6">
      <c r="A5010" s="77">
        <f t="shared" ca="1" si="510"/>
        <v>46031</v>
      </c>
      <c r="B5010" s="80">
        <f t="shared" ca="1" si="511"/>
        <v>46031.113723726849</v>
      </c>
      <c r="C5010" s="76" t="s">
        <v>758</v>
      </c>
      <c r="D5010" s="76" t="s">
        <v>902</v>
      </c>
      <c r="E5010" s="79" t="s">
        <v>2487</v>
      </c>
      <c r="F5010" s="79"/>
    </row>
    <row r="5011" spans="1:6">
      <c r="A5011" s="77">
        <f t="shared" ca="1" si="510"/>
        <v>46031</v>
      </c>
      <c r="B5011" s="80">
        <f t="shared" ca="1" si="511"/>
        <v>46031.116491319444</v>
      </c>
      <c r="C5011" s="76" t="s">
        <v>758</v>
      </c>
      <c r="D5011" s="76" t="s">
        <v>902</v>
      </c>
      <c r="E5011" s="79" t="s">
        <v>3013</v>
      </c>
      <c r="F5011" s="79"/>
    </row>
    <row r="5012" spans="1:6">
      <c r="A5012" s="77">
        <f t="shared" ca="1" si="510"/>
        <v>46031</v>
      </c>
      <c r="B5012" s="80">
        <f t="shared" ca="1" si="511"/>
        <v>46031.121889004629</v>
      </c>
      <c r="C5012" s="76" t="s">
        <v>758</v>
      </c>
      <c r="D5012" s="76" t="s">
        <v>902</v>
      </c>
      <c r="E5012" s="79" t="s">
        <v>911</v>
      </c>
      <c r="F5012" s="79" t="s">
        <v>911</v>
      </c>
    </row>
    <row r="5013" spans="1:6">
      <c r="A5013" s="77">
        <f t="shared" ca="1" si="510"/>
        <v>46031</v>
      </c>
      <c r="B5013" s="80">
        <f t="shared" ca="1" si="511"/>
        <v>46031.123474537038</v>
      </c>
      <c r="C5013" s="79" t="s">
        <v>758</v>
      </c>
      <c r="D5013" s="76" t="s">
        <v>902</v>
      </c>
      <c r="E5013" s="79" t="s">
        <v>2162</v>
      </c>
      <c r="F5013" s="79"/>
    </row>
    <row r="5014" spans="1:6">
      <c r="A5014" s="77">
        <f t="shared" ca="1" si="510"/>
        <v>46031</v>
      </c>
      <c r="B5014" s="80">
        <f t="shared" ca="1" si="511"/>
        <v>46031.124762384257</v>
      </c>
      <c r="C5014" s="76" t="s">
        <v>758</v>
      </c>
      <c r="D5014" s="76" t="s">
        <v>902</v>
      </c>
      <c r="E5014" s="79" t="s">
        <v>2162</v>
      </c>
      <c r="F5014" s="79"/>
    </row>
    <row r="5015" spans="1:6">
      <c r="A5015" s="77">
        <f t="shared" ca="1" si="510"/>
        <v>46031</v>
      </c>
      <c r="B5015" s="80">
        <f t="shared" ca="1" si="511"/>
        <v>46031.125067129629</v>
      </c>
      <c r="C5015" s="76" t="s">
        <v>758</v>
      </c>
      <c r="D5015" s="76" t="s">
        <v>902</v>
      </c>
      <c r="E5015" s="79" t="s">
        <v>1370</v>
      </c>
      <c r="F5015" s="79"/>
    </row>
    <row r="5016" spans="1:6">
      <c r="A5016" s="77">
        <f t="shared" ca="1" si="510"/>
        <v>46031</v>
      </c>
      <c r="B5016" s="80">
        <f t="shared" ca="1" si="511"/>
        <v>46031.128873842594</v>
      </c>
      <c r="C5016" s="76" t="s">
        <v>758</v>
      </c>
      <c r="D5016" s="76" t="s">
        <v>902</v>
      </c>
      <c r="E5016" s="79" t="s">
        <v>911</v>
      </c>
      <c r="F5016" s="79" t="s">
        <v>911</v>
      </c>
    </row>
    <row r="5017" spans="1:6">
      <c r="A5017" s="77">
        <f t="shared" ca="1" si="510"/>
        <v>46031</v>
      </c>
      <c r="B5017" s="80">
        <f t="shared" ca="1" si="511"/>
        <v>46031.130416898151</v>
      </c>
      <c r="C5017" s="76" t="s">
        <v>758</v>
      </c>
      <c r="D5017" s="76" t="s">
        <v>902</v>
      </c>
      <c r="E5017" s="79" t="s">
        <v>2956</v>
      </c>
      <c r="F5017" s="79"/>
    </row>
    <row r="5018" spans="1:6">
      <c r="A5018" s="77">
        <f t="shared" ca="1" si="510"/>
        <v>46031</v>
      </c>
      <c r="B5018" s="80">
        <f t="shared" ca="1" si="511"/>
        <v>46031.136365740742</v>
      </c>
      <c r="C5018" s="76" t="s">
        <v>758</v>
      </c>
      <c r="D5018" s="76" t="s">
        <v>902</v>
      </c>
      <c r="E5018" s="79" t="s">
        <v>1493</v>
      </c>
      <c r="F5018" s="79"/>
    </row>
    <row r="5019" spans="1:6">
      <c r="A5019" s="77">
        <f t="shared" ca="1" si="510"/>
        <v>46031</v>
      </c>
      <c r="B5019" s="80">
        <f t="shared" ca="1" si="511"/>
        <v>46031.138435069442</v>
      </c>
      <c r="C5019" s="76" t="s">
        <v>758</v>
      </c>
      <c r="D5019" s="76" t="s">
        <v>902</v>
      </c>
      <c r="E5019" s="79" t="s">
        <v>2956</v>
      </c>
      <c r="F5019" s="79"/>
    </row>
    <row r="5020" spans="1:6">
      <c r="A5020" s="77">
        <f t="shared" ca="1" si="510"/>
        <v>46031</v>
      </c>
      <c r="B5020" s="80">
        <f t="shared" ca="1" si="511"/>
        <v>46031.142013425924</v>
      </c>
      <c r="C5020" s="76" t="s">
        <v>758</v>
      </c>
      <c r="D5020" s="76" t="s">
        <v>902</v>
      </c>
      <c r="E5020" s="79" t="s">
        <v>3012</v>
      </c>
      <c r="F5020" s="79"/>
    </row>
    <row r="5021" spans="1:6">
      <c r="A5021" s="77">
        <f t="shared" ca="1" si="510"/>
        <v>46031</v>
      </c>
      <c r="B5021" s="80">
        <f t="shared" ca="1" si="511"/>
        <v>46031.142992361114</v>
      </c>
      <c r="C5021" s="76" t="s">
        <v>758</v>
      </c>
      <c r="D5021" s="76" t="s">
        <v>902</v>
      </c>
      <c r="E5021" s="79" t="s">
        <v>2827</v>
      </c>
      <c r="F5021" s="79"/>
    </row>
    <row r="5022" spans="1:6">
      <c r="A5022" s="77">
        <f t="shared" ca="1" si="510"/>
        <v>46031</v>
      </c>
      <c r="B5022" s="80">
        <f t="shared" ca="1" si="511"/>
        <v>46031.159124305559</v>
      </c>
      <c r="C5022" s="76" t="s">
        <v>758</v>
      </c>
      <c r="D5022" s="76" t="s">
        <v>902</v>
      </c>
      <c r="E5022" s="79" t="s">
        <v>2956</v>
      </c>
      <c r="F5022" s="79"/>
    </row>
    <row r="5023" spans="1:6">
      <c r="A5023" s="77">
        <f t="shared" ca="1" si="510"/>
        <v>46031</v>
      </c>
      <c r="B5023" s="80">
        <f t="shared" ca="1" si="511"/>
        <v>46031.166765277776</v>
      </c>
      <c r="C5023" s="76" t="s">
        <v>758</v>
      </c>
      <c r="D5023" s="76" t="s">
        <v>902</v>
      </c>
      <c r="E5023" s="79" t="s">
        <v>3014</v>
      </c>
      <c r="F5023" s="79" t="s">
        <v>3015</v>
      </c>
    </row>
    <row r="5024" spans="1:6">
      <c r="A5024" s="77">
        <f t="shared" ca="1" si="510"/>
        <v>46031</v>
      </c>
      <c r="B5024" s="80">
        <f t="shared" ca="1" si="511"/>
        <v>46031.168494097219</v>
      </c>
      <c r="C5024" s="76" t="s">
        <v>758</v>
      </c>
      <c r="D5024" s="210" t="s">
        <v>922</v>
      </c>
      <c r="E5024" s="79"/>
      <c r="F5024" s="79"/>
    </row>
    <row r="5025" spans="1:6">
      <c r="A5025" s="77">
        <f ca="1">IF(C5025&lt;&gt;0,IF(A5025=0,TODAY(),A5025),)</f>
        <v>46031</v>
      </c>
      <c r="B5025" s="80">
        <f ca="1">IF(C5025&lt;&gt;0,IF(B5025=0,NOW(),B5025),)</f>
        <v>46031.205397337966</v>
      </c>
      <c r="C5025" s="79" t="s">
        <v>758</v>
      </c>
      <c r="D5025" s="210" t="s">
        <v>1098</v>
      </c>
      <c r="E5025" s="79" t="s">
        <v>3016</v>
      </c>
      <c r="F5025" s="79"/>
    </row>
    <row r="5026" spans="1:6">
      <c r="A5026" s="77">
        <v>46031</v>
      </c>
      <c r="B5026" s="80">
        <f ca="1">IF(C5026&lt;&gt;0,IF(B5026=0,NOW(),B5026),)</f>
        <v>46031.253179050924</v>
      </c>
      <c r="C5026" s="76" t="s">
        <v>762</v>
      </c>
      <c r="D5026" s="210" t="s">
        <v>906</v>
      </c>
      <c r="E5026" s="79"/>
      <c r="F5026" s="79"/>
    </row>
    <row r="5027" spans="1:6">
      <c r="A5027" s="77">
        <f ca="1">IF(C5027&lt;&gt;0,IF(A5027=0,TODAY(),A5027),)</f>
        <v>46031</v>
      </c>
      <c r="B5027" s="80">
        <f ca="1">IF(C5027&lt;&gt;0,IF(B5027=0,NOW(),B5027),)</f>
        <v>46031.322484837961</v>
      </c>
      <c r="C5027" s="76" t="s">
        <v>762</v>
      </c>
      <c r="D5027" s="210" t="s">
        <v>909</v>
      </c>
      <c r="E5027" s="79"/>
      <c r="F5027" s="79"/>
    </row>
    <row r="5028" spans="1:6">
      <c r="A5028" s="77">
        <f ca="1">IF(C5028&lt;&gt;0,IF(A5028=0,TODAY(),A5028),)</f>
        <v>46031</v>
      </c>
      <c r="B5028" s="80">
        <f ca="1">IF(C5028&lt;&gt;0,IF(B5028=0,NOW(),B5028),)</f>
        <v>46031.326388194444</v>
      </c>
      <c r="C5028" s="76" t="s">
        <v>762</v>
      </c>
      <c r="D5028" s="76" t="s">
        <v>902</v>
      </c>
      <c r="E5028" s="79" t="s">
        <v>2991</v>
      </c>
      <c r="F5028" s="79"/>
    </row>
    <row r="5029" spans="1:6">
      <c r="A5029" s="77">
        <f t="shared" ref="A5029:A5031" ca="1" si="512">IF(C5029&lt;&gt;0,IF(A5029=0,TODAY(),A5029),)</f>
        <v>46031</v>
      </c>
      <c r="B5029" s="80">
        <f t="shared" ref="B5029:B5031" ca="1" si="513">IF(C5029&lt;&gt;0,IF(B5029=0,NOW(),B5029),)</f>
        <v>46031.330722453706</v>
      </c>
      <c r="C5029" s="76" t="s">
        <v>762</v>
      </c>
      <c r="D5029" s="76" t="s">
        <v>902</v>
      </c>
      <c r="E5029" s="79" t="s">
        <v>2991</v>
      </c>
      <c r="F5029" s="79"/>
    </row>
    <row r="5030" spans="1:6">
      <c r="A5030" s="77">
        <f t="shared" ca="1" si="512"/>
        <v>46031</v>
      </c>
      <c r="B5030" s="80">
        <f t="shared" ca="1" si="513"/>
        <v>46031.334542013887</v>
      </c>
      <c r="C5030" s="76" t="s">
        <v>762</v>
      </c>
      <c r="D5030" s="76" t="s">
        <v>902</v>
      </c>
      <c r="E5030" s="79" t="s">
        <v>3017</v>
      </c>
      <c r="F5030" s="79"/>
    </row>
    <row r="5031" spans="1:6">
      <c r="A5031" s="77">
        <f t="shared" ca="1" si="512"/>
        <v>46031</v>
      </c>
      <c r="B5031" s="80">
        <f t="shared" ca="1" si="513"/>
        <v>46031.342475925929</v>
      </c>
      <c r="C5031" s="76" t="s">
        <v>762</v>
      </c>
      <c r="D5031" s="76" t="s">
        <v>902</v>
      </c>
      <c r="E5031" s="79" t="s">
        <v>2991</v>
      </c>
      <c r="F5031" s="79"/>
    </row>
    <row r="5032" spans="1:6">
      <c r="A5032" s="77">
        <f ca="1">IF(C5032&lt;&gt;0,IF(A5032=0,TODAY(),A5032),)</f>
        <v>46031</v>
      </c>
      <c r="B5032" s="80">
        <f t="shared" ref="B5032:B5036" ca="1" si="514">IF(C5032&lt;&gt;0,IF(B5032=0,NOW(),B5032),)</f>
        <v>46031.362627199072</v>
      </c>
      <c r="C5032" s="76" t="s">
        <v>762</v>
      </c>
      <c r="D5032" s="76" t="s">
        <v>902</v>
      </c>
      <c r="E5032" s="79" t="s">
        <v>932</v>
      </c>
      <c r="F5032" s="79"/>
    </row>
    <row r="5033" spans="1:6">
      <c r="A5033" s="77">
        <f ca="1">IF(C5033&lt;&gt;0,IF(A5033=0,TODAY(),A5033),)</f>
        <v>46031</v>
      </c>
      <c r="B5033" s="80">
        <f t="shared" ca="1" si="514"/>
        <v>46031.365201157409</v>
      </c>
      <c r="C5033" s="76" t="s">
        <v>762</v>
      </c>
      <c r="D5033" s="76" t="s">
        <v>902</v>
      </c>
      <c r="E5033" s="79" t="s">
        <v>932</v>
      </c>
      <c r="F5033" s="79"/>
    </row>
    <row r="5034" spans="1:6">
      <c r="A5034" s="77">
        <f t="shared" ref="A5034:A5043" ca="1" si="515">IF(C5034&lt;&gt;0,IF(A5034=0,TODAY(),A5034),)</f>
        <v>46031</v>
      </c>
      <c r="B5034" s="80">
        <f t="shared" ca="1" si="514"/>
        <v>46031.366157291668</v>
      </c>
      <c r="C5034" s="76" t="s">
        <v>762</v>
      </c>
      <c r="D5034" s="76" t="s">
        <v>902</v>
      </c>
      <c r="E5034" s="79" t="s">
        <v>3018</v>
      </c>
      <c r="F5034" s="79"/>
    </row>
    <row r="5035" spans="1:6">
      <c r="A5035" s="77">
        <f t="shared" ca="1" si="515"/>
        <v>46031</v>
      </c>
      <c r="B5035" s="80">
        <f t="shared" ca="1" si="514"/>
        <v>46031.36948645833</v>
      </c>
      <c r="C5035" s="76" t="s">
        <v>762</v>
      </c>
      <c r="D5035" s="76" t="s">
        <v>902</v>
      </c>
      <c r="E5035" s="79" t="s">
        <v>932</v>
      </c>
      <c r="F5035" s="79"/>
    </row>
    <row r="5036" spans="1:6">
      <c r="A5036" s="77">
        <f t="shared" ca="1" si="515"/>
        <v>46031</v>
      </c>
      <c r="B5036" s="80">
        <f t="shared" ca="1" si="514"/>
        <v>46031.369993402775</v>
      </c>
      <c r="C5036" s="76" t="s">
        <v>762</v>
      </c>
      <c r="D5036" s="76" t="s">
        <v>902</v>
      </c>
      <c r="E5036" s="79" t="s">
        <v>1555</v>
      </c>
      <c r="F5036" s="79"/>
    </row>
    <row r="5037" spans="1:6">
      <c r="A5037" s="77">
        <f t="shared" ca="1" si="515"/>
        <v>46031</v>
      </c>
      <c r="B5037" s="80">
        <f t="shared" ref="B5037:B5042" ca="1" si="516">IF(C5037&lt;&gt;0,IF(B5037=0,NOW(),B5037),)</f>
        <v>46031.376355555556</v>
      </c>
      <c r="C5037" s="76" t="s">
        <v>762</v>
      </c>
      <c r="D5037" s="150" t="s">
        <v>1007</v>
      </c>
      <c r="E5037" s="79" t="s">
        <v>2993</v>
      </c>
      <c r="F5037" s="79"/>
    </row>
    <row r="5038" spans="1:6">
      <c r="A5038" s="77">
        <f t="shared" ca="1" si="515"/>
        <v>46031</v>
      </c>
      <c r="B5038" s="80">
        <f t="shared" ca="1" si="516"/>
        <v>46031.376754976853</v>
      </c>
      <c r="C5038" s="76" t="s">
        <v>762</v>
      </c>
      <c r="D5038" s="76" t="s">
        <v>902</v>
      </c>
      <c r="E5038" s="79" t="s">
        <v>1426</v>
      </c>
      <c r="F5038" s="79"/>
    </row>
    <row r="5039" spans="1:6">
      <c r="A5039" s="77">
        <f t="shared" ca="1" si="515"/>
        <v>46031</v>
      </c>
      <c r="B5039" s="80">
        <f t="shared" ca="1" si="516"/>
        <v>46031.389263888886</v>
      </c>
      <c r="C5039" s="76" t="s">
        <v>762</v>
      </c>
      <c r="D5039" s="76" t="s">
        <v>902</v>
      </c>
      <c r="E5039" s="79" t="s">
        <v>3019</v>
      </c>
      <c r="F5039" s="79"/>
    </row>
    <row r="5040" spans="1:6">
      <c r="A5040" s="77">
        <f t="shared" ca="1" si="515"/>
        <v>46031</v>
      </c>
      <c r="B5040" s="80">
        <f t="shared" ca="1" si="516"/>
        <v>46031.391189351853</v>
      </c>
      <c r="C5040" s="76" t="s">
        <v>762</v>
      </c>
      <c r="D5040" s="76" t="s">
        <v>902</v>
      </c>
      <c r="E5040" s="79" t="s">
        <v>1555</v>
      </c>
      <c r="F5040" s="79"/>
    </row>
    <row r="5041" spans="1:6">
      <c r="A5041" s="77">
        <f t="shared" ca="1" si="515"/>
        <v>46031</v>
      </c>
      <c r="B5041" s="80">
        <f t="shared" ca="1" si="516"/>
        <v>46031.39606979167</v>
      </c>
      <c r="C5041" s="76" t="s">
        <v>762</v>
      </c>
      <c r="D5041" s="150" t="s">
        <v>1007</v>
      </c>
      <c r="E5041" s="79" t="s">
        <v>1333</v>
      </c>
      <c r="F5041" s="79"/>
    </row>
    <row r="5042" spans="1:6">
      <c r="A5042" s="77">
        <f t="shared" ca="1" si="515"/>
        <v>46031</v>
      </c>
      <c r="B5042" s="80">
        <f t="shared" ca="1" si="516"/>
        <v>46031.406388773146</v>
      </c>
      <c r="C5042" s="76" t="s">
        <v>762</v>
      </c>
      <c r="D5042" s="76" t="s">
        <v>902</v>
      </c>
      <c r="E5042" s="79" t="s">
        <v>3019</v>
      </c>
      <c r="F5042" s="79"/>
    </row>
    <row r="5043" spans="1:6">
      <c r="A5043" s="77">
        <f t="shared" ca="1" si="515"/>
        <v>46031</v>
      </c>
      <c r="B5043" s="80">
        <v>0.40841435185185188</v>
      </c>
      <c r="C5043" s="76" t="s">
        <v>762</v>
      </c>
      <c r="D5043" s="76" t="s">
        <v>902</v>
      </c>
      <c r="E5043" s="79" t="s">
        <v>2493</v>
      </c>
      <c r="F5043" s="79"/>
    </row>
    <row r="5044" spans="1:6">
      <c r="A5044" s="77">
        <f ca="1">IF(C5044&lt;&gt;0,IF(A5044=0,TODAY(),A5044),)</f>
        <v>46031</v>
      </c>
      <c r="B5044" s="80">
        <f ca="1">IF(C5044&lt;&gt;0,IF(B5044=0,NOW(),B5044),)</f>
        <v>46031.416960879629</v>
      </c>
      <c r="C5044" s="76" t="s">
        <v>762</v>
      </c>
      <c r="D5044" s="76" t="s">
        <v>902</v>
      </c>
      <c r="E5044" s="79" t="s">
        <v>3020</v>
      </c>
      <c r="F5044" s="79"/>
    </row>
    <row r="5045" spans="1:6">
      <c r="A5045" s="77">
        <f ca="1">IF(C5045&lt;&gt;0,IF(A5045=0,TODAY(),A5045),)</f>
        <v>46031</v>
      </c>
      <c r="B5045" s="80">
        <f ca="1">IF(C5045&lt;&gt;0,IF(B5045=0,NOW(),B5045),)</f>
        <v>46031.426987037034</v>
      </c>
      <c r="C5045" s="76" t="s">
        <v>762</v>
      </c>
      <c r="D5045" s="76" t="s">
        <v>902</v>
      </c>
      <c r="E5045" s="79" t="s">
        <v>1555</v>
      </c>
      <c r="F5045" s="79"/>
    </row>
    <row r="5046" spans="1:6">
      <c r="A5046" s="77">
        <f t="shared" ref="A5046:A5059" ca="1" si="517">IF(C5046&lt;&gt;0,IF(A5046=0,TODAY(),A5046),)</f>
        <v>46031</v>
      </c>
      <c r="B5046" s="80">
        <f t="shared" ref="B5046:B5059" ca="1" si="518">IF(C5046&lt;&gt;0,IF(B5046=0,NOW(),B5046),)</f>
        <v>46031.440370486111</v>
      </c>
      <c r="C5046" s="76" t="s">
        <v>762</v>
      </c>
      <c r="D5046" s="150" t="s">
        <v>1007</v>
      </c>
      <c r="E5046" s="79" t="s">
        <v>3021</v>
      </c>
      <c r="F5046" s="79"/>
    </row>
    <row r="5047" spans="1:6">
      <c r="A5047" s="77">
        <f t="shared" ca="1" si="517"/>
        <v>46031</v>
      </c>
      <c r="B5047" s="80">
        <f t="shared" ca="1" si="518"/>
        <v>46031.446969212964</v>
      </c>
      <c r="C5047" s="76" t="s">
        <v>762</v>
      </c>
      <c r="D5047" s="76" t="s">
        <v>902</v>
      </c>
      <c r="E5047" s="79" t="s">
        <v>3019</v>
      </c>
      <c r="F5047" s="79"/>
    </row>
    <row r="5048" spans="1:6">
      <c r="A5048" s="77">
        <f t="shared" ca="1" si="517"/>
        <v>46031</v>
      </c>
      <c r="B5048" s="80">
        <f t="shared" ca="1" si="518"/>
        <v>46031.44734097222</v>
      </c>
      <c r="C5048" s="76" t="s">
        <v>762</v>
      </c>
      <c r="D5048" s="76" t="s">
        <v>902</v>
      </c>
      <c r="E5048" s="79" t="s">
        <v>3022</v>
      </c>
      <c r="F5048" s="79"/>
    </row>
    <row r="5049" spans="1:6">
      <c r="A5049" s="77">
        <f t="shared" ca="1" si="517"/>
        <v>46031</v>
      </c>
      <c r="B5049" s="80">
        <f t="shared" ca="1" si="518"/>
        <v>46031.448028240738</v>
      </c>
      <c r="C5049" s="76" t="s">
        <v>762</v>
      </c>
      <c r="D5049" s="76" t="s">
        <v>902</v>
      </c>
      <c r="E5049" s="79" t="s">
        <v>3021</v>
      </c>
      <c r="F5049" s="79"/>
    </row>
    <row r="5050" spans="1:6">
      <c r="A5050" s="77">
        <f t="shared" ca="1" si="517"/>
        <v>46031</v>
      </c>
      <c r="B5050" s="80">
        <f t="shared" ca="1" si="518"/>
        <v>46031.44894328704</v>
      </c>
      <c r="C5050" s="76" t="s">
        <v>762</v>
      </c>
      <c r="D5050" s="76" t="s">
        <v>902</v>
      </c>
      <c r="E5050" s="79" t="s">
        <v>3021</v>
      </c>
      <c r="F5050" s="79"/>
    </row>
    <row r="5051" spans="1:6">
      <c r="A5051" s="77">
        <f t="shared" ca="1" si="517"/>
        <v>46031</v>
      </c>
      <c r="B5051" s="80">
        <f t="shared" ca="1" si="518"/>
        <v>46031.449393634262</v>
      </c>
      <c r="C5051" s="76" t="s">
        <v>762</v>
      </c>
      <c r="D5051" s="76" t="s">
        <v>902</v>
      </c>
      <c r="E5051" s="79" t="s">
        <v>3022</v>
      </c>
      <c r="F5051" s="79"/>
    </row>
    <row r="5052" spans="1:6">
      <c r="A5052" s="77">
        <f t="shared" ca="1" si="517"/>
        <v>46031</v>
      </c>
      <c r="B5052" s="80">
        <f t="shared" ca="1" si="518"/>
        <v>46031.450042245371</v>
      </c>
      <c r="C5052" s="76" t="s">
        <v>762</v>
      </c>
      <c r="D5052" s="76" t="s">
        <v>902</v>
      </c>
      <c r="E5052" s="79" t="s">
        <v>3023</v>
      </c>
      <c r="F5052" s="79"/>
    </row>
    <row r="5053" spans="1:6">
      <c r="A5053" s="77">
        <f t="shared" ca="1" si="517"/>
        <v>46031</v>
      </c>
      <c r="B5053" s="80">
        <f t="shared" ca="1" si="518"/>
        <v>46031.455626736111</v>
      </c>
      <c r="C5053" s="76" t="s">
        <v>762</v>
      </c>
      <c r="D5053" s="76" t="s">
        <v>902</v>
      </c>
      <c r="E5053" s="79" t="s">
        <v>3019</v>
      </c>
      <c r="F5053" s="79"/>
    </row>
    <row r="5054" spans="1:6">
      <c r="A5054" s="77">
        <f t="shared" ca="1" si="517"/>
        <v>46031</v>
      </c>
      <c r="B5054" s="80">
        <f t="shared" ca="1" si="518"/>
        <v>46031.45698657407</v>
      </c>
      <c r="C5054" s="76" t="s">
        <v>762</v>
      </c>
      <c r="D5054" s="76" t="s">
        <v>902</v>
      </c>
      <c r="E5054" s="79" t="s">
        <v>3024</v>
      </c>
      <c r="F5054" s="79"/>
    </row>
    <row r="5055" spans="1:6">
      <c r="A5055" s="77">
        <f t="shared" ca="1" si="517"/>
        <v>46031</v>
      </c>
      <c r="B5055" s="80">
        <f t="shared" ca="1" si="518"/>
        <v>46031.457633449078</v>
      </c>
      <c r="C5055" s="76" t="s">
        <v>762</v>
      </c>
      <c r="D5055" s="76" t="s">
        <v>902</v>
      </c>
      <c r="E5055" s="79" t="s">
        <v>3025</v>
      </c>
      <c r="F5055" s="79"/>
    </row>
    <row r="5056" spans="1:6">
      <c r="A5056" s="77">
        <f t="shared" ca="1" si="517"/>
        <v>46031</v>
      </c>
      <c r="B5056" s="80">
        <f t="shared" ca="1" si="518"/>
        <v>46031.468254861109</v>
      </c>
      <c r="C5056" s="76" t="s">
        <v>762</v>
      </c>
      <c r="D5056" s="76" t="s">
        <v>902</v>
      </c>
      <c r="E5056" s="79" t="s">
        <v>3026</v>
      </c>
      <c r="F5056" s="79"/>
    </row>
    <row r="5057" spans="1:6">
      <c r="A5057" s="77">
        <f t="shared" ca="1" si="517"/>
        <v>46031</v>
      </c>
      <c r="B5057" s="80">
        <f t="shared" ca="1" si="518"/>
        <v>46031.468924537039</v>
      </c>
      <c r="C5057" s="76" t="s">
        <v>762</v>
      </c>
      <c r="D5057" s="76" t="s">
        <v>902</v>
      </c>
      <c r="E5057" s="79" t="s">
        <v>3026</v>
      </c>
      <c r="F5057" s="79"/>
    </row>
    <row r="5058" spans="1:6">
      <c r="A5058" s="77">
        <f t="shared" ca="1" si="517"/>
        <v>46031</v>
      </c>
      <c r="B5058" s="80">
        <f t="shared" ca="1" si="518"/>
        <v>46031.472016087966</v>
      </c>
      <c r="C5058" s="76" t="s">
        <v>762</v>
      </c>
      <c r="D5058" s="76" t="s">
        <v>902</v>
      </c>
      <c r="E5058" s="79" t="s">
        <v>3027</v>
      </c>
      <c r="F5058" s="79"/>
    </row>
    <row r="5059" spans="1:6">
      <c r="A5059" s="77">
        <f t="shared" ca="1" si="517"/>
        <v>46031</v>
      </c>
      <c r="B5059" s="80">
        <f t="shared" ca="1" si="518"/>
        <v>46031.486810416667</v>
      </c>
      <c r="C5059" s="76" t="s">
        <v>762</v>
      </c>
      <c r="D5059" s="210" t="s">
        <v>922</v>
      </c>
      <c r="E5059" s="79"/>
      <c r="F5059" s="79"/>
    </row>
    <row r="5060" spans="1:6">
      <c r="A5060" s="77">
        <v>46031</v>
      </c>
      <c r="B5060" s="80">
        <f ca="1">IF(C5060&lt;&gt;0,IF(B5060=0,NOW(),B5060),)</f>
        <v>46031.526369212967</v>
      </c>
      <c r="C5060" s="76" t="s">
        <v>762</v>
      </c>
      <c r="D5060" s="210" t="s">
        <v>1098</v>
      </c>
      <c r="E5060" s="79"/>
      <c r="F5060" s="79"/>
    </row>
    <row r="5061" spans="1:6">
      <c r="A5061" s="77">
        <f t="shared" ref="A5061:A5064" ca="1" si="519">IF(C5061&lt;&gt;0,IF(A5061=0,TODAY(),A5061),)</f>
        <v>46031</v>
      </c>
      <c r="B5061" s="80">
        <f t="shared" ref="B5061:B5064" ca="1" si="520">IF(C5061&lt;&gt;0,IF(B5061=0,NOW(),B5061),)</f>
        <v>46031.561821643518</v>
      </c>
      <c r="C5061" s="76" t="s">
        <v>766</v>
      </c>
      <c r="D5061" s="210" t="s">
        <v>906</v>
      </c>
      <c r="E5061" s="79"/>
      <c r="F5061" s="79"/>
    </row>
    <row r="5062" spans="1:6">
      <c r="A5062" s="77">
        <f t="shared" ca="1" si="519"/>
        <v>46031</v>
      </c>
      <c r="B5062" s="80">
        <f t="shared" ca="1" si="520"/>
        <v>46031.626992824073</v>
      </c>
      <c r="C5062" s="76" t="s">
        <v>766</v>
      </c>
      <c r="D5062" s="76" t="s">
        <v>902</v>
      </c>
      <c r="E5062" s="79" t="s">
        <v>3028</v>
      </c>
      <c r="F5062" s="79"/>
    </row>
    <row r="5063" spans="1:6">
      <c r="A5063" s="77">
        <f t="shared" ca="1" si="519"/>
        <v>46031</v>
      </c>
      <c r="B5063" s="80">
        <f t="shared" ca="1" si="520"/>
        <v>46031.629650694442</v>
      </c>
      <c r="C5063" s="76" t="s">
        <v>766</v>
      </c>
      <c r="D5063" s="210" t="s">
        <v>1566</v>
      </c>
      <c r="E5063" s="79"/>
      <c r="F5063" s="79"/>
    </row>
    <row r="5064" spans="1:6">
      <c r="A5064" s="77">
        <f t="shared" ca="1" si="519"/>
        <v>46031</v>
      </c>
      <c r="B5064" s="80">
        <f t="shared" ca="1" si="520"/>
        <v>46031.643174999997</v>
      </c>
      <c r="C5064" s="76" t="s">
        <v>766</v>
      </c>
      <c r="D5064" s="76" t="s">
        <v>902</v>
      </c>
      <c r="E5064" s="79" t="s">
        <v>3029</v>
      </c>
      <c r="F5064" s="79"/>
    </row>
    <row r="5065" spans="1:6">
      <c r="A5065" s="152">
        <f t="shared" ref="A5065:A5128" ca="1" si="521">IF(C5065&lt;&gt;0,IF(A5065=0,TODAY(),A5065),)</f>
        <v>46031</v>
      </c>
      <c r="B5065" s="115">
        <f t="shared" ref="B5065:B5072" ca="1" si="522">IF(C5065&lt;&gt;0,IF(B5065=0,NOW(),B5065),)</f>
        <v>46031.651607638887</v>
      </c>
      <c r="C5065" s="76" t="s">
        <v>766</v>
      </c>
      <c r="D5065" s="79" t="s">
        <v>902</v>
      </c>
      <c r="E5065" s="79" t="s">
        <v>3030</v>
      </c>
      <c r="F5065" s="79"/>
    </row>
    <row r="5066" spans="1:6">
      <c r="A5066" s="152">
        <f t="shared" ca="1" si="521"/>
        <v>46031</v>
      </c>
      <c r="B5066" s="115">
        <f t="shared" ca="1" si="522"/>
        <v>46031.660873263892</v>
      </c>
      <c r="C5066" s="76" t="s">
        <v>766</v>
      </c>
      <c r="D5066" s="208" t="s">
        <v>1007</v>
      </c>
      <c r="E5066" s="79" t="s">
        <v>3031</v>
      </c>
      <c r="F5066" s="79"/>
    </row>
    <row r="5067" spans="1:6">
      <c r="A5067" s="152">
        <f t="shared" ca="1" si="521"/>
        <v>46031</v>
      </c>
      <c r="B5067" s="115">
        <f t="shared" ca="1" si="522"/>
        <v>46031.668559490739</v>
      </c>
      <c r="C5067" s="76" t="s">
        <v>766</v>
      </c>
      <c r="D5067" s="79" t="s">
        <v>902</v>
      </c>
      <c r="E5067" s="79" t="s">
        <v>2489</v>
      </c>
      <c r="F5067" s="79"/>
    </row>
    <row r="5068" spans="1:6">
      <c r="A5068" s="152">
        <f t="shared" ca="1" si="521"/>
        <v>46031</v>
      </c>
      <c r="B5068" s="115">
        <f t="shared" ca="1" si="522"/>
        <v>46031.683212037038</v>
      </c>
      <c r="C5068" s="76" t="s">
        <v>766</v>
      </c>
      <c r="D5068" s="79" t="s">
        <v>902</v>
      </c>
      <c r="E5068" s="79" t="s">
        <v>3032</v>
      </c>
      <c r="F5068" s="79"/>
    </row>
    <row r="5069" spans="1:6">
      <c r="A5069" s="152">
        <f t="shared" ca="1" si="521"/>
        <v>46031</v>
      </c>
      <c r="B5069" s="115">
        <f t="shared" ca="1" si="522"/>
        <v>46031.696173263888</v>
      </c>
      <c r="C5069" s="76" t="s">
        <v>766</v>
      </c>
      <c r="D5069" s="79" t="s">
        <v>902</v>
      </c>
      <c r="E5069" s="79" t="s">
        <v>3033</v>
      </c>
      <c r="F5069" s="79"/>
    </row>
    <row r="5070" spans="1:6">
      <c r="A5070" s="152">
        <f t="shared" ca="1" si="521"/>
        <v>46031</v>
      </c>
      <c r="B5070" s="115">
        <f t="shared" ca="1" si="522"/>
        <v>46031.699297800929</v>
      </c>
      <c r="C5070" s="76" t="s">
        <v>766</v>
      </c>
      <c r="D5070" s="79" t="s">
        <v>902</v>
      </c>
      <c r="E5070" s="79" t="s">
        <v>1493</v>
      </c>
      <c r="F5070" s="79"/>
    </row>
    <row r="5071" spans="1:6">
      <c r="A5071" s="152">
        <f t="shared" ca="1" si="521"/>
        <v>46031</v>
      </c>
      <c r="B5071" s="115">
        <f t="shared" ca="1" si="522"/>
        <v>46031.709887500001</v>
      </c>
      <c r="C5071" s="76" t="s">
        <v>766</v>
      </c>
      <c r="D5071" s="79" t="s">
        <v>902</v>
      </c>
      <c r="E5071" s="79" t="s">
        <v>1063</v>
      </c>
      <c r="F5071" s="79"/>
    </row>
    <row r="5072" spans="1:6">
      <c r="A5072" s="152">
        <f t="shared" ca="1" si="521"/>
        <v>46031</v>
      </c>
      <c r="B5072" s="115">
        <f t="shared" ca="1" si="522"/>
        <v>46031.711573148146</v>
      </c>
      <c r="C5072" s="76" t="s">
        <v>766</v>
      </c>
      <c r="D5072" s="210" t="s">
        <v>922</v>
      </c>
      <c r="E5072" s="79"/>
      <c r="F5072" s="79"/>
    </row>
    <row r="5073" spans="1:6" s="79" customFormat="1">
      <c r="A5073" s="152">
        <f t="shared" ca="1" si="521"/>
        <v>46031</v>
      </c>
      <c r="B5073" s="115">
        <v>0.75703703703703706</v>
      </c>
      <c r="C5073" s="79" t="s">
        <v>766</v>
      </c>
      <c r="D5073" s="210" t="s">
        <v>1098</v>
      </c>
    </row>
    <row r="5074" spans="1:6" s="79" customFormat="1">
      <c r="A5074" s="152">
        <f t="shared" ca="1" si="521"/>
        <v>46031</v>
      </c>
      <c r="B5074" s="115">
        <f t="shared" ref="B5074:B5084" ca="1" si="523">IF(C5074&lt;&gt;0,IF(B5074=0,NOW(),B5074),)</f>
        <v>46031.794542824071</v>
      </c>
      <c r="C5074" s="79" t="s">
        <v>769</v>
      </c>
      <c r="D5074" s="210" t="s">
        <v>906</v>
      </c>
    </row>
    <row r="5075" spans="1:6">
      <c r="A5075" s="152">
        <f t="shared" ca="1" si="521"/>
        <v>46031</v>
      </c>
      <c r="B5075" s="115">
        <f t="shared" ca="1" si="523"/>
        <v>46031.871986111109</v>
      </c>
      <c r="C5075" s="79" t="s">
        <v>769</v>
      </c>
      <c r="D5075" s="210" t="s">
        <v>909</v>
      </c>
      <c r="E5075" s="79" t="s">
        <v>3034</v>
      </c>
      <c r="F5075" s="79"/>
    </row>
    <row r="5076" spans="1:6">
      <c r="A5076" s="152">
        <f t="shared" ca="1" si="521"/>
        <v>46031</v>
      </c>
      <c r="B5076" s="115">
        <f t="shared" ca="1" si="523"/>
        <v>46031.876441435183</v>
      </c>
      <c r="C5076" s="79" t="s">
        <v>769</v>
      </c>
      <c r="D5076" s="210" t="s">
        <v>909</v>
      </c>
      <c r="E5076" s="79"/>
      <c r="F5076" s="79"/>
    </row>
    <row r="5077" spans="1:6">
      <c r="A5077" s="152">
        <f t="shared" ca="1" si="521"/>
        <v>46031</v>
      </c>
      <c r="B5077" s="115">
        <f t="shared" ca="1" si="523"/>
        <v>46031.876581481483</v>
      </c>
      <c r="C5077" s="79" t="s">
        <v>769</v>
      </c>
      <c r="D5077" s="79" t="s">
        <v>902</v>
      </c>
      <c r="E5077" s="79" t="s">
        <v>2899</v>
      </c>
      <c r="F5077" s="79"/>
    </row>
    <row r="5078" spans="1:6">
      <c r="A5078" s="152">
        <f t="shared" ca="1" si="521"/>
        <v>46031</v>
      </c>
      <c r="B5078" s="115">
        <f t="shared" ca="1" si="523"/>
        <v>46031.880961458337</v>
      </c>
      <c r="C5078" s="79" t="s">
        <v>769</v>
      </c>
      <c r="D5078" s="79" t="s">
        <v>902</v>
      </c>
      <c r="E5078" s="79" t="s">
        <v>2487</v>
      </c>
      <c r="F5078" s="79"/>
    </row>
    <row r="5079" spans="1:6">
      <c r="A5079" s="152">
        <f t="shared" ca="1" si="521"/>
        <v>46031</v>
      </c>
      <c r="B5079" s="115">
        <f t="shared" ca="1" si="523"/>
        <v>46031.883514699075</v>
      </c>
      <c r="C5079" s="79" t="s">
        <v>769</v>
      </c>
      <c r="D5079" s="79" t="s">
        <v>902</v>
      </c>
      <c r="E5079" s="79" t="s">
        <v>2487</v>
      </c>
      <c r="F5079" s="79"/>
    </row>
    <row r="5080" spans="1:6">
      <c r="A5080" s="152">
        <f t="shared" ca="1" si="521"/>
        <v>46031</v>
      </c>
      <c r="B5080" s="115">
        <f t="shared" ca="1" si="523"/>
        <v>46031.885203240738</v>
      </c>
      <c r="C5080" s="79" t="s">
        <v>769</v>
      </c>
      <c r="D5080" s="79" t="s">
        <v>902</v>
      </c>
      <c r="E5080" s="79" t="s">
        <v>2899</v>
      </c>
      <c r="F5080" s="79"/>
    </row>
    <row r="5081" spans="1:6">
      <c r="A5081" s="152">
        <f t="shared" ca="1" si="521"/>
        <v>46031</v>
      </c>
      <c r="B5081" s="115">
        <f t="shared" ca="1" si="523"/>
        <v>46031.893913888889</v>
      </c>
      <c r="C5081" s="79" t="s">
        <v>769</v>
      </c>
      <c r="D5081" s="150" t="s">
        <v>1007</v>
      </c>
      <c r="E5081" s="79" t="s">
        <v>2899</v>
      </c>
      <c r="F5081" s="79"/>
    </row>
    <row r="5082" spans="1:6">
      <c r="A5082" s="152">
        <f t="shared" ca="1" si="521"/>
        <v>46031</v>
      </c>
      <c r="B5082" s="115">
        <f t="shared" ca="1" si="523"/>
        <v>46031.898311342593</v>
      </c>
      <c r="C5082" s="79" t="s">
        <v>769</v>
      </c>
      <c r="D5082" s="79" t="s">
        <v>902</v>
      </c>
      <c r="E5082" s="79" t="s">
        <v>2899</v>
      </c>
      <c r="F5082" s="79"/>
    </row>
    <row r="5083" spans="1:6">
      <c r="A5083" s="152">
        <f t="shared" ca="1" si="521"/>
        <v>46031</v>
      </c>
      <c r="B5083" s="115">
        <f t="shared" ca="1" si="523"/>
        <v>46031.899265856482</v>
      </c>
      <c r="C5083" s="79" t="s">
        <v>769</v>
      </c>
      <c r="D5083" s="210" t="s">
        <v>922</v>
      </c>
      <c r="E5083" s="79" t="s">
        <v>3035</v>
      </c>
      <c r="F5083" s="79"/>
    </row>
    <row r="5084" spans="1:6">
      <c r="A5084" s="152">
        <f t="shared" ca="1" si="521"/>
        <v>46031</v>
      </c>
      <c r="B5084" s="115">
        <f t="shared" ca="1" si="523"/>
        <v>46031.942254398149</v>
      </c>
      <c r="C5084" s="79" t="s">
        <v>769</v>
      </c>
      <c r="D5084" s="210" t="s">
        <v>1098</v>
      </c>
      <c r="E5084" s="79"/>
      <c r="F5084" s="79"/>
    </row>
    <row r="5085" spans="1:6">
      <c r="A5085" s="152">
        <f t="shared" ca="1" si="521"/>
        <v>46033</v>
      </c>
      <c r="B5085" s="115">
        <v>7</v>
      </c>
      <c r="C5085" s="79" t="s">
        <v>772</v>
      </c>
      <c r="D5085" s="210" t="s">
        <v>906</v>
      </c>
      <c r="E5085" s="79"/>
      <c r="F5085" s="79"/>
    </row>
    <row r="5086" spans="1:6">
      <c r="A5086" s="152">
        <f t="shared" ca="1" si="521"/>
        <v>46033</v>
      </c>
      <c r="B5086" s="115">
        <f t="shared" ref="B5086:B5093" ca="1" si="524">IF(C5086&lt;&gt;0,IF(B5086=0,NOW(),B5086),)</f>
        <v>46033.369556481484</v>
      </c>
      <c r="C5086" s="79" t="s">
        <v>772</v>
      </c>
      <c r="D5086" s="210" t="s">
        <v>909</v>
      </c>
      <c r="E5086" s="79"/>
      <c r="F5086" s="79"/>
    </row>
    <row r="5087" spans="1:6">
      <c r="A5087" s="152">
        <f t="shared" ca="1" si="521"/>
        <v>46033</v>
      </c>
      <c r="B5087" s="115">
        <f t="shared" ca="1" si="524"/>
        <v>46033.379309374999</v>
      </c>
      <c r="C5087" s="79" t="s">
        <v>772</v>
      </c>
      <c r="D5087" s="79" t="s">
        <v>902</v>
      </c>
      <c r="E5087" s="79" t="s">
        <v>1783</v>
      </c>
      <c r="F5087" s="79"/>
    </row>
    <row r="5088" spans="1:6">
      <c r="A5088" s="152">
        <f t="shared" ca="1" si="521"/>
        <v>46033</v>
      </c>
      <c r="B5088" s="115">
        <f t="shared" ca="1" si="524"/>
        <v>46033.379825000004</v>
      </c>
      <c r="C5088" s="79" t="s">
        <v>772</v>
      </c>
      <c r="D5088" s="79" t="s">
        <v>902</v>
      </c>
      <c r="E5088" s="79" t="s">
        <v>2991</v>
      </c>
      <c r="F5088" s="79"/>
    </row>
    <row r="5089" spans="1:6">
      <c r="A5089" s="152">
        <f t="shared" ca="1" si="521"/>
        <v>46033</v>
      </c>
      <c r="B5089" s="115">
        <f t="shared" ca="1" si="524"/>
        <v>46033.380163194444</v>
      </c>
      <c r="C5089" s="79" t="s">
        <v>772</v>
      </c>
      <c r="D5089" s="79" t="s">
        <v>902</v>
      </c>
      <c r="E5089" s="79" t="s">
        <v>3036</v>
      </c>
      <c r="F5089" s="79"/>
    </row>
    <row r="5090" spans="1:6">
      <c r="A5090" s="152">
        <f t="shared" ca="1" si="521"/>
        <v>46033</v>
      </c>
      <c r="B5090" s="115">
        <f t="shared" ca="1" si="524"/>
        <v>46033.380632986111</v>
      </c>
      <c r="C5090" s="79" t="s">
        <v>772</v>
      </c>
      <c r="D5090" s="79" t="s">
        <v>902</v>
      </c>
      <c r="E5090" s="79" t="s">
        <v>2991</v>
      </c>
      <c r="F5090" s="79"/>
    </row>
    <row r="5091" spans="1:6">
      <c r="A5091" s="152">
        <f t="shared" ca="1" si="521"/>
        <v>46033</v>
      </c>
      <c r="B5091" s="115">
        <f t="shared" ca="1" si="524"/>
        <v>46033.383175578703</v>
      </c>
      <c r="C5091" s="79" t="s">
        <v>772</v>
      </c>
      <c r="D5091" s="79" t="s">
        <v>902</v>
      </c>
      <c r="E5091" s="79" t="s">
        <v>3037</v>
      </c>
      <c r="F5091" s="79"/>
    </row>
    <row r="5092" spans="1:6">
      <c r="A5092" s="152">
        <f t="shared" ca="1" si="521"/>
        <v>46033</v>
      </c>
      <c r="B5092" s="115">
        <f t="shared" ca="1" si="524"/>
        <v>46033.392393634262</v>
      </c>
      <c r="C5092" s="79" t="s">
        <v>772</v>
      </c>
      <c r="D5092" s="79" t="s">
        <v>902</v>
      </c>
      <c r="E5092" s="79" t="s">
        <v>2991</v>
      </c>
      <c r="F5092" s="79"/>
    </row>
    <row r="5093" spans="1:6">
      <c r="A5093" s="152">
        <f t="shared" ca="1" si="521"/>
        <v>46033</v>
      </c>
      <c r="B5093" s="115">
        <f t="shared" ca="1" si="524"/>
        <v>46033.398199189818</v>
      </c>
      <c r="C5093" s="79" t="s">
        <v>772</v>
      </c>
      <c r="D5093" s="79" t="s">
        <v>902</v>
      </c>
      <c r="E5093" s="79" t="s">
        <v>2991</v>
      </c>
      <c r="F5093" s="79"/>
    </row>
    <row r="5094" spans="1:6">
      <c r="A5094" s="152">
        <f t="shared" ca="1" si="521"/>
        <v>46033</v>
      </c>
      <c r="B5094" s="115">
        <v>0.39939814814814817</v>
      </c>
      <c r="C5094" s="79" t="s">
        <v>772</v>
      </c>
      <c r="D5094" s="79" t="s">
        <v>902</v>
      </c>
      <c r="E5094" s="79" t="s">
        <v>2991</v>
      </c>
      <c r="F5094" s="79"/>
    </row>
    <row r="5095" spans="1:6">
      <c r="A5095" s="152">
        <f t="shared" ca="1" si="521"/>
        <v>46033</v>
      </c>
      <c r="B5095" s="115">
        <v>0.40105324074074072</v>
      </c>
      <c r="C5095" s="79" t="s">
        <v>772</v>
      </c>
      <c r="D5095" s="79" t="s">
        <v>902</v>
      </c>
      <c r="E5095" s="79" t="s">
        <v>3038</v>
      </c>
      <c r="F5095" s="79"/>
    </row>
    <row r="5096" spans="1:6">
      <c r="A5096" s="152">
        <f t="shared" ca="1" si="521"/>
        <v>46033</v>
      </c>
      <c r="B5096" s="115">
        <f t="shared" ref="B5096:B5159" ca="1" si="525">IF(C5096&lt;&gt;0,IF(B5096=0,NOW(),B5096),)</f>
        <v>46033.403974305555</v>
      </c>
      <c r="C5096" s="79" t="s">
        <v>772</v>
      </c>
      <c r="D5096" s="79" t="s">
        <v>902</v>
      </c>
      <c r="E5096" s="79" t="s">
        <v>913</v>
      </c>
      <c r="F5096" s="79"/>
    </row>
    <row r="5097" spans="1:6">
      <c r="A5097" s="152">
        <f t="shared" ca="1" si="521"/>
        <v>46033</v>
      </c>
      <c r="B5097" s="115">
        <f t="shared" ca="1" si="525"/>
        <v>46033.404187152781</v>
      </c>
      <c r="C5097" s="79" t="s">
        <v>772</v>
      </c>
      <c r="D5097" s="79" t="s">
        <v>902</v>
      </c>
      <c r="E5097" s="79" t="s">
        <v>3039</v>
      </c>
      <c r="F5097" s="79"/>
    </row>
    <row r="5098" spans="1:6">
      <c r="A5098" s="152">
        <f t="shared" ca="1" si="521"/>
        <v>46033</v>
      </c>
      <c r="B5098" s="115">
        <f t="shared" ca="1" si="525"/>
        <v>46033.404995023149</v>
      </c>
      <c r="C5098" s="79" t="s">
        <v>772</v>
      </c>
      <c r="D5098" s="79" t="s">
        <v>902</v>
      </c>
      <c r="E5098" s="79" t="s">
        <v>3040</v>
      </c>
      <c r="F5098" s="79"/>
    </row>
    <row r="5099" spans="1:6">
      <c r="A5099" s="152">
        <f t="shared" ca="1" si="521"/>
        <v>46033</v>
      </c>
      <c r="B5099" s="115">
        <f t="shared" ca="1" si="525"/>
        <v>46033.40548912037</v>
      </c>
      <c r="C5099" s="79" t="s">
        <v>772</v>
      </c>
      <c r="D5099" s="79" t="s">
        <v>902</v>
      </c>
      <c r="E5099" s="79" t="s">
        <v>3041</v>
      </c>
      <c r="F5099" s="79"/>
    </row>
    <row r="5100" spans="1:6">
      <c r="A5100" s="152">
        <f t="shared" ca="1" si="521"/>
        <v>46033</v>
      </c>
      <c r="B5100" s="115">
        <f t="shared" ca="1" si="525"/>
        <v>46033.412258217591</v>
      </c>
      <c r="C5100" s="79" t="s">
        <v>772</v>
      </c>
      <c r="D5100" s="79" t="s">
        <v>902</v>
      </c>
      <c r="E5100" s="79" t="s">
        <v>2991</v>
      </c>
      <c r="F5100" s="79"/>
    </row>
    <row r="5101" spans="1:6">
      <c r="A5101" s="152">
        <f t="shared" ca="1" si="521"/>
        <v>46033</v>
      </c>
      <c r="B5101" s="115">
        <f t="shared" ca="1" si="525"/>
        <v>46033.416562500002</v>
      </c>
      <c r="C5101" s="79" t="s">
        <v>772</v>
      </c>
      <c r="D5101" s="79" t="s">
        <v>902</v>
      </c>
      <c r="E5101" s="79" t="s">
        <v>2991</v>
      </c>
      <c r="F5101" s="79"/>
    </row>
    <row r="5102" spans="1:6">
      <c r="A5102" s="152">
        <f t="shared" ca="1" si="521"/>
        <v>46033</v>
      </c>
      <c r="B5102" s="115">
        <f t="shared" ca="1" si="525"/>
        <v>46033.422070138891</v>
      </c>
      <c r="C5102" s="79" t="s">
        <v>772</v>
      </c>
      <c r="D5102" s="79" t="s">
        <v>902</v>
      </c>
      <c r="E5102" s="79" t="s">
        <v>2991</v>
      </c>
      <c r="F5102" s="79"/>
    </row>
    <row r="5103" spans="1:6">
      <c r="A5103" s="152">
        <f t="shared" ca="1" si="521"/>
        <v>46033</v>
      </c>
      <c r="B5103" s="115">
        <f t="shared" ca="1" si="525"/>
        <v>46033.423585532408</v>
      </c>
      <c r="C5103" s="79" t="s">
        <v>772</v>
      </c>
      <c r="D5103" s="79" t="s">
        <v>902</v>
      </c>
      <c r="E5103" s="79" t="s">
        <v>3018</v>
      </c>
      <c r="F5103" s="79"/>
    </row>
    <row r="5104" spans="1:6">
      <c r="A5104" s="152">
        <f t="shared" ca="1" si="521"/>
        <v>46033</v>
      </c>
      <c r="B5104" s="115">
        <f t="shared" ca="1" si="525"/>
        <v>46033.424631828704</v>
      </c>
      <c r="C5104" s="79" t="s">
        <v>772</v>
      </c>
      <c r="D5104" s="79" t="s">
        <v>902</v>
      </c>
      <c r="E5104" s="79" t="s">
        <v>1555</v>
      </c>
      <c r="F5104" s="79"/>
    </row>
    <row r="5105" spans="1:6">
      <c r="A5105" s="152">
        <f t="shared" ca="1" si="521"/>
        <v>46033</v>
      </c>
      <c r="B5105" s="115">
        <f t="shared" ca="1" si="525"/>
        <v>46033.432383564817</v>
      </c>
      <c r="C5105" s="79" t="s">
        <v>772</v>
      </c>
      <c r="D5105" s="150" t="s">
        <v>1007</v>
      </c>
      <c r="E5105" s="79" t="s">
        <v>3042</v>
      </c>
      <c r="F5105" s="79"/>
    </row>
    <row r="5106" spans="1:6">
      <c r="A5106" s="152">
        <f t="shared" ca="1" si="521"/>
        <v>46033</v>
      </c>
      <c r="B5106" s="115">
        <f t="shared" ca="1" si="525"/>
        <v>46033.434634259262</v>
      </c>
      <c r="C5106" s="79" t="s">
        <v>772</v>
      </c>
      <c r="D5106" s="79" t="s">
        <v>902</v>
      </c>
      <c r="E5106" s="79" t="s">
        <v>2991</v>
      </c>
      <c r="F5106" s="79"/>
    </row>
    <row r="5107" spans="1:6">
      <c r="A5107" s="152">
        <f t="shared" ca="1" si="521"/>
        <v>46033</v>
      </c>
      <c r="B5107" s="115">
        <f t="shared" ca="1" si="525"/>
        <v>46033.43950335648</v>
      </c>
      <c r="C5107" s="79" t="s">
        <v>772</v>
      </c>
      <c r="D5107" s="79" t="s">
        <v>902</v>
      </c>
      <c r="E5107" s="79" t="s">
        <v>3043</v>
      </c>
      <c r="F5107" s="79"/>
    </row>
    <row r="5108" spans="1:6">
      <c r="A5108" s="152">
        <f t="shared" ca="1" si="521"/>
        <v>46033</v>
      </c>
      <c r="B5108" s="115">
        <f t="shared" ca="1" si="525"/>
        <v>46033.440154976852</v>
      </c>
      <c r="C5108" s="79" t="s">
        <v>772</v>
      </c>
      <c r="D5108" s="79" t="s">
        <v>902</v>
      </c>
      <c r="E5108" s="79" t="s">
        <v>2489</v>
      </c>
      <c r="F5108" s="79"/>
    </row>
    <row r="5109" spans="1:6">
      <c r="A5109" s="152">
        <f t="shared" ca="1" si="521"/>
        <v>46033</v>
      </c>
      <c r="B5109" s="115">
        <f t="shared" ca="1" si="525"/>
        <v>46033.441961458331</v>
      </c>
      <c r="C5109" s="79" t="s">
        <v>772</v>
      </c>
      <c r="D5109" s="79" t="s">
        <v>902</v>
      </c>
      <c r="E5109" s="79" t="s">
        <v>2914</v>
      </c>
      <c r="F5109" s="79"/>
    </row>
    <row r="5110" spans="1:6">
      <c r="A5110" s="152">
        <f t="shared" ca="1" si="521"/>
        <v>46033</v>
      </c>
      <c r="B5110" s="115">
        <f t="shared" ca="1" si="525"/>
        <v>46033.444685879629</v>
      </c>
      <c r="C5110" s="79" t="s">
        <v>772</v>
      </c>
      <c r="D5110" s="79" t="s">
        <v>902</v>
      </c>
      <c r="E5110" s="79" t="s">
        <v>2991</v>
      </c>
      <c r="F5110" s="79"/>
    </row>
    <row r="5111" spans="1:6">
      <c r="A5111" s="152">
        <f t="shared" ca="1" si="521"/>
        <v>46033</v>
      </c>
      <c r="B5111" s="115">
        <f t="shared" ca="1" si="525"/>
        <v>46033.445748032405</v>
      </c>
      <c r="C5111" s="79" t="s">
        <v>772</v>
      </c>
      <c r="D5111" s="79" t="s">
        <v>902</v>
      </c>
      <c r="E5111" s="79" t="s">
        <v>2991</v>
      </c>
      <c r="F5111" s="79"/>
    </row>
    <row r="5112" spans="1:6">
      <c r="A5112" s="152">
        <f t="shared" ca="1" si="521"/>
        <v>46033</v>
      </c>
      <c r="B5112" s="115">
        <f t="shared" ca="1" si="525"/>
        <v>46033.449419328703</v>
      </c>
      <c r="C5112" s="79" t="s">
        <v>772</v>
      </c>
      <c r="D5112" s="79" t="s">
        <v>902</v>
      </c>
      <c r="E5112" s="79" t="s">
        <v>2991</v>
      </c>
      <c r="F5112" s="79"/>
    </row>
    <row r="5113" spans="1:6">
      <c r="A5113" s="152">
        <f t="shared" ca="1" si="521"/>
        <v>46033</v>
      </c>
      <c r="B5113" s="115">
        <f t="shared" ca="1" si="525"/>
        <v>46033.451403125</v>
      </c>
      <c r="C5113" s="79" t="s">
        <v>772</v>
      </c>
      <c r="D5113" s="79" t="s">
        <v>902</v>
      </c>
      <c r="E5113" s="79" t="s">
        <v>2991</v>
      </c>
      <c r="F5113" s="79"/>
    </row>
    <row r="5114" spans="1:6">
      <c r="A5114" s="152">
        <f t="shared" ca="1" si="521"/>
        <v>46033</v>
      </c>
      <c r="B5114" s="115">
        <f t="shared" ca="1" si="525"/>
        <v>46033.451629166666</v>
      </c>
      <c r="C5114" s="79" t="s">
        <v>772</v>
      </c>
      <c r="D5114" s="79" t="s">
        <v>902</v>
      </c>
      <c r="E5114" s="79" t="s">
        <v>2991</v>
      </c>
      <c r="F5114" s="79"/>
    </row>
    <row r="5115" spans="1:6">
      <c r="A5115" s="152">
        <f t="shared" ca="1" si="521"/>
        <v>46033</v>
      </c>
      <c r="B5115" s="115">
        <f t="shared" ca="1" si="525"/>
        <v>46033.454998611109</v>
      </c>
      <c r="C5115" s="79" t="s">
        <v>772</v>
      </c>
      <c r="D5115" s="79" t="s">
        <v>902</v>
      </c>
      <c r="E5115" s="79" t="s">
        <v>2991</v>
      </c>
      <c r="F5115" s="79"/>
    </row>
    <row r="5116" spans="1:6">
      <c r="A5116" s="152">
        <f t="shared" ca="1" si="521"/>
        <v>46033</v>
      </c>
      <c r="B5116" s="115">
        <f t="shared" ca="1" si="525"/>
        <v>46033.455033564816</v>
      </c>
      <c r="C5116" s="79" t="s">
        <v>772</v>
      </c>
      <c r="D5116" s="79" t="s">
        <v>902</v>
      </c>
      <c r="E5116" s="79" t="s">
        <v>2991</v>
      </c>
      <c r="F5116" s="79"/>
    </row>
    <row r="5117" spans="1:6">
      <c r="A5117" s="152">
        <f t="shared" ca="1" si="521"/>
        <v>46033</v>
      </c>
      <c r="B5117" s="115">
        <f t="shared" ca="1" si="525"/>
        <v>46033.466018055558</v>
      </c>
      <c r="C5117" s="79" t="s">
        <v>772</v>
      </c>
      <c r="D5117" s="210" t="s">
        <v>922</v>
      </c>
      <c r="E5117" s="79"/>
      <c r="F5117" s="79"/>
    </row>
    <row r="5118" spans="1:6">
      <c r="A5118" s="152">
        <f t="shared" ca="1" si="521"/>
        <v>46033</v>
      </c>
      <c r="B5118" s="115">
        <f t="shared" ca="1" si="525"/>
        <v>46033.515627893517</v>
      </c>
      <c r="C5118" s="79" t="s">
        <v>772</v>
      </c>
      <c r="D5118" s="210" t="s">
        <v>1098</v>
      </c>
      <c r="E5118" s="79"/>
      <c r="F5118" s="79"/>
    </row>
    <row r="5119" spans="1:6">
      <c r="A5119" s="152">
        <f t="shared" ca="1" si="521"/>
        <v>46033</v>
      </c>
      <c r="B5119" s="115">
        <f t="shared" ca="1" si="525"/>
        <v>46033.905208217591</v>
      </c>
      <c r="C5119" s="79" t="s">
        <v>777</v>
      </c>
      <c r="D5119" s="210" t="s">
        <v>906</v>
      </c>
      <c r="E5119" s="79"/>
      <c r="F5119" s="79"/>
    </row>
    <row r="5120" spans="1:6">
      <c r="A5120" s="152">
        <f t="shared" ca="1" si="521"/>
        <v>46033</v>
      </c>
      <c r="B5120" s="115">
        <f t="shared" ca="1" si="525"/>
        <v>46033.949760995369</v>
      </c>
      <c r="C5120" s="79" t="s">
        <v>777</v>
      </c>
      <c r="D5120" s="210" t="s">
        <v>909</v>
      </c>
      <c r="E5120" s="79"/>
      <c r="F5120" s="79"/>
    </row>
    <row r="5121" spans="1:6">
      <c r="A5121" s="152">
        <f t="shared" ca="1" si="521"/>
        <v>46033</v>
      </c>
      <c r="B5121" s="115">
        <f t="shared" ca="1" si="525"/>
        <v>46033.950014004629</v>
      </c>
      <c r="C5121" s="79" t="s">
        <v>777</v>
      </c>
      <c r="D5121" s="79" t="s">
        <v>902</v>
      </c>
      <c r="E5121" s="79" t="s">
        <v>3044</v>
      </c>
      <c r="F5121" s="79"/>
    </row>
    <row r="5122" spans="1:6">
      <c r="A5122" s="152">
        <f t="shared" ca="1" si="521"/>
        <v>46033</v>
      </c>
      <c r="B5122" s="115">
        <f t="shared" ca="1" si="525"/>
        <v>46033.950572337963</v>
      </c>
      <c r="C5122" s="79" t="s">
        <v>777</v>
      </c>
      <c r="D5122" s="79" t="s">
        <v>902</v>
      </c>
      <c r="E5122" s="79" t="s">
        <v>2487</v>
      </c>
      <c r="F5122" s="79"/>
    </row>
    <row r="5123" spans="1:6">
      <c r="A5123" s="152">
        <f t="shared" ca="1" si="521"/>
        <v>46033</v>
      </c>
      <c r="B5123" s="115">
        <f t="shared" ca="1" si="525"/>
        <v>46033.950897916664</v>
      </c>
      <c r="C5123" s="79" t="s">
        <v>777</v>
      </c>
      <c r="D5123" s="79" t="s">
        <v>902</v>
      </c>
      <c r="E5123" s="79" t="s">
        <v>2487</v>
      </c>
      <c r="F5123" s="79"/>
    </row>
    <row r="5124" spans="1:6">
      <c r="A5124" s="152">
        <f t="shared" ca="1" si="521"/>
        <v>46033</v>
      </c>
      <c r="B5124" s="115">
        <f t="shared" ca="1" si="525"/>
        <v>46033.95254189815</v>
      </c>
      <c r="C5124" s="79" t="s">
        <v>777</v>
      </c>
      <c r="D5124" s="79" t="s">
        <v>902</v>
      </c>
      <c r="E5124" s="79" t="s">
        <v>2961</v>
      </c>
      <c r="F5124" s="79"/>
    </row>
    <row r="5125" spans="1:6">
      <c r="A5125" s="152">
        <f t="shared" ca="1" si="521"/>
        <v>46033</v>
      </c>
      <c r="B5125" s="115">
        <f t="shared" ca="1" si="525"/>
        <v>46033.953652662036</v>
      </c>
      <c r="C5125" s="79" t="s">
        <v>777</v>
      </c>
      <c r="D5125" s="79" t="s">
        <v>902</v>
      </c>
      <c r="E5125" s="79" t="s">
        <v>3045</v>
      </c>
      <c r="F5125" s="79"/>
    </row>
    <row r="5126" spans="1:6">
      <c r="A5126" s="152">
        <f t="shared" ca="1" si="521"/>
        <v>46033</v>
      </c>
      <c r="B5126" s="115">
        <f t="shared" ca="1" si="525"/>
        <v>46033.953673032411</v>
      </c>
      <c r="C5126" s="79" t="s">
        <v>777</v>
      </c>
      <c r="D5126" s="79" t="s">
        <v>902</v>
      </c>
      <c r="E5126" s="79" t="s">
        <v>1324</v>
      </c>
      <c r="F5126" s="79"/>
    </row>
    <row r="5127" spans="1:6">
      <c r="A5127" s="152">
        <f t="shared" ca="1" si="521"/>
        <v>46033</v>
      </c>
      <c r="B5127" s="115">
        <f t="shared" ca="1" si="525"/>
        <v>46033.954111226849</v>
      </c>
      <c r="C5127" s="79" t="s">
        <v>777</v>
      </c>
      <c r="D5127" s="79" t="s">
        <v>902</v>
      </c>
      <c r="E5127" s="79" t="s">
        <v>2487</v>
      </c>
      <c r="F5127" s="79"/>
    </row>
    <row r="5128" spans="1:6">
      <c r="A5128" s="152">
        <f t="shared" ca="1" si="521"/>
        <v>46033</v>
      </c>
      <c r="B5128" s="115">
        <f t="shared" ca="1" si="525"/>
        <v>46033.954251736111</v>
      </c>
      <c r="C5128" s="79" t="s">
        <v>777</v>
      </c>
      <c r="D5128" s="79" t="s">
        <v>902</v>
      </c>
      <c r="E5128" s="79" t="s">
        <v>1062</v>
      </c>
      <c r="F5128" s="79"/>
    </row>
    <row r="5129" spans="1:6">
      <c r="A5129" s="152">
        <f t="shared" ref="A5129:A5192" ca="1" si="526">IF(C5129&lt;&gt;0,IF(A5129=0,TODAY(),A5129),)</f>
        <v>46033</v>
      </c>
      <c r="B5129" s="115">
        <f t="shared" ca="1" si="525"/>
        <v>46033.954639930555</v>
      </c>
      <c r="C5129" s="79" t="s">
        <v>777</v>
      </c>
      <c r="D5129" s="79" t="s">
        <v>902</v>
      </c>
      <c r="E5129" s="79" t="s">
        <v>2487</v>
      </c>
      <c r="F5129" s="79"/>
    </row>
    <row r="5130" spans="1:6">
      <c r="A5130" s="152">
        <f t="shared" ca="1" si="526"/>
        <v>46033</v>
      </c>
      <c r="B5130" s="115">
        <f t="shared" ca="1" si="525"/>
        <v>46033.957852314816</v>
      </c>
      <c r="C5130" s="79" t="s">
        <v>777</v>
      </c>
      <c r="D5130" s="150" t="s">
        <v>1007</v>
      </c>
      <c r="E5130" s="79" t="s">
        <v>1002</v>
      </c>
      <c r="F5130" s="79"/>
    </row>
    <row r="5131" spans="1:6">
      <c r="A5131" s="152">
        <f t="shared" ca="1" si="526"/>
        <v>46033</v>
      </c>
      <c r="B5131" s="115">
        <f t="shared" ca="1" si="525"/>
        <v>46033.960528819443</v>
      </c>
      <c r="C5131" s="79" t="s">
        <v>777</v>
      </c>
      <c r="D5131" s="79" t="s">
        <v>902</v>
      </c>
      <c r="E5131" s="79" t="s">
        <v>2487</v>
      </c>
      <c r="F5131" s="79"/>
    </row>
    <row r="5132" spans="1:6">
      <c r="A5132" s="152">
        <f t="shared" ca="1" si="526"/>
        <v>46033</v>
      </c>
      <c r="B5132" s="115">
        <f t="shared" ca="1" si="525"/>
        <v>46033.96133460648</v>
      </c>
      <c r="C5132" s="79" t="s">
        <v>777</v>
      </c>
      <c r="D5132" s="79" t="s">
        <v>902</v>
      </c>
      <c r="E5132" s="79" t="s">
        <v>1311</v>
      </c>
      <c r="F5132" s="79"/>
    </row>
    <row r="5133" spans="1:6">
      <c r="A5133" s="152">
        <f t="shared" ca="1" si="526"/>
        <v>46033</v>
      </c>
      <c r="B5133" s="115">
        <f t="shared" ca="1" si="525"/>
        <v>46033.962588310183</v>
      </c>
      <c r="C5133" s="79" t="s">
        <v>777</v>
      </c>
      <c r="D5133" s="79" t="s">
        <v>902</v>
      </c>
      <c r="E5133" s="79" t="s">
        <v>1311</v>
      </c>
      <c r="F5133" s="79"/>
    </row>
    <row r="5134" spans="1:6">
      <c r="A5134" s="152">
        <f t="shared" ca="1" si="526"/>
        <v>46033</v>
      </c>
      <c r="B5134" s="115">
        <f t="shared" ca="1" si="525"/>
        <v>46033.965473958335</v>
      </c>
      <c r="C5134" s="79" t="s">
        <v>777</v>
      </c>
      <c r="D5134" s="79" t="s">
        <v>902</v>
      </c>
      <c r="E5134" s="79" t="s">
        <v>1311</v>
      </c>
      <c r="F5134" s="79"/>
    </row>
    <row r="5135" spans="1:6">
      <c r="A5135" s="152">
        <f t="shared" ca="1" si="526"/>
        <v>46033</v>
      </c>
      <c r="B5135" s="115">
        <f t="shared" ca="1" si="525"/>
        <v>46033.965831597219</v>
      </c>
      <c r="C5135" s="79" t="s">
        <v>777</v>
      </c>
      <c r="D5135" s="79" t="s">
        <v>902</v>
      </c>
      <c r="E5135" s="79" t="s">
        <v>2964</v>
      </c>
      <c r="F5135" s="79"/>
    </row>
    <row r="5136" spans="1:6">
      <c r="A5136" s="152">
        <f t="shared" ca="1" si="526"/>
        <v>46033</v>
      </c>
      <c r="B5136" s="115">
        <f t="shared" ca="1" si="525"/>
        <v>46033.967207291666</v>
      </c>
      <c r="C5136" s="79" t="s">
        <v>777</v>
      </c>
      <c r="D5136" s="79" t="s">
        <v>902</v>
      </c>
      <c r="E5136" s="79" t="s">
        <v>1311</v>
      </c>
      <c r="F5136" s="79"/>
    </row>
    <row r="5137" spans="1:6">
      <c r="A5137" s="152">
        <f t="shared" ca="1" si="526"/>
        <v>46033</v>
      </c>
      <c r="B5137" s="115">
        <f t="shared" ca="1" si="525"/>
        <v>46033.969099768517</v>
      </c>
      <c r="C5137" s="79" t="s">
        <v>777</v>
      </c>
      <c r="D5137" s="79" t="s">
        <v>902</v>
      </c>
      <c r="E5137" s="79" t="s">
        <v>2487</v>
      </c>
      <c r="F5137" s="79"/>
    </row>
    <row r="5138" spans="1:6">
      <c r="A5138" s="152">
        <f t="shared" ca="1" si="526"/>
        <v>46033</v>
      </c>
      <c r="B5138" s="115">
        <f t="shared" ca="1" si="525"/>
        <v>46033.969442245369</v>
      </c>
      <c r="C5138" s="79" t="s">
        <v>777</v>
      </c>
      <c r="D5138" s="79" t="s">
        <v>902</v>
      </c>
      <c r="E5138" s="79" t="s">
        <v>1311</v>
      </c>
      <c r="F5138" s="79"/>
    </row>
    <row r="5139" spans="1:6">
      <c r="A5139" s="152">
        <f t="shared" ca="1" si="526"/>
        <v>46033</v>
      </c>
      <c r="B5139" s="115">
        <f t="shared" ca="1" si="525"/>
        <v>46033.969581365738</v>
      </c>
      <c r="C5139" s="79" t="s">
        <v>777</v>
      </c>
      <c r="D5139" s="79" t="s">
        <v>902</v>
      </c>
      <c r="E5139" s="79" t="s">
        <v>2487</v>
      </c>
      <c r="F5139" s="79"/>
    </row>
    <row r="5140" spans="1:6">
      <c r="A5140" s="152">
        <f t="shared" ca="1" si="526"/>
        <v>46033</v>
      </c>
      <c r="B5140" s="115">
        <f t="shared" ca="1" si="525"/>
        <v>46033.969596527779</v>
      </c>
      <c r="C5140" s="79" t="s">
        <v>777</v>
      </c>
      <c r="D5140" s="79" t="s">
        <v>902</v>
      </c>
      <c r="E5140" s="79" t="s">
        <v>2487</v>
      </c>
      <c r="F5140" s="79"/>
    </row>
    <row r="5141" spans="1:6">
      <c r="A5141" s="152">
        <f t="shared" ca="1" si="526"/>
        <v>46033</v>
      </c>
      <c r="B5141" s="115">
        <f t="shared" ca="1" si="525"/>
        <v>46033.970553356485</v>
      </c>
      <c r="C5141" s="79" t="s">
        <v>777</v>
      </c>
      <c r="D5141" s="79" t="s">
        <v>902</v>
      </c>
      <c r="E5141" s="79" t="s">
        <v>1311</v>
      </c>
      <c r="F5141" s="79"/>
    </row>
    <row r="5142" spans="1:6">
      <c r="A5142" s="152">
        <f t="shared" ca="1" si="526"/>
        <v>46033</v>
      </c>
      <c r="B5142" s="115">
        <f t="shared" ca="1" si="525"/>
        <v>46033.971929050924</v>
      </c>
      <c r="C5142" s="79" t="s">
        <v>777</v>
      </c>
      <c r="D5142" s="79" t="s">
        <v>902</v>
      </c>
      <c r="E5142" s="79" t="s">
        <v>1311</v>
      </c>
      <c r="F5142" s="79"/>
    </row>
    <row r="5143" spans="1:6">
      <c r="A5143" s="152">
        <f t="shared" ca="1" si="526"/>
        <v>46033</v>
      </c>
      <c r="B5143" s="115">
        <f t="shared" ca="1" si="525"/>
        <v>46033.974263194446</v>
      </c>
      <c r="C5143" s="79" t="s">
        <v>777</v>
      </c>
      <c r="D5143" s="79" t="s">
        <v>902</v>
      </c>
      <c r="E5143" s="79" t="s">
        <v>2349</v>
      </c>
      <c r="F5143" s="79"/>
    </row>
    <row r="5144" spans="1:6">
      <c r="A5144" s="152">
        <f t="shared" ca="1" si="526"/>
        <v>46033</v>
      </c>
      <c r="B5144" s="115">
        <f t="shared" ca="1" si="525"/>
        <v>46033.974660995373</v>
      </c>
      <c r="C5144" s="79" t="s">
        <v>777</v>
      </c>
      <c r="D5144" s="79" t="s">
        <v>902</v>
      </c>
      <c r="E5144" s="79" t="s">
        <v>1346</v>
      </c>
      <c r="F5144" s="79"/>
    </row>
    <row r="5145" spans="1:6">
      <c r="A5145" s="152">
        <f t="shared" ca="1" si="526"/>
        <v>46033</v>
      </c>
      <c r="B5145" s="115">
        <f t="shared" ca="1" si="525"/>
        <v>46033.975897800927</v>
      </c>
      <c r="C5145" s="79" t="s">
        <v>777</v>
      </c>
      <c r="D5145" s="79" t="s">
        <v>902</v>
      </c>
      <c r="E5145" s="79" t="s">
        <v>1311</v>
      </c>
      <c r="F5145" s="79"/>
    </row>
    <row r="5146" spans="1:6">
      <c r="A5146" s="152">
        <f t="shared" ca="1" si="526"/>
        <v>46033</v>
      </c>
      <c r="B5146" s="115">
        <f t="shared" ca="1" si="525"/>
        <v>46033.978350347221</v>
      </c>
      <c r="C5146" s="79" t="s">
        <v>777</v>
      </c>
      <c r="D5146" s="79" t="s">
        <v>902</v>
      </c>
      <c r="E5146" s="79" t="s">
        <v>1062</v>
      </c>
      <c r="F5146" s="79"/>
    </row>
    <row r="5147" spans="1:6">
      <c r="A5147" s="152">
        <f t="shared" ca="1" si="526"/>
        <v>46033</v>
      </c>
      <c r="B5147" s="115">
        <f t="shared" ca="1" si="525"/>
        <v>46033.978875925925</v>
      </c>
      <c r="C5147" s="79" t="s">
        <v>777</v>
      </c>
      <c r="D5147" s="79" t="s">
        <v>902</v>
      </c>
      <c r="E5147" s="79" t="s">
        <v>1324</v>
      </c>
      <c r="F5147" s="79"/>
    </row>
    <row r="5148" spans="1:6">
      <c r="A5148" s="152">
        <f t="shared" ca="1" si="526"/>
        <v>46033</v>
      </c>
      <c r="B5148" s="115">
        <f t="shared" ca="1" si="525"/>
        <v>46033.979171527775</v>
      </c>
      <c r="C5148" s="79" t="s">
        <v>777</v>
      </c>
      <c r="D5148" s="79" t="s">
        <v>902</v>
      </c>
      <c r="E5148" s="79" t="s">
        <v>2487</v>
      </c>
      <c r="F5148" s="79"/>
    </row>
    <row r="5149" spans="1:6">
      <c r="A5149" s="152">
        <f t="shared" ca="1" si="526"/>
        <v>46033</v>
      </c>
      <c r="B5149" s="115">
        <f t="shared" ca="1" si="525"/>
        <v>46033.979615856479</v>
      </c>
      <c r="C5149" s="79" t="s">
        <v>777</v>
      </c>
      <c r="D5149" s="79" t="s">
        <v>902</v>
      </c>
      <c r="E5149" s="79" t="s">
        <v>1311</v>
      </c>
      <c r="F5149" s="79"/>
    </row>
    <row r="5150" spans="1:6">
      <c r="A5150" s="152">
        <f t="shared" ca="1" si="526"/>
        <v>46033</v>
      </c>
      <c r="B5150" s="115">
        <f t="shared" ca="1" si="525"/>
        <v>46033.982524189814</v>
      </c>
      <c r="C5150" s="79" t="s">
        <v>777</v>
      </c>
      <c r="D5150" s="79" t="s">
        <v>902</v>
      </c>
      <c r="E5150" s="79" t="s">
        <v>1487</v>
      </c>
      <c r="F5150" s="79"/>
    </row>
    <row r="5151" spans="1:6">
      <c r="A5151" s="152">
        <f t="shared" ca="1" si="526"/>
        <v>46033</v>
      </c>
      <c r="B5151" s="115">
        <f t="shared" ca="1" si="525"/>
        <v>46033.98268321759</v>
      </c>
      <c r="C5151" s="79" t="s">
        <v>777</v>
      </c>
      <c r="D5151" s="79" t="s">
        <v>902</v>
      </c>
      <c r="E5151" s="79" t="s">
        <v>1311</v>
      </c>
      <c r="F5151" s="79"/>
    </row>
    <row r="5152" spans="1:6">
      <c r="A5152" s="152">
        <f t="shared" ca="1" si="526"/>
        <v>46033</v>
      </c>
      <c r="B5152" s="115">
        <f t="shared" ca="1" si="525"/>
        <v>46033.985407523149</v>
      </c>
      <c r="C5152" s="79" t="s">
        <v>777</v>
      </c>
      <c r="D5152" s="79" t="s">
        <v>902</v>
      </c>
      <c r="E5152" s="79" t="s">
        <v>1311</v>
      </c>
      <c r="F5152" s="79"/>
    </row>
    <row r="5153" spans="1:6">
      <c r="A5153" s="152">
        <f t="shared" ca="1" si="526"/>
        <v>46033</v>
      </c>
      <c r="B5153" s="115">
        <f t="shared" ca="1" si="525"/>
        <v>46033.987745949074</v>
      </c>
      <c r="C5153" s="79" t="s">
        <v>777</v>
      </c>
      <c r="D5153" s="79" t="s">
        <v>902</v>
      </c>
      <c r="E5153" s="79" t="s">
        <v>1413</v>
      </c>
      <c r="F5153" s="79"/>
    </row>
    <row r="5154" spans="1:6">
      <c r="A5154" s="152">
        <f t="shared" ca="1" si="526"/>
        <v>46033</v>
      </c>
      <c r="B5154" s="115">
        <f t="shared" ca="1" si="525"/>
        <v>46033.988793865741</v>
      </c>
      <c r="C5154" s="79" t="s">
        <v>777</v>
      </c>
      <c r="D5154" s="79" t="s">
        <v>902</v>
      </c>
      <c r="E5154" s="79" t="s">
        <v>1311</v>
      </c>
      <c r="F5154" s="79"/>
    </row>
    <row r="5155" spans="1:6">
      <c r="A5155" s="152">
        <f t="shared" ca="1" si="526"/>
        <v>46033</v>
      </c>
      <c r="B5155" s="115">
        <f t="shared" ca="1" si="525"/>
        <v>46033.991082175926</v>
      </c>
      <c r="C5155" s="79" t="s">
        <v>777</v>
      </c>
      <c r="D5155" s="79" t="s">
        <v>902</v>
      </c>
      <c r="E5155" s="79" t="s">
        <v>1062</v>
      </c>
      <c r="F5155" s="79"/>
    </row>
    <row r="5156" spans="1:6">
      <c r="A5156" s="152">
        <f t="shared" ca="1" si="526"/>
        <v>46033</v>
      </c>
      <c r="B5156" s="115">
        <f t="shared" ca="1" si="525"/>
        <v>46033.992255439814</v>
      </c>
      <c r="C5156" s="79" t="s">
        <v>777</v>
      </c>
      <c r="D5156" s="79" t="s">
        <v>902</v>
      </c>
      <c r="E5156" s="79" t="s">
        <v>1311</v>
      </c>
      <c r="F5156" s="79"/>
    </row>
    <row r="5157" spans="1:6">
      <c r="A5157" s="152">
        <f t="shared" ca="1" si="526"/>
        <v>46033</v>
      </c>
      <c r="B5157" s="115">
        <f t="shared" ca="1" si="525"/>
        <v>46033.993079050924</v>
      </c>
      <c r="C5157" s="79" t="s">
        <v>777</v>
      </c>
      <c r="D5157" s="79" t="s">
        <v>902</v>
      </c>
      <c r="E5157" s="79" t="s">
        <v>2964</v>
      </c>
      <c r="F5157" s="79"/>
    </row>
    <row r="5158" spans="1:6">
      <c r="A5158" s="152">
        <f t="shared" ca="1" si="526"/>
        <v>46033</v>
      </c>
      <c r="B5158" s="115">
        <f t="shared" ca="1" si="525"/>
        <v>46033.995053587962</v>
      </c>
      <c r="C5158" s="79" t="s">
        <v>777</v>
      </c>
      <c r="D5158" s="79" t="s">
        <v>902</v>
      </c>
      <c r="E5158" s="79" t="s">
        <v>1413</v>
      </c>
      <c r="F5158" s="79"/>
    </row>
    <row r="5159" spans="1:6">
      <c r="A5159" s="152">
        <f t="shared" ca="1" si="526"/>
        <v>46033</v>
      </c>
      <c r="B5159" s="115">
        <f t="shared" ca="1" si="525"/>
        <v>46033.995862268515</v>
      </c>
      <c r="C5159" s="79" t="s">
        <v>777</v>
      </c>
      <c r="D5159" s="79" t="s">
        <v>902</v>
      </c>
      <c r="E5159" s="79" t="s">
        <v>1062</v>
      </c>
      <c r="F5159" s="79"/>
    </row>
    <row r="5160" spans="1:6">
      <c r="A5160" s="152">
        <f t="shared" ca="1" si="526"/>
        <v>46033</v>
      </c>
      <c r="B5160" s="115">
        <f t="shared" ref="B5160:B5223" ca="1" si="527">IF(C5160&lt;&gt;0,IF(B5160=0,NOW(),B5160),)</f>
        <v>46033.997042824078</v>
      </c>
      <c r="C5160" s="79" t="s">
        <v>777</v>
      </c>
      <c r="D5160" s="79" t="s">
        <v>902</v>
      </c>
      <c r="E5160" s="79" t="s">
        <v>1311</v>
      </c>
      <c r="F5160" s="79"/>
    </row>
    <row r="5161" spans="1:6">
      <c r="A5161" s="152">
        <f t="shared" ca="1" si="526"/>
        <v>46033</v>
      </c>
      <c r="B5161" s="115">
        <f t="shared" ca="1" si="527"/>
        <v>46033.99842048611</v>
      </c>
      <c r="C5161" s="79" t="s">
        <v>777</v>
      </c>
      <c r="D5161" s="79" t="s">
        <v>902</v>
      </c>
      <c r="E5161" s="79" t="s">
        <v>2964</v>
      </c>
      <c r="F5161" s="79"/>
    </row>
    <row r="5162" spans="1:6">
      <c r="A5162" s="152">
        <f t="shared" ca="1" si="526"/>
        <v>46033</v>
      </c>
      <c r="B5162" s="115">
        <f t="shared" ca="1" si="527"/>
        <v>46033.999313541666</v>
      </c>
      <c r="C5162" s="79" t="s">
        <v>777</v>
      </c>
      <c r="D5162" s="79" t="s">
        <v>902</v>
      </c>
      <c r="E5162" s="79" t="s">
        <v>1311</v>
      </c>
      <c r="F5162" s="79"/>
    </row>
    <row r="5163" spans="1:6">
      <c r="A5163" s="152">
        <f t="shared" ca="1" si="526"/>
        <v>46034</v>
      </c>
      <c r="B5163" s="115">
        <f t="shared" ca="1" si="527"/>
        <v>46034.000298842591</v>
      </c>
      <c r="C5163" s="79" t="s">
        <v>777</v>
      </c>
      <c r="D5163" s="79" t="s">
        <v>902</v>
      </c>
      <c r="E5163" s="79" t="s">
        <v>1062</v>
      </c>
      <c r="F5163" s="79"/>
    </row>
    <row r="5164" spans="1:6">
      <c r="A5164" s="152">
        <f t="shared" ca="1" si="526"/>
        <v>46034</v>
      </c>
      <c r="B5164" s="115">
        <f t="shared" ca="1" si="527"/>
        <v>46034.00166840278</v>
      </c>
      <c r="C5164" s="79" t="s">
        <v>777</v>
      </c>
      <c r="D5164" s="79" t="s">
        <v>902</v>
      </c>
      <c r="E5164" s="79" t="s">
        <v>2487</v>
      </c>
      <c r="F5164" s="79"/>
    </row>
    <row r="5165" spans="1:6">
      <c r="A5165" s="152">
        <f t="shared" ca="1" si="526"/>
        <v>46034</v>
      </c>
      <c r="B5165" s="115">
        <f t="shared" ca="1" si="527"/>
        <v>46034.001954050924</v>
      </c>
      <c r="C5165" s="79" t="s">
        <v>777</v>
      </c>
      <c r="D5165" s="79" t="s">
        <v>902</v>
      </c>
      <c r="E5165" s="79" t="s">
        <v>2964</v>
      </c>
      <c r="F5165" s="79"/>
    </row>
    <row r="5166" spans="1:6">
      <c r="A5166" s="152">
        <f t="shared" ca="1" si="526"/>
        <v>46034</v>
      </c>
      <c r="B5166" s="115">
        <f t="shared" ca="1" si="527"/>
        <v>46034.002767939812</v>
      </c>
      <c r="C5166" s="79" t="s">
        <v>777</v>
      </c>
      <c r="D5166" s="79" t="s">
        <v>902</v>
      </c>
      <c r="E5166" s="79" t="s">
        <v>3046</v>
      </c>
      <c r="F5166" s="79"/>
    </row>
    <row r="5167" spans="1:6">
      <c r="A5167" s="152">
        <f t="shared" ca="1" si="526"/>
        <v>46034</v>
      </c>
      <c r="B5167" s="115">
        <f t="shared" ca="1" si="527"/>
        <v>46034.004627662034</v>
      </c>
      <c r="C5167" s="79" t="s">
        <v>777</v>
      </c>
      <c r="D5167" s="79" t="s">
        <v>902</v>
      </c>
      <c r="E5167" s="79" t="s">
        <v>3047</v>
      </c>
      <c r="F5167" s="79"/>
    </row>
    <row r="5168" spans="1:6">
      <c r="A5168" s="152">
        <f t="shared" ca="1" si="526"/>
        <v>46034</v>
      </c>
      <c r="B5168" s="115">
        <f t="shared" ca="1" si="527"/>
        <v>46034.00555671296</v>
      </c>
      <c r="C5168" s="79" t="s">
        <v>777</v>
      </c>
      <c r="D5168" s="79" t="s">
        <v>902</v>
      </c>
      <c r="E5168" s="79" t="s">
        <v>1062</v>
      </c>
      <c r="F5168" s="79"/>
    </row>
    <row r="5169" spans="1:6">
      <c r="A5169" s="152">
        <f t="shared" ca="1" si="526"/>
        <v>46034</v>
      </c>
      <c r="B5169" s="115">
        <f t="shared" ca="1" si="527"/>
        <v>46034.006162384256</v>
      </c>
      <c r="C5169" s="79" t="s">
        <v>777</v>
      </c>
      <c r="D5169" s="79" t="s">
        <v>902</v>
      </c>
      <c r="E5169" s="79" t="s">
        <v>3048</v>
      </c>
      <c r="F5169" s="79"/>
    </row>
    <row r="5170" spans="1:6">
      <c r="A5170" s="152">
        <f t="shared" ca="1" si="526"/>
        <v>46034</v>
      </c>
      <c r="B5170" s="115">
        <f t="shared" ca="1" si="527"/>
        <v>46034.009019791665</v>
      </c>
      <c r="C5170" s="79" t="s">
        <v>777</v>
      </c>
      <c r="D5170" s="79" t="s">
        <v>902</v>
      </c>
      <c r="E5170" s="79" t="s">
        <v>3049</v>
      </c>
      <c r="F5170" s="79"/>
    </row>
    <row r="5171" spans="1:6">
      <c r="A5171" s="152">
        <f t="shared" ca="1" si="526"/>
        <v>46034</v>
      </c>
      <c r="B5171" s="115">
        <f t="shared" ca="1" si="527"/>
        <v>46034.00911550926</v>
      </c>
      <c r="C5171" s="79" t="s">
        <v>777</v>
      </c>
      <c r="D5171" s="79" t="s">
        <v>902</v>
      </c>
      <c r="E5171" s="79" t="s">
        <v>2487</v>
      </c>
      <c r="F5171" s="79"/>
    </row>
    <row r="5172" spans="1:6">
      <c r="A5172" s="152">
        <f t="shared" ca="1" si="526"/>
        <v>46034</v>
      </c>
      <c r="B5172" s="115">
        <f t="shared" ca="1" si="527"/>
        <v>46034.009380787036</v>
      </c>
      <c r="C5172" s="79" t="s">
        <v>777</v>
      </c>
      <c r="D5172" s="79" t="s">
        <v>902</v>
      </c>
      <c r="E5172" s="79" t="s">
        <v>1174</v>
      </c>
      <c r="F5172" s="79"/>
    </row>
    <row r="5173" spans="1:6">
      <c r="A5173" s="152">
        <f t="shared" ca="1" si="526"/>
        <v>46034</v>
      </c>
      <c r="B5173" s="115">
        <f t="shared" ca="1" si="527"/>
        <v>46034.009539814811</v>
      </c>
      <c r="C5173" s="79" t="s">
        <v>777</v>
      </c>
      <c r="D5173" s="79" t="s">
        <v>902</v>
      </c>
      <c r="E5173" s="79" t="s">
        <v>1346</v>
      </c>
      <c r="F5173" s="79"/>
    </row>
    <row r="5174" spans="1:6">
      <c r="A5174" s="152">
        <f t="shared" ca="1" si="526"/>
        <v>46034</v>
      </c>
      <c r="B5174" s="115">
        <f t="shared" ca="1" si="527"/>
        <v>46034.009960648145</v>
      </c>
      <c r="C5174" s="79" t="s">
        <v>777</v>
      </c>
      <c r="D5174" s="79" t="s">
        <v>902</v>
      </c>
      <c r="E5174" s="79" t="s">
        <v>2487</v>
      </c>
      <c r="F5174" s="79"/>
    </row>
    <row r="5175" spans="1:6">
      <c r="A5175" s="152">
        <f t="shared" ca="1" si="526"/>
        <v>46034</v>
      </c>
      <c r="B5175" s="115">
        <f t="shared" ca="1" si="527"/>
        <v>46034.010090856478</v>
      </c>
      <c r="C5175" s="79" t="s">
        <v>777</v>
      </c>
      <c r="D5175" s="79" t="s">
        <v>902</v>
      </c>
      <c r="E5175" s="79" t="s">
        <v>3050</v>
      </c>
      <c r="F5175" s="79"/>
    </row>
    <row r="5176" spans="1:6">
      <c r="A5176" s="152">
        <f t="shared" ca="1" si="526"/>
        <v>46034</v>
      </c>
      <c r="B5176" s="115">
        <f t="shared" ca="1" si="527"/>
        <v>46034.011627777778</v>
      </c>
      <c r="C5176" s="79" t="s">
        <v>777</v>
      </c>
      <c r="D5176" s="79" t="s">
        <v>902</v>
      </c>
      <c r="E5176" s="79" t="s">
        <v>2487</v>
      </c>
      <c r="F5176" s="79"/>
    </row>
    <row r="5177" spans="1:6">
      <c r="A5177" s="152">
        <f t="shared" ca="1" si="526"/>
        <v>46034</v>
      </c>
      <c r="B5177" s="115">
        <f t="shared" ca="1" si="527"/>
        <v>46034.013362384256</v>
      </c>
      <c r="C5177" s="79" t="s">
        <v>777</v>
      </c>
      <c r="D5177" s="79" t="s">
        <v>902</v>
      </c>
      <c r="E5177" s="79" t="s">
        <v>2487</v>
      </c>
      <c r="F5177" s="79"/>
    </row>
    <row r="5178" spans="1:6">
      <c r="A5178" s="152">
        <f t="shared" ca="1" si="526"/>
        <v>46034</v>
      </c>
      <c r="B5178" s="115">
        <f t="shared" ca="1" si="527"/>
        <v>46034.014772800925</v>
      </c>
      <c r="C5178" s="79" t="s">
        <v>777</v>
      </c>
      <c r="D5178" s="79" t="s">
        <v>902</v>
      </c>
      <c r="E5178" s="79" t="s">
        <v>2487</v>
      </c>
      <c r="F5178" s="79"/>
    </row>
    <row r="5179" spans="1:6">
      <c r="A5179" s="152">
        <f t="shared" ca="1" si="526"/>
        <v>46034</v>
      </c>
      <c r="B5179" s="115">
        <f t="shared" ca="1" si="527"/>
        <v>46034.015435648151</v>
      </c>
      <c r="C5179" s="79" t="s">
        <v>777</v>
      </c>
      <c r="D5179" s="79" t="s">
        <v>902</v>
      </c>
      <c r="E5179" s="79" t="s">
        <v>2487</v>
      </c>
      <c r="F5179" s="79"/>
    </row>
    <row r="5180" spans="1:6">
      <c r="A5180" s="152">
        <f t="shared" ca="1" si="526"/>
        <v>46034</v>
      </c>
      <c r="B5180" s="115">
        <f t="shared" ca="1" si="527"/>
        <v>46034.017145370373</v>
      </c>
      <c r="C5180" s="79" t="s">
        <v>777</v>
      </c>
      <c r="D5180" s="79" t="s">
        <v>902</v>
      </c>
      <c r="E5180" s="79" t="s">
        <v>2487</v>
      </c>
      <c r="F5180" s="79"/>
    </row>
    <row r="5181" spans="1:6">
      <c r="A5181" s="152">
        <f t="shared" ca="1" si="526"/>
        <v>46034</v>
      </c>
      <c r="B5181" s="115">
        <f t="shared" ca="1" si="527"/>
        <v>46034.018671990743</v>
      </c>
      <c r="C5181" s="79" t="s">
        <v>777</v>
      </c>
      <c r="D5181" s="79" t="s">
        <v>902</v>
      </c>
      <c r="E5181" s="79" t="s">
        <v>3051</v>
      </c>
      <c r="F5181" s="79"/>
    </row>
    <row r="5182" spans="1:6">
      <c r="A5182" s="152">
        <f t="shared" ca="1" si="526"/>
        <v>46034</v>
      </c>
      <c r="B5182" s="115">
        <f t="shared" ca="1" si="527"/>
        <v>46034.021937731479</v>
      </c>
      <c r="C5182" s="79" t="s">
        <v>777</v>
      </c>
      <c r="D5182" s="79" t="s">
        <v>902</v>
      </c>
      <c r="E5182" s="79" t="s">
        <v>3052</v>
      </c>
      <c r="F5182" s="79"/>
    </row>
    <row r="5183" spans="1:6">
      <c r="A5183" s="152">
        <f t="shared" ca="1" si="526"/>
        <v>46034</v>
      </c>
      <c r="B5183" s="115">
        <f t="shared" ca="1" si="527"/>
        <v>46034.02196701389</v>
      </c>
      <c r="C5183" s="79" t="s">
        <v>777</v>
      </c>
      <c r="D5183" s="79" t="s">
        <v>902</v>
      </c>
      <c r="E5183" s="79" t="s">
        <v>3053</v>
      </c>
      <c r="F5183" s="79"/>
    </row>
    <row r="5184" spans="1:6">
      <c r="A5184" s="152">
        <f t="shared" ca="1" si="526"/>
        <v>46034</v>
      </c>
      <c r="B5184" s="115">
        <f t="shared" ca="1" si="527"/>
        <v>46034.026653587964</v>
      </c>
      <c r="C5184" s="79" t="s">
        <v>777</v>
      </c>
      <c r="D5184" s="79" t="s">
        <v>902</v>
      </c>
      <c r="E5184" s="79" t="s">
        <v>1346</v>
      </c>
      <c r="F5184" s="79"/>
    </row>
    <row r="5185" spans="1:6">
      <c r="A5185" s="152">
        <f t="shared" ca="1" si="526"/>
        <v>46034</v>
      </c>
      <c r="B5185" s="115">
        <f t="shared" ca="1" si="527"/>
        <v>46034.030117708331</v>
      </c>
      <c r="C5185" s="79" t="s">
        <v>777</v>
      </c>
      <c r="D5185" s="79" t="s">
        <v>902</v>
      </c>
      <c r="E5185" s="79" t="s">
        <v>3054</v>
      </c>
      <c r="F5185" s="79"/>
    </row>
    <row r="5186" spans="1:6">
      <c r="A5186" s="152">
        <f t="shared" ca="1" si="526"/>
        <v>46034</v>
      </c>
      <c r="B5186" s="115">
        <f t="shared" ca="1" si="527"/>
        <v>46034.035721875</v>
      </c>
      <c r="C5186" s="79" t="s">
        <v>777</v>
      </c>
      <c r="D5186" s="79" t="s">
        <v>902</v>
      </c>
      <c r="E5186" s="79" t="s">
        <v>955</v>
      </c>
      <c r="F5186" s="79"/>
    </row>
    <row r="5187" spans="1:6">
      <c r="A5187" s="152">
        <f t="shared" ca="1" si="526"/>
        <v>46034</v>
      </c>
      <c r="B5187" s="115">
        <f t="shared" ca="1" si="527"/>
        <v>46034.036271064811</v>
      </c>
      <c r="C5187" s="79" t="s">
        <v>777</v>
      </c>
      <c r="D5187" s="79" t="s">
        <v>902</v>
      </c>
      <c r="E5187" s="79" t="s">
        <v>955</v>
      </c>
      <c r="F5187" s="79"/>
    </row>
    <row r="5188" spans="1:6">
      <c r="A5188" s="152">
        <f t="shared" ca="1" si="526"/>
        <v>46034</v>
      </c>
      <c r="B5188" s="115">
        <f t="shared" ca="1" si="527"/>
        <v>46034.038303125002</v>
      </c>
      <c r="C5188" s="79" t="s">
        <v>777</v>
      </c>
      <c r="D5188" s="79" t="s">
        <v>902</v>
      </c>
      <c r="E5188" s="79" t="s">
        <v>2875</v>
      </c>
      <c r="F5188" s="79"/>
    </row>
    <row r="5189" spans="1:6">
      <c r="A5189" s="152">
        <f t="shared" ca="1" si="526"/>
        <v>46034</v>
      </c>
      <c r="B5189" s="115">
        <f t="shared" ca="1" si="527"/>
        <v>46034.038389930553</v>
      </c>
      <c r="C5189" s="79" t="s">
        <v>777</v>
      </c>
      <c r="D5189" s="79" t="s">
        <v>902</v>
      </c>
      <c r="E5189" s="79" t="s">
        <v>932</v>
      </c>
      <c r="F5189" s="79"/>
    </row>
    <row r="5190" spans="1:6">
      <c r="A5190" s="152">
        <f t="shared" ca="1" si="526"/>
        <v>46034</v>
      </c>
      <c r="B5190" s="115">
        <f t="shared" ca="1" si="527"/>
        <v>46034.038506712961</v>
      </c>
      <c r="C5190" s="79" t="s">
        <v>777</v>
      </c>
      <c r="D5190" s="79" t="s">
        <v>902</v>
      </c>
      <c r="E5190" s="79" t="s">
        <v>955</v>
      </c>
      <c r="F5190" s="79"/>
    </row>
    <row r="5191" spans="1:6">
      <c r="A5191" s="152">
        <f t="shared" ca="1" si="526"/>
        <v>46034</v>
      </c>
      <c r="B5191" s="115">
        <f t="shared" ca="1" si="527"/>
        <v>46034.038731597226</v>
      </c>
      <c r="C5191" s="79" t="s">
        <v>777</v>
      </c>
      <c r="D5191" s="79" t="s">
        <v>902</v>
      </c>
      <c r="E5191" s="79" t="s">
        <v>2932</v>
      </c>
      <c r="F5191" s="79"/>
    </row>
    <row r="5192" spans="1:6">
      <c r="A5192" s="152">
        <f t="shared" ca="1" si="526"/>
        <v>46034</v>
      </c>
      <c r="B5192" s="115">
        <f t="shared" ca="1" si="527"/>
        <v>46034.038908101851</v>
      </c>
      <c r="C5192" s="79" t="s">
        <v>777</v>
      </c>
      <c r="D5192" s="79" t="s">
        <v>902</v>
      </c>
      <c r="E5192" s="79" t="s">
        <v>3055</v>
      </c>
      <c r="F5192" s="79"/>
    </row>
    <row r="5193" spans="1:6">
      <c r="A5193" s="152">
        <f t="shared" ref="A5193:A5256" ca="1" si="528">IF(C5193&lt;&gt;0,IF(A5193=0,TODAY(),A5193),)</f>
        <v>46034</v>
      </c>
      <c r="B5193" s="115">
        <f t="shared" ca="1" si="527"/>
        <v>46034.046559490744</v>
      </c>
      <c r="C5193" s="79" t="s">
        <v>777</v>
      </c>
      <c r="D5193" s="79" t="s">
        <v>902</v>
      </c>
      <c r="E5193" s="79" t="s">
        <v>2830</v>
      </c>
      <c r="F5193" s="79"/>
    </row>
    <row r="5194" spans="1:6">
      <c r="A5194" s="152">
        <f t="shared" ca="1" si="528"/>
        <v>46034</v>
      </c>
      <c r="B5194" s="115">
        <f t="shared" ca="1" si="527"/>
        <v>46034.048248495368</v>
      </c>
      <c r="C5194" s="79" t="s">
        <v>777</v>
      </c>
      <c r="D5194" s="79" t="s">
        <v>902</v>
      </c>
      <c r="E5194" s="79" t="s">
        <v>932</v>
      </c>
      <c r="F5194" s="79"/>
    </row>
    <row r="5195" spans="1:6">
      <c r="A5195" s="152">
        <f t="shared" ca="1" si="528"/>
        <v>46034</v>
      </c>
      <c r="B5195" s="115">
        <f t="shared" ca="1" si="527"/>
        <v>46034.048461689817</v>
      </c>
      <c r="C5195" s="79" t="s">
        <v>777</v>
      </c>
      <c r="D5195" s="79" t="s">
        <v>902</v>
      </c>
      <c r="E5195" s="79" t="s">
        <v>932</v>
      </c>
      <c r="F5195" s="79"/>
    </row>
    <row r="5196" spans="1:6">
      <c r="A5196" s="152">
        <f t="shared" ca="1" si="528"/>
        <v>46034</v>
      </c>
      <c r="B5196" s="115">
        <f t="shared" ca="1" si="527"/>
        <v>46034.049160300929</v>
      </c>
      <c r="C5196" s="79" t="s">
        <v>777</v>
      </c>
      <c r="D5196" s="79" t="s">
        <v>902</v>
      </c>
      <c r="E5196" s="79" t="s">
        <v>1062</v>
      </c>
      <c r="F5196" s="79"/>
    </row>
    <row r="5197" spans="1:6">
      <c r="A5197" s="152">
        <f t="shared" ca="1" si="528"/>
        <v>46034</v>
      </c>
      <c r="B5197" s="115">
        <f t="shared" ca="1" si="527"/>
        <v>46034.05027511574</v>
      </c>
      <c r="C5197" s="79" t="s">
        <v>777</v>
      </c>
      <c r="D5197" s="79" t="s">
        <v>902</v>
      </c>
      <c r="E5197" s="79" t="s">
        <v>955</v>
      </c>
      <c r="F5197" s="79"/>
    </row>
    <row r="5198" spans="1:6">
      <c r="A5198" s="152">
        <f t="shared" ca="1" si="528"/>
        <v>46034</v>
      </c>
      <c r="B5198" s="115">
        <f t="shared" ca="1" si="527"/>
        <v>46034.052485416665</v>
      </c>
      <c r="C5198" s="79" t="s">
        <v>777</v>
      </c>
      <c r="D5198" s="79" t="s">
        <v>902</v>
      </c>
      <c r="E5198" s="79" t="s">
        <v>3056</v>
      </c>
      <c r="F5198" s="79" t="s">
        <v>3056</v>
      </c>
    </row>
    <row r="5199" spans="1:6">
      <c r="A5199" s="152">
        <f t="shared" ca="1" si="528"/>
        <v>46034</v>
      </c>
      <c r="B5199" s="115">
        <f t="shared" ca="1" si="527"/>
        <v>46034.056250462963</v>
      </c>
      <c r="C5199" s="79" t="s">
        <v>777</v>
      </c>
      <c r="D5199" s="79" t="s">
        <v>902</v>
      </c>
      <c r="E5199" s="79" t="s">
        <v>3054</v>
      </c>
      <c r="F5199" s="79"/>
    </row>
    <row r="5200" spans="1:6">
      <c r="A5200" s="152">
        <f t="shared" ca="1" si="528"/>
        <v>46034</v>
      </c>
      <c r="B5200" s="115">
        <f t="shared" ca="1" si="527"/>
        <v>46034.060127893521</v>
      </c>
      <c r="C5200" s="79" t="s">
        <v>777</v>
      </c>
      <c r="D5200" s="79" t="s">
        <v>902</v>
      </c>
      <c r="E5200" s="79" t="s">
        <v>2692</v>
      </c>
      <c r="F5200" s="79"/>
    </row>
    <row r="5201" spans="1:6">
      <c r="A5201" s="152">
        <f t="shared" ca="1" si="528"/>
        <v>46034</v>
      </c>
      <c r="B5201" s="115">
        <f t="shared" ca="1" si="527"/>
        <v>46034.066483101851</v>
      </c>
      <c r="C5201" s="79" t="s">
        <v>777</v>
      </c>
      <c r="D5201" s="79" t="s">
        <v>902</v>
      </c>
      <c r="E5201" s="79" t="s">
        <v>2349</v>
      </c>
      <c r="F5201" s="79"/>
    </row>
    <row r="5202" spans="1:6">
      <c r="A5202" s="152">
        <f t="shared" ca="1" si="528"/>
        <v>46034</v>
      </c>
      <c r="B5202" s="115">
        <f t="shared" ca="1" si="527"/>
        <v>46034.071772800926</v>
      </c>
      <c r="C5202" s="79" t="s">
        <v>777</v>
      </c>
      <c r="D5202" s="79" t="s">
        <v>902</v>
      </c>
      <c r="E5202" s="79" t="s">
        <v>3057</v>
      </c>
      <c r="F5202" s="79"/>
    </row>
    <row r="5203" spans="1:6">
      <c r="A5203" s="152">
        <f t="shared" ca="1" si="528"/>
        <v>46034</v>
      </c>
      <c r="B5203" s="115">
        <f t="shared" ca="1" si="527"/>
        <v>46034.073673726853</v>
      </c>
      <c r="C5203" s="79" t="s">
        <v>777</v>
      </c>
      <c r="D5203" s="79" t="s">
        <v>902</v>
      </c>
      <c r="E5203" s="79" t="s">
        <v>3057</v>
      </c>
      <c r="F5203" s="79"/>
    </row>
    <row r="5204" spans="1:6">
      <c r="A5204" s="152">
        <f t="shared" ca="1" si="528"/>
        <v>46034</v>
      </c>
      <c r="B5204" s="115">
        <f t="shared" ca="1" si="527"/>
        <v>46034.078996064818</v>
      </c>
      <c r="C5204" s="79" t="s">
        <v>777</v>
      </c>
      <c r="D5204" s="79" t="s">
        <v>902</v>
      </c>
      <c r="E5204" s="79" t="s">
        <v>932</v>
      </c>
      <c r="F5204" s="79"/>
    </row>
    <row r="5205" spans="1:6">
      <c r="A5205" s="152">
        <f t="shared" ca="1" si="528"/>
        <v>46034</v>
      </c>
      <c r="B5205" s="115">
        <f t="shared" ca="1" si="527"/>
        <v>46034.0800318287</v>
      </c>
      <c r="C5205" s="79" t="s">
        <v>777</v>
      </c>
      <c r="D5205" s="79" t="s">
        <v>902</v>
      </c>
      <c r="E5205" s="79" t="s">
        <v>3058</v>
      </c>
      <c r="F5205" s="79"/>
    </row>
    <row r="5206" spans="1:6">
      <c r="A5206" s="152">
        <f t="shared" ca="1" si="528"/>
        <v>46034</v>
      </c>
      <c r="B5206" s="115">
        <f t="shared" ca="1" si="527"/>
        <v>46034.091717592593</v>
      </c>
      <c r="C5206" s="79" t="s">
        <v>777</v>
      </c>
      <c r="D5206" s="79" t="s">
        <v>902</v>
      </c>
      <c r="E5206" s="79" t="s">
        <v>3059</v>
      </c>
      <c r="F5206" s="79"/>
    </row>
    <row r="5207" spans="1:6">
      <c r="A5207" s="152">
        <f t="shared" ca="1" si="528"/>
        <v>46034</v>
      </c>
      <c r="B5207" s="115">
        <f t="shared" ca="1" si="527"/>
        <v>46034.092825347223</v>
      </c>
      <c r="C5207" s="79" t="s">
        <v>777</v>
      </c>
      <c r="D5207" s="79" t="s">
        <v>902</v>
      </c>
      <c r="E5207" s="79" t="s">
        <v>932</v>
      </c>
      <c r="F5207" s="79"/>
    </row>
    <row r="5208" spans="1:6">
      <c r="A5208" s="152">
        <f t="shared" ca="1" si="528"/>
        <v>46034</v>
      </c>
      <c r="B5208" s="115">
        <f t="shared" ca="1" si="527"/>
        <v>46034.094812152776</v>
      </c>
      <c r="C5208" s="79" t="s">
        <v>777</v>
      </c>
      <c r="D5208" s="79" t="s">
        <v>902</v>
      </c>
      <c r="E5208" s="79" t="s">
        <v>1346</v>
      </c>
      <c r="F5208" s="79"/>
    </row>
    <row r="5209" spans="1:6">
      <c r="A5209" s="152">
        <f t="shared" ca="1" si="528"/>
        <v>46034</v>
      </c>
      <c r="B5209" s="115">
        <f t="shared" ca="1" si="527"/>
        <v>46034.09694236111</v>
      </c>
      <c r="C5209" s="79" t="s">
        <v>777</v>
      </c>
      <c r="D5209" s="79" t="s">
        <v>902</v>
      </c>
      <c r="E5209" s="79" t="s">
        <v>1062</v>
      </c>
      <c r="F5209" s="79"/>
    </row>
    <row r="5210" spans="1:6">
      <c r="A5210" s="152">
        <f t="shared" ca="1" si="528"/>
        <v>46034</v>
      </c>
      <c r="B5210" s="115">
        <f t="shared" ca="1" si="527"/>
        <v>46034.099248842591</v>
      </c>
      <c r="C5210" s="79" t="s">
        <v>777</v>
      </c>
      <c r="D5210" s="79" t="s">
        <v>902</v>
      </c>
      <c r="E5210" s="79" t="s">
        <v>955</v>
      </c>
      <c r="F5210" s="79"/>
    </row>
    <row r="5211" spans="1:6">
      <c r="A5211" s="152">
        <f t="shared" ca="1" si="528"/>
        <v>46034</v>
      </c>
      <c r="B5211" s="115">
        <f t="shared" ca="1" si="527"/>
        <v>46034.102990509258</v>
      </c>
      <c r="C5211" s="79" t="s">
        <v>777</v>
      </c>
      <c r="D5211" s="79" t="s">
        <v>902</v>
      </c>
      <c r="E5211" s="79" t="s">
        <v>2875</v>
      </c>
      <c r="F5211" s="79"/>
    </row>
    <row r="5212" spans="1:6">
      <c r="A5212" s="152">
        <f t="shared" ca="1" si="528"/>
        <v>46034</v>
      </c>
      <c r="B5212" s="115">
        <f t="shared" ca="1" si="527"/>
        <v>46034.103760648148</v>
      </c>
      <c r="C5212" s="79" t="s">
        <v>777</v>
      </c>
      <c r="D5212" s="79" t="s">
        <v>902</v>
      </c>
      <c r="E5212" s="79" t="s">
        <v>932</v>
      </c>
      <c r="F5212" s="79"/>
    </row>
    <row r="5213" spans="1:6">
      <c r="A5213" s="152">
        <f t="shared" ca="1" si="528"/>
        <v>46034</v>
      </c>
      <c r="B5213" s="115">
        <f t="shared" ca="1" si="527"/>
        <v>46034.103926851851</v>
      </c>
      <c r="C5213" s="79" t="s">
        <v>777</v>
      </c>
      <c r="D5213" s="79" t="s">
        <v>902</v>
      </c>
      <c r="E5213" s="79" t="s">
        <v>932</v>
      </c>
      <c r="F5213" s="79"/>
    </row>
    <row r="5214" spans="1:6">
      <c r="A5214" s="152">
        <f t="shared" ca="1" si="528"/>
        <v>46034</v>
      </c>
      <c r="B5214" s="115">
        <f t="shared" ca="1" si="527"/>
        <v>46034.104999768519</v>
      </c>
      <c r="C5214" s="79" t="s">
        <v>777</v>
      </c>
      <c r="D5214" s="79" t="s">
        <v>902</v>
      </c>
      <c r="E5214" s="79" t="s">
        <v>932</v>
      </c>
      <c r="F5214" s="79"/>
    </row>
    <row r="5215" spans="1:6">
      <c r="A5215" s="152">
        <f t="shared" ca="1" si="528"/>
        <v>46034</v>
      </c>
      <c r="B5215" s="115">
        <f t="shared" ca="1" si="527"/>
        <v>46034.10503796296</v>
      </c>
      <c r="C5215" s="79" t="s">
        <v>777</v>
      </c>
      <c r="D5215" s="79" t="s">
        <v>902</v>
      </c>
      <c r="E5215" s="79" t="s">
        <v>2487</v>
      </c>
      <c r="F5215" s="79"/>
    </row>
    <row r="5216" spans="1:6">
      <c r="A5216" s="152">
        <f t="shared" ca="1" si="528"/>
        <v>46034</v>
      </c>
      <c r="B5216" s="115">
        <f t="shared" ca="1" si="527"/>
        <v>46034.108919560182</v>
      </c>
      <c r="C5216" s="79" t="s">
        <v>777</v>
      </c>
      <c r="D5216" s="79" t="s">
        <v>902</v>
      </c>
      <c r="E5216" s="79" t="s">
        <v>3060</v>
      </c>
      <c r="F5216" s="79"/>
    </row>
    <row r="5217" spans="1:6">
      <c r="A5217" s="152">
        <f t="shared" ca="1" si="528"/>
        <v>46034</v>
      </c>
      <c r="B5217" s="115">
        <f t="shared" ca="1" si="527"/>
        <v>46034.110232523148</v>
      </c>
      <c r="C5217" s="79" t="s">
        <v>777</v>
      </c>
      <c r="D5217" s="79" t="s">
        <v>902</v>
      </c>
      <c r="E5217" s="79" t="s">
        <v>1225</v>
      </c>
      <c r="F5217" s="79"/>
    </row>
    <row r="5218" spans="1:6">
      <c r="A5218" s="152">
        <f t="shared" ca="1" si="528"/>
        <v>46034</v>
      </c>
      <c r="B5218" s="115">
        <f t="shared" ca="1" si="527"/>
        <v>46034.110761689815</v>
      </c>
      <c r="C5218" s="79" t="s">
        <v>777</v>
      </c>
      <c r="D5218" s="79" t="s">
        <v>902</v>
      </c>
      <c r="E5218" s="79" t="s">
        <v>955</v>
      </c>
      <c r="F5218" s="79"/>
    </row>
    <row r="5219" spans="1:6">
      <c r="A5219" s="152">
        <f t="shared" ca="1" si="528"/>
        <v>46034</v>
      </c>
      <c r="B5219" s="115">
        <f t="shared" ca="1" si="527"/>
        <v>46034.111014004629</v>
      </c>
      <c r="C5219" s="79" t="s">
        <v>777</v>
      </c>
      <c r="D5219" s="79" t="s">
        <v>902</v>
      </c>
      <c r="E5219" s="79" t="s">
        <v>932</v>
      </c>
      <c r="F5219" s="79"/>
    </row>
    <row r="5220" spans="1:6">
      <c r="A5220" s="152">
        <f t="shared" ca="1" si="528"/>
        <v>46034</v>
      </c>
      <c r="B5220" s="115">
        <f t="shared" ca="1" si="527"/>
        <v>46034.111175810183</v>
      </c>
      <c r="C5220" s="79" t="s">
        <v>777</v>
      </c>
      <c r="D5220" s="79" t="s">
        <v>902</v>
      </c>
      <c r="E5220" s="79" t="s">
        <v>3061</v>
      </c>
      <c r="F5220" s="79"/>
    </row>
    <row r="5221" spans="1:6">
      <c r="A5221" s="152">
        <f t="shared" ca="1" si="528"/>
        <v>46034</v>
      </c>
      <c r="B5221" s="115">
        <f t="shared" ca="1" si="527"/>
        <v>46034.111345254627</v>
      </c>
      <c r="C5221" s="79" t="s">
        <v>777</v>
      </c>
      <c r="D5221" s="79" t="s">
        <v>902</v>
      </c>
      <c r="E5221" s="79" t="s">
        <v>3062</v>
      </c>
      <c r="F5221" s="79"/>
    </row>
    <row r="5222" spans="1:6">
      <c r="A5222" s="152">
        <f t="shared" ca="1" si="528"/>
        <v>46034</v>
      </c>
      <c r="B5222" s="115">
        <f t="shared" ca="1" si="527"/>
        <v>46034.112208101855</v>
      </c>
      <c r="C5222" s="79" t="s">
        <v>777</v>
      </c>
      <c r="D5222" s="79" t="s">
        <v>902</v>
      </c>
      <c r="E5222" s="79" t="s">
        <v>2487</v>
      </c>
      <c r="F5222" s="79"/>
    </row>
    <row r="5223" spans="1:6">
      <c r="A5223" s="152">
        <f t="shared" ca="1" si="528"/>
        <v>46034</v>
      </c>
      <c r="B5223" s="115">
        <f t="shared" ca="1" si="527"/>
        <v>46034.113824884262</v>
      </c>
      <c r="C5223" s="79" t="s">
        <v>777</v>
      </c>
      <c r="D5223" s="79" t="s">
        <v>902</v>
      </c>
      <c r="E5223" s="79" t="s">
        <v>2487</v>
      </c>
      <c r="F5223" s="79"/>
    </row>
    <row r="5224" spans="1:6">
      <c r="A5224" s="152">
        <f t="shared" ca="1" si="528"/>
        <v>46034</v>
      </c>
      <c r="B5224" s="115">
        <f t="shared" ref="B5224:B5287" ca="1" si="529">IF(C5224&lt;&gt;0,IF(B5224=0,NOW(),B5224),)</f>
        <v>46034.114477546296</v>
      </c>
      <c r="C5224" s="79" t="s">
        <v>777</v>
      </c>
      <c r="D5224" s="79" t="s">
        <v>902</v>
      </c>
      <c r="E5224" s="79" t="s">
        <v>932</v>
      </c>
      <c r="F5224" s="79"/>
    </row>
    <row r="5225" spans="1:6">
      <c r="A5225" s="152">
        <f t="shared" ca="1" si="528"/>
        <v>46034</v>
      </c>
      <c r="B5225" s="115">
        <f t="shared" ca="1" si="529"/>
        <v>46034.114618634259</v>
      </c>
      <c r="C5225" s="79" t="s">
        <v>777</v>
      </c>
      <c r="D5225" s="79" t="s">
        <v>902</v>
      </c>
      <c r="E5225" s="79" t="s">
        <v>932</v>
      </c>
      <c r="F5225" s="79"/>
    </row>
    <row r="5226" spans="1:6">
      <c r="A5226" s="152">
        <f t="shared" ca="1" si="528"/>
        <v>46034</v>
      </c>
      <c r="B5226" s="115">
        <f t="shared" ca="1" si="529"/>
        <v>46034.115246643516</v>
      </c>
      <c r="C5226" s="79" t="s">
        <v>777</v>
      </c>
      <c r="D5226" s="79" t="s">
        <v>902</v>
      </c>
      <c r="E5226" s="79" t="s">
        <v>932</v>
      </c>
      <c r="F5226" s="79"/>
    </row>
    <row r="5227" spans="1:6">
      <c r="A5227" s="152">
        <f t="shared" ca="1" si="528"/>
        <v>46034</v>
      </c>
      <c r="B5227" s="115">
        <f t="shared" ca="1" si="529"/>
        <v>46034.119512268517</v>
      </c>
      <c r="C5227" s="79" t="s">
        <v>777</v>
      </c>
      <c r="D5227" s="79" t="s">
        <v>902</v>
      </c>
      <c r="E5227" s="79" t="s">
        <v>3063</v>
      </c>
      <c r="F5227" s="79"/>
    </row>
    <row r="5228" spans="1:6">
      <c r="A5228" s="152">
        <f t="shared" ca="1" si="528"/>
        <v>46034</v>
      </c>
      <c r="B5228" s="115">
        <f t="shared" ca="1" si="529"/>
        <v>46034.120020833332</v>
      </c>
      <c r="C5228" s="79" t="s">
        <v>777</v>
      </c>
      <c r="D5228" s="79" t="s">
        <v>902</v>
      </c>
      <c r="E5228" s="79" t="s">
        <v>1346</v>
      </c>
      <c r="F5228" s="79"/>
    </row>
    <row r="5229" spans="1:6">
      <c r="A5229" s="152">
        <f t="shared" ca="1" si="528"/>
        <v>46034</v>
      </c>
      <c r="B5229" s="115">
        <f t="shared" ca="1" si="529"/>
        <v>46034.121752430554</v>
      </c>
      <c r="C5229" s="79" t="s">
        <v>777</v>
      </c>
      <c r="D5229" s="79" t="s">
        <v>902</v>
      </c>
      <c r="E5229" s="79" t="s">
        <v>3063</v>
      </c>
      <c r="F5229" s="79"/>
    </row>
    <row r="5230" spans="1:6">
      <c r="A5230" s="152">
        <f t="shared" ca="1" si="528"/>
        <v>46034</v>
      </c>
      <c r="B5230" s="115">
        <f t="shared" ca="1" si="529"/>
        <v>46034.125010416668</v>
      </c>
      <c r="C5230" s="79" t="s">
        <v>777</v>
      </c>
      <c r="D5230" s="79" t="s">
        <v>902</v>
      </c>
      <c r="E5230" s="79" t="s">
        <v>1487</v>
      </c>
      <c r="F5230" s="79"/>
    </row>
    <row r="5231" spans="1:6">
      <c r="A5231" s="152">
        <f t="shared" ca="1" si="528"/>
        <v>46034</v>
      </c>
      <c r="B5231" s="115">
        <f t="shared" ca="1" si="529"/>
        <v>46034.125021412037</v>
      </c>
      <c r="C5231" s="79" t="s">
        <v>777</v>
      </c>
      <c r="D5231" s="79" t="s">
        <v>902</v>
      </c>
      <c r="E5231" s="79" t="s">
        <v>1225</v>
      </c>
      <c r="F5231" s="79"/>
    </row>
    <row r="5232" spans="1:6">
      <c r="A5232" s="152">
        <f t="shared" ca="1" si="528"/>
        <v>46034</v>
      </c>
      <c r="B5232" s="115">
        <f t="shared" ca="1" si="529"/>
        <v>46034.125329166665</v>
      </c>
      <c r="C5232" s="79" t="s">
        <v>777</v>
      </c>
      <c r="D5232" s="79" t="s">
        <v>902</v>
      </c>
      <c r="E5232" s="79" t="s">
        <v>3064</v>
      </c>
      <c r="F5232" s="79"/>
    </row>
    <row r="5233" spans="1:6">
      <c r="A5233" s="152">
        <f t="shared" ca="1" si="528"/>
        <v>46034</v>
      </c>
      <c r="B5233" s="115">
        <f t="shared" ca="1" si="529"/>
        <v>46034.126885532409</v>
      </c>
      <c r="C5233" s="79" t="s">
        <v>777</v>
      </c>
      <c r="D5233" s="79" t="s">
        <v>902</v>
      </c>
      <c r="E5233" s="79" t="s">
        <v>2956</v>
      </c>
      <c r="F5233" s="79"/>
    </row>
    <row r="5234" spans="1:6">
      <c r="A5234" s="152">
        <f t="shared" ca="1" si="528"/>
        <v>46034</v>
      </c>
      <c r="B5234" s="115">
        <f t="shared" ca="1" si="529"/>
        <v>46034.128641550924</v>
      </c>
      <c r="C5234" s="79" t="s">
        <v>777</v>
      </c>
      <c r="D5234" s="79" t="s">
        <v>902</v>
      </c>
      <c r="E5234" s="79" t="s">
        <v>1225</v>
      </c>
      <c r="F5234" s="79"/>
    </row>
    <row r="5235" spans="1:6">
      <c r="A5235" s="152">
        <f t="shared" ca="1" si="528"/>
        <v>46034</v>
      </c>
      <c r="B5235" s="115">
        <f t="shared" ca="1" si="529"/>
        <v>46034.131360763888</v>
      </c>
      <c r="C5235" s="79" t="s">
        <v>777</v>
      </c>
      <c r="D5235" s="79" t="s">
        <v>902</v>
      </c>
      <c r="E5235" s="79" t="s">
        <v>1225</v>
      </c>
      <c r="F5235" s="79"/>
    </row>
    <row r="5236" spans="1:6">
      <c r="A5236" s="152">
        <f t="shared" ca="1" si="528"/>
        <v>46034</v>
      </c>
      <c r="B5236" s="115">
        <f t="shared" ca="1" si="529"/>
        <v>46034.132978240741</v>
      </c>
      <c r="C5236" s="79" t="s">
        <v>777</v>
      </c>
      <c r="D5236" s="79" t="s">
        <v>902</v>
      </c>
      <c r="E5236" s="79" t="s">
        <v>3065</v>
      </c>
      <c r="F5236" s="79"/>
    </row>
    <row r="5237" spans="1:6">
      <c r="A5237" s="152">
        <f t="shared" ca="1" si="528"/>
        <v>46034</v>
      </c>
      <c r="B5237" s="115">
        <f t="shared" ca="1" si="529"/>
        <v>46034.133348842595</v>
      </c>
      <c r="C5237" s="79" t="s">
        <v>777</v>
      </c>
      <c r="D5237" s="79" t="s">
        <v>902</v>
      </c>
      <c r="E5237" s="79" t="s">
        <v>1225</v>
      </c>
      <c r="F5237" s="79"/>
    </row>
    <row r="5238" spans="1:6">
      <c r="A5238" s="152">
        <f t="shared" ca="1" si="528"/>
        <v>46034</v>
      </c>
      <c r="B5238" s="115">
        <f t="shared" ca="1" si="529"/>
        <v>46034.141941666669</v>
      </c>
      <c r="C5238" s="79" t="s">
        <v>777</v>
      </c>
      <c r="D5238" s="79" t="s">
        <v>902</v>
      </c>
      <c r="E5238" s="79" t="s">
        <v>1225</v>
      </c>
      <c r="F5238" s="79"/>
    </row>
    <row r="5239" spans="1:6">
      <c r="A5239" s="152">
        <f t="shared" ca="1" si="528"/>
        <v>46034</v>
      </c>
      <c r="B5239" s="115">
        <f t="shared" ca="1" si="529"/>
        <v>46034.145926273151</v>
      </c>
      <c r="C5239" s="79" t="s">
        <v>777</v>
      </c>
      <c r="D5239" s="79" t="s">
        <v>902</v>
      </c>
      <c r="E5239" s="79" t="s">
        <v>955</v>
      </c>
      <c r="F5239" s="79"/>
    </row>
    <row r="5240" spans="1:6">
      <c r="A5240" s="152">
        <f t="shared" ca="1" si="528"/>
        <v>46034</v>
      </c>
      <c r="B5240" s="115">
        <f t="shared" ca="1" si="529"/>
        <v>46034.148077314814</v>
      </c>
      <c r="C5240" s="79" t="s">
        <v>777</v>
      </c>
      <c r="D5240" s="79" t="s">
        <v>902</v>
      </c>
      <c r="E5240" s="79" t="s">
        <v>2349</v>
      </c>
      <c r="F5240" s="79"/>
    </row>
    <row r="5241" spans="1:6">
      <c r="A5241" s="152">
        <f t="shared" ca="1" si="528"/>
        <v>46034</v>
      </c>
      <c r="B5241" s="115">
        <f t="shared" ca="1" si="529"/>
        <v>46034.150627546296</v>
      </c>
      <c r="C5241" s="79" t="s">
        <v>777</v>
      </c>
      <c r="D5241" s="79" t="s">
        <v>902</v>
      </c>
      <c r="E5241" s="79" t="s">
        <v>1225</v>
      </c>
      <c r="F5241" s="79"/>
    </row>
    <row r="5242" spans="1:6">
      <c r="A5242" s="152">
        <f t="shared" ca="1" si="528"/>
        <v>46034</v>
      </c>
      <c r="B5242" s="115">
        <f t="shared" ca="1" si="529"/>
        <v>46034.152541319447</v>
      </c>
      <c r="C5242" s="79" t="s">
        <v>777</v>
      </c>
      <c r="D5242" s="79" t="s">
        <v>902</v>
      </c>
      <c r="E5242" s="79" t="s">
        <v>955</v>
      </c>
      <c r="F5242" s="79"/>
    </row>
    <row r="5243" spans="1:6">
      <c r="A5243" s="152">
        <f t="shared" ca="1" si="528"/>
        <v>46034</v>
      </c>
      <c r="B5243" s="115">
        <f t="shared" ca="1" si="529"/>
        <v>46034.154285763892</v>
      </c>
      <c r="C5243" s="79" t="s">
        <v>777</v>
      </c>
      <c r="D5243" s="79" t="s">
        <v>902</v>
      </c>
      <c r="E5243" s="79" t="s">
        <v>3066</v>
      </c>
      <c r="F5243" s="79"/>
    </row>
    <row r="5244" spans="1:6">
      <c r="A5244" s="152">
        <f t="shared" ca="1" si="528"/>
        <v>46034</v>
      </c>
      <c r="B5244" s="115">
        <f t="shared" ca="1" si="529"/>
        <v>46034.155971064814</v>
      </c>
      <c r="C5244" s="79" t="s">
        <v>777</v>
      </c>
      <c r="D5244" s="79" t="s">
        <v>902</v>
      </c>
      <c r="E5244" s="79" t="s">
        <v>932</v>
      </c>
      <c r="F5244" s="79"/>
    </row>
    <row r="5245" spans="1:6">
      <c r="A5245" s="152">
        <f t="shared" ca="1" si="528"/>
        <v>46034</v>
      </c>
      <c r="B5245" s="115">
        <f t="shared" ca="1" si="529"/>
        <v>46034.157934490744</v>
      </c>
      <c r="C5245" s="79" t="s">
        <v>777</v>
      </c>
      <c r="D5245" s="79" t="s">
        <v>902</v>
      </c>
      <c r="E5245" s="79" t="s">
        <v>3067</v>
      </c>
      <c r="F5245" s="79"/>
    </row>
    <row r="5246" spans="1:6">
      <c r="A5246" s="152">
        <f t="shared" ca="1" si="528"/>
        <v>46034</v>
      </c>
      <c r="B5246" s="115">
        <f t="shared" ca="1" si="529"/>
        <v>46034.159673379632</v>
      </c>
      <c r="C5246" s="79" t="s">
        <v>777</v>
      </c>
      <c r="D5246" s="79" t="s">
        <v>902</v>
      </c>
      <c r="E5246" s="79" t="s">
        <v>3068</v>
      </c>
      <c r="F5246" s="79"/>
    </row>
    <row r="5247" spans="1:6">
      <c r="A5247" s="152">
        <f t="shared" ca="1" si="528"/>
        <v>46034</v>
      </c>
      <c r="B5247" s="115">
        <f t="shared" ca="1" si="529"/>
        <v>46034.160777083336</v>
      </c>
      <c r="C5247" s="79" t="s">
        <v>777</v>
      </c>
      <c r="D5247" s="79" t="s">
        <v>902</v>
      </c>
      <c r="E5247" s="79" t="s">
        <v>3069</v>
      </c>
      <c r="F5247" s="79"/>
    </row>
    <row r="5248" spans="1:6">
      <c r="A5248" s="152">
        <f t="shared" ca="1" si="528"/>
        <v>46034</v>
      </c>
      <c r="B5248" s="115">
        <f t="shared" ca="1" si="529"/>
        <v>46034.162847685184</v>
      </c>
      <c r="C5248" s="79" t="s">
        <v>777</v>
      </c>
      <c r="D5248" s="79" t="s">
        <v>902</v>
      </c>
      <c r="E5248" s="79" t="s">
        <v>3070</v>
      </c>
      <c r="F5248" s="79"/>
    </row>
    <row r="5249" spans="1:6">
      <c r="A5249" s="152">
        <f t="shared" ca="1" si="528"/>
        <v>46034</v>
      </c>
      <c r="B5249" s="115">
        <f t="shared" ca="1" si="529"/>
        <v>46034.166184606482</v>
      </c>
      <c r="C5249" s="79" t="s">
        <v>777</v>
      </c>
      <c r="D5249" s="79" t="s">
        <v>902</v>
      </c>
      <c r="E5249" s="79" t="s">
        <v>3065</v>
      </c>
      <c r="F5249" s="79"/>
    </row>
    <row r="5250" spans="1:6">
      <c r="A5250" s="152">
        <f t="shared" ca="1" si="528"/>
        <v>46034</v>
      </c>
      <c r="B5250" s="115">
        <f t="shared" ca="1" si="529"/>
        <v>46034.167193171299</v>
      </c>
      <c r="C5250" s="79" t="s">
        <v>777</v>
      </c>
      <c r="D5250" s="79" t="s">
        <v>902</v>
      </c>
      <c r="E5250" s="79" t="s">
        <v>1734</v>
      </c>
      <c r="F5250" s="79"/>
    </row>
    <row r="5251" spans="1:6">
      <c r="A5251" s="152">
        <f t="shared" ca="1" si="528"/>
        <v>46034</v>
      </c>
      <c r="B5251" s="115">
        <f t="shared" ca="1" si="529"/>
        <v>46034.167760763892</v>
      </c>
      <c r="C5251" s="79" t="s">
        <v>777</v>
      </c>
      <c r="D5251" s="79" t="s">
        <v>902</v>
      </c>
      <c r="E5251" s="79" t="s">
        <v>955</v>
      </c>
      <c r="F5251" s="79"/>
    </row>
    <row r="5252" spans="1:6">
      <c r="A5252" s="152">
        <f t="shared" ca="1" si="528"/>
        <v>46034</v>
      </c>
      <c r="B5252" s="115">
        <f t="shared" ca="1" si="529"/>
        <v>46034.17362303241</v>
      </c>
      <c r="C5252" s="79" t="s">
        <v>777</v>
      </c>
      <c r="D5252" s="79" t="s">
        <v>902</v>
      </c>
      <c r="E5252" s="79" t="s">
        <v>3071</v>
      </c>
      <c r="F5252" s="79"/>
    </row>
    <row r="5253" spans="1:6">
      <c r="A5253" s="152">
        <f t="shared" ca="1" si="528"/>
        <v>46034</v>
      </c>
      <c r="B5253" s="115">
        <f t="shared" ca="1" si="529"/>
        <v>46034.173716898149</v>
      </c>
      <c r="C5253" s="79" t="s">
        <v>777</v>
      </c>
      <c r="D5253" s="79" t="s">
        <v>902</v>
      </c>
      <c r="E5253" s="79" t="s">
        <v>1992</v>
      </c>
      <c r="F5253" s="79"/>
    </row>
    <row r="5254" spans="1:6">
      <c r="A5254" s="152">
        <f t="shared" ca="1" si="528"/>
        <v>46034</v>
      </c>
      <c r="B5254" s="115">
        <f t="shared" ca="1" si="529"/>
        <v>46034.176385300925</v>
      </c>
      <c r="C5254" s="79" t="s">
        <v>777</v>
      </c>
      <c r="D5254" s="79" t="s">
        <v>902</v>
      </c>
      <c r="E5254" s="79" t="s">
        <v>3069</v>
      </c>
      <c r="F5254" s="79"/>
    </row>
    <row r="5255" spans="1:6">
      <c r="A5255" s="152">
        <f t="shared" ca="1" si="528"/>
        <v>46034</v>
      </c>
      <c r="B5255" s="115">
        <f t="shared" ca="1" si="529"/>
        <v>46034.179166898146</v>
      </c>
      <c r="C5255" s="79" t="s">
        <v>777</v>
      </c>
      <c r="D5255" s="79" t="s">
        <v>902</v>
      </c>
      <c r="E5255" s="79" t="s">
        <v>1697</v>
      </c>
      <c r="F5255" s="79"/>
    </row>
    <row r="5256" spans="1:6">
      <c r="A5256" s="152">
        <f t="shared" ca="1" si="528"/>
        <v>46034</v>
      </c>
      <c r="B5256" s="115">
        <f t="shared" ca="1" si="529"/>
        <v>46034.181087152778</v>
      </c>
      <c r="C5256" s="79" t="s">
        <v>777</v>
      </c>
      <c r="D5256" s="79" t="s">
        <v>902</v>
      </c>
      <c r="E5256" s="79" t="s">
        <v>3071</v>
      </c>
      <c r="F5256" s="79"/>
    </row>
    <row r="5257" spans="1:6">
      <c r="A5257" s="152">
        <f t="shared" ref="A5257:A5320" ca="1" si="530">IF(C5257&lt;&gt;0,IF(A5257=0,TODAY(),A5257),)</f>
        <v>46034</v>
      </c>
      <c r="B5257" s="115">
        <f t="shared" ca="1" si="529"/>
        <v>46034.184823842596</v>
      </c>
      <c r="C5257" s="79" t="s">
        <v>777</v>
      </c>
      <c r="D5257" s="79" t="s">
        <v>902</v>
      </c>
      <c r="E5257" s="79" t="s">
        <v>1173</v>
      </c>
      <c r="F5257" s="79"/>
    </row>
    <row r="5258" spans="1:6">
      <c r="A5258" s="152">
        <f t="shared" ca="1" si="530"/>
        <v>46034</v>
      </c>
      <c r="B5258" s="115">
        <f t="shared" ca="1" si="529"/>
        <v>46034.188358680556</v>
      </c>
      <c r="C5258" s="79" t="s">
        <v>777</v>
      </c>
      <c r="D5258" s="79" t="s">
        <v>902</v>
      </c>
      <c r="E5258" s="79" t="s">
        <v>1173</v>
      </c>
      <c r="F5258" s="79"/>
    </row>
    <row r="5259" spans="1:6">
      <c r="A5259" s="152">
        <f t="shared" ca="1" si="530"/>
        <v>46034</v>
      </c>
      <c r="B5259" s="115">
        <f t="shared" ca="1" si="529"/>
        <v>46034.189821412037</v>
      </c>
      <c r="C5259" s="79" t="s">
        <v>777</v>
      </c>
      <c r="D5259" s="79" t="s">
        <v>902</v>
      </c>
      <c r="E5259" s="79" t="s">
        <v>1173</v>
      </c>
      <c r="F5259" s="79"/>
    </row>
    <row r="5260" spans="1:6">
      <c r="A5260" s="152">
        <f t="shared" ca="1" si="530"/>
        <v>46034</v>
      </c>
      <c r="B5260" s="115">
        <f t="shared" ca="1" si="529"/>
        <v>46034.190956712962</v>
      </c>
      <c r="C5260" s="79" t="s">
        <v>777</v>
      </c>
      <c r="D5260" s="79" t="s">
        <v>902</v>
      </c>
      <c r="E5260" s="79" t="s">
        <v>1837</v>
      </c>
      <c r="F5260" s="79"/>
    </row>
    <row r="5261" spans="1:6">
      <c r="A5261" s="152">
        <f t="shared" ca="1" si="530"/>
        <v>46034</v>
      </c>
      <c r="B5261" s="115">
        <f t="shared" ca="1" si="529"/>
        <v>46034.194946527779</v>
      </c>
      <c r="C5261" s="79" t="s">
        <v>777</v>
      </c>
      <c r="D5261" s="79" t="s">
        <v>902</v>
      </c>
      <c r="E5261" s="79" t="s">
        <v>3072</v>
      </c>
      <c r="F5261" s="79"/>
    </row>
    <row r="5262" spans="1:6">
      <c r="A5262" s="152">
        <f t="shared" ca="1" si="530"/>
        <v>46034</v>
      </c>
      <c r="B5262" s="115">
        <f t="shared" ca="1" si="529"/>
        <v>46034.197426620369</v>
      </c>
      <c r="C5262" s="79" t="s">
        <v>777</v>
      </c>
      <c r="D5262" s="79" t="s">
        <v>902</v>
      </c>
      <c r="E5262" s="79" t="s">
        <v>3072</v>
      </c>
      <c r="F5262" s="79"/>
    </row>
    <row r="5263" spans="1:6">
      <c r="A5263" s="152">
        <f t="shared" ca="1" si="530"/>
        <v>46034</v>
      </c>
      <c r="B5263" s="115">
        <f t="shared" ca="1" si="529"/>
        <v>46034.199423495367</v>
      </c>
      <c r="C5263" s="79" t="s">
        <v>777</v>
      </c>
      <c r="D5263" s="79" t="s">
        <v>902</v>
      </c>
      <c r="E5263" s="79" t="s">
        <v>1173</v>
      </c>
      <c r="F5263" s="79"/>
    </row>
    <row r="5264" spans="1:6">
      <c r="A5264" s="152">
        <f t="shared" ca="1" si="530"/>
        <v>46034</v>
      </c>
      <c r="B5264" s="115">
        <f t="shared" ca="1" si="529"/>
        <v>46034.205151967595</v>
      </c>
      <c r="C5264" s="79" t="s">
        <v>777</v>
      </c>
      <c r="D5264" s="79" t="s">
        <v>902</v>
      </c>
      <c r="E5264" s="79" t="s">
        <v>1173</v>
      </c>
      <c r="F5264" s="79"/>
    </row>
    <row r="5265" spans="1:6">
      <c r="A5265" s="152">
        <f t="shared" ca="1" si="530"/>
        <v>46034</v>
      </c>
      <c r="B5265" s="115">
        <f t="shared" ca="1" si="529"/>
        <v>46034.206186689815</v>
      </c>
      <c r="C5265" s="79" t="s">
        <v>777</v>
      </c>
      <c r="D5265" s="79" t="s">
        <v>902</v>
      </c>
      <c r="E5265" s="79" t="s">
        <v>1837</v>
      </c>
      <c r="F5265" s="79"/>
    </row>
    <row r="5266" spans="1:6">
      <c r="A5266" s="152">
        <f t="shared" ca="1" si="530"/>
        <v>46034</v>
      </c>
      <c r="B5266" s="115">
        <f t="shared" ca="1" si="529"/>
        <v>46034.210576504629</v>
      </c>
      <c r="C5266" s="79" t="s">
        <v>777</v>
      </c>
      <c r="D5266" s="79" t="s">
        <v>902</v>
      </c>
      <c r="E5266" s="79" t="s">
        <v>3073</v>
      </c>
      <c r="F5266" s="79"/>
    </row>
    <row r="5267" spans="1:6">
      <c r="A5267" s="152">
        <f t="shared" ca="1" si="530"/>
        <v>46034</v>
      </c>
      <c r="B5267" s="115">
        <f t="shared" ca="1" si="529"/>
        <v>46034.213013310182</v>
      </c>
      <c r="C5267" s="79" t="s">
        <v>777</v>
      </c>
      <c r="D5267" s="79" t="s">
        <v>902</v>
      </c>
      <c r="E5267" s="79" t="s">
        <v>1931</v>
      </c>
      <c r="F5267" s="79"/>
    </row>
    <row r="5268" spans="1:6">
      <c r="A5268" s="152">
        <f t="shared" ca="1" si="530"/>
        <v>46034</v>
      </c>
      <c r="B5268" s="115">
        <f t="shared" ca="1" si="529"/>
        <v>46034.215784953703</v>
      </c>
      <c r="C5268" s="79" t="s">
        <v>777</v>
      </c>
      <c r="D5268" s="79" t="s">
        <v>902</v>
      </c>
      <c r="E5268" s="79" t="s">
        <v>1837</v>
      </c>
      <c r="F5268" s="79"/>
    </row>
    <row r="5269" spans="1:6">
      <c r="A5269" s="152">
        <f t="shared" ca="1" si="530"/>
        <v>46034</v>
      </c>
      <c r="B5269" s="115">
        <f t="shared" ca="1" si="529"/>
        <v>46034.21816921296</v>
      </c>
      <c r="C5269" s="79" t="s">
        <v>777</v>
      </c>
      <c r="D5269" s="210" t="s">
        <v>922</v>
      </c>
      <c r="E5269" s="79" t="s">
        <v>3074</v>
      </c>
      <c r="F5269" s="79"/>
    </row>
    <row r="5270" spans="1:6" s="150" customFormat="1">
      <c r="A5270" s="151">
        <f t="shared" ca="1" si="530"/>
        <v>46034</v>
      </c>
      <c r="B5270" s="149">
        <f t="shared" ca="1" si="529"/>
        <v>46034.235084490741</v>
      </c>
      <c r="C5270" s="150" t="s">
        <v>777</v>
      </c>
      <c r="D5270" s="210" t="s">
        <v>1098</v>
      </c>
    </row>
    <row r="5271" spans="1:6" s="150" customFormat="1">
      <c r="A5271" s="151">
        <f t="shared" ca="1" si="530"/>
        <v>46034</v>
      </c>
      <c r="B5271" s="149">
        <f t="shared" ca="1" si="529"/>
        <v>46034.309546759258</v>
      </c>
      <c r="C5271" s="150" t="s">
        <v>781</v>
      </c>
      <c r="D5271" s="210" t="s">
        <v>906</v>
      </c>
    </row>
    <row r="5272" spans="1:6">
      <c r="A5272" s="152">
        <f t="shared" ca="1" si="530"/>
        <v>46034</v>
      </c>
      <c r="B5272" s="115">
        <f t="shared" ca="1" si="529"/>
        <v>46034.347031597223</v>
      </c>
      <c r="C5272" s="79" t="s">
        <v>781</v>
      </c>
      <c r="D5272" s="210" t="s">
        <v>909</v>
      </c>
      <c r="E5272" s="79" t="s">
        <v>1199</v>
      </c>
      <c r="F5272" s="79"/>
    </row>
    <row r="5273" spans="1:6">
      <c r="A5273" s="152">
        <f t="shared" ca="1" si="530"/>
        <v>46034</v>
      </c>
      <c r="B5273" s="115">
        <f t="shared" ca="1" si="529"/>
        <v>46034.348400462964</v>
      </c>
      <c r="C5273" s="79" t="s">
        <v>781</v>
      </c>
      <c r="D5273" s="79" t="s">
        <v>902</v>
      </c>
      <c r="E5273" s="79" t="s">
        <v>2489</v>
      </c>
      <c r="F5273" s="79"/>
    </row>
    <row r="5274" spans="1:6">
      <c r="A5274" s="152">
        <f t="shared" ca="1" si="530"/>
        <v>46034</v>
      </c>
      <c r="B5274" s="115">
        <f t="shared" ca="1" si="529"/>
        <v>46034.349874768515</v>
      </c>
      <c r="C5274" s="79" t="s">
        <v>781</v>
      </c>
      <c r="D5274" s="79" t="s">
        <v>902</v>
      </c>
      <c r="E5274" s="79" t="s">
        <v>2489</v>
      </c>
      <c r="F5274" s="79"/>
    </row>
    <row r="5275" spans="1:6">
      <c r="A5275" s="152">
        <f t="shared" ca="1" si="530"/>
        <v>46034</v>
      </c>
      <c r="B5275" s="115">
        <f t="shared" ca="1" si="529"/>
        <v>46034.350091782406</v>
      </c>
      <c r="C5275" s="79" t="s">
        <v>781</v>
      </c>
      <c r="D5275" s="79" t="s">
        <v>902</v>
      </c>
      <c r="E5275" s="79" t="s">
        <v>3075</v>
      </c>
      <c r="F5275" s="79"/>
    </row>
    <row r="5276" spans="1:6">
      <c r="A5276" s="152">
        <f t="shared" ca="1" si="530"/>
        <v>46034</v>
      </c>
      <c r="B5276" s="115">
        <f t="shared" ca="1" si="529"/>
        <v>46034.350383680554</v>
      </c>
      <c r="C5276" s="79" t="s">
        <v>781</v>
      </c>
      <c r="D5276" s="79" t="s">
        <v>902</v>
      </c>
      <c r="E5276" s="79" t="s">
        <v>3076</v>
      </c>
      <c r="F5276" s="79"/>
    </row>
    <row r="5277" spans="1:6">
      <c r="A5277" s="152">
        <f t="shared" ca="1" si="530"/>
        <v>46034</v>
      </c>
      <c r="B5277" s="115">
        <f t="shared" ca="1" si="529"/>
        <v>46034.352288888891</v>
      </c>
      <c r="C5277" s="79" t="s">
        <v>781</v>
      </c>
      <c r="D5277" s="79" t="s">
        <v>902</v>
      </c>
      <c r="E5277" s="79" t="s">
        <v>3077</v>
      </c>
      <c r="F5277" s="79"/>
    </row>
    <row r="5278" spans="1:6">
      <c r="A5278" s="152">
        <f t="shared" ca="1" si="530"/>
        <v>46034</v>
      </c>
      <c r="B5278" s="115">
        <f t="shared" ca="1" si="529"/>
        <v>46034.353368171294</v>
      </c>
      <c r="C5278" s="79" t="s">
        <v>781</v>
      </c>
      <c r="D5278" s="79" t="s">
        <v>902</v>
      </c>
      <c r="E5278" s="79" t="s">
        <v>2489</v>
      </c>
      <c r="F5278" s="79"/>
    </row>
    <row r="5279" spans="1:6">
      <c r="A5279" s="152">
        <f t="shared" ca="1" si="530"/>
        <v>46034</v>
      </c>
      <c r="B5279" s="115">
        <f t="shared" ca="1" si="529"/>
        <v>46034.356697106479</v>
      </c>
      <c r="C5279" s="79" t="s">
        <v>781</v>
      </c>
      <c r="D5279" s="79" t="s">
        <v>902</v>
      </c>
      <c r="E5279" s="79" t="s">
        <v>913</v>
      </c>
      <c r="F5279" s="79"/>
    </row>
    <row r="5280" spans="1:6">
      <c r="A5280" s="152">
        <f t="shared" ca="1" si="530"/>
        <v>46034</v>
      </c>
      <c r="B5280" s="115">
        <f t="shared" ca="1" si="529"/>
        <v>46034.360512037034</v>
      </c>
      <c r="C5280" s="79" t="s">
        <v>781</v>
      </c>
      <c r="D5280" s="79" t="s">
        <v>902</v>
      </c>
      <c r="E5280" s="79" t="s">
        <v>3078</v>
      </c>
      <c r="F5280" s="79"/>
    </row>
    <row r="5281" spans="1:6">
      <c r="A5281" s="152">
        <f t="shared" ca="1" si="530"/>
        <v>46034</v>
      </c>
      <c r="B5281" s="115">
        <f t="shared" ca="1" si="529"/>
        <v>46034.362521643518</v>
      </c>
      <c r="C5281" s="79" t="s">
        <v>781</v>
      </c>
      <c r="D5281" s="79" t="s">
        <v>902</v>
      </c>
      <c r="E5281" s="79" t="s">
        <v>2493</v>
      </c>
      <c r="F5281" s="79"/>
    </row>
    <row r="5282" spans="1:6">
      <c r="A5282" s="152">
        <f t="shared" ca="1" si="530"/>
        <v>46034</v>
      </c>
      <c r="B5282" s="115">
        <f t="shared" ca="1" si="529"/>
        <v>46034.363826504632</v>
      </c>
      <c r="C5282" s="79" t="s">
        <v>781</v>
      </c>
      <c r="D5282" s="79" t="s">
        <v>902</v>
      </c>
      <c r="E5282" s="79" t="s">
        <v>3079</v>
      </c>
      <c r="F5282" s="79"/>
    </row>
    <row r="5283" spans="1:6">
      <c r="A5283" s="152">
        <f t="shared" ca="1" si="530"/>
        <v>46034</v>
      </c>
      <c r="B5283" s="115">
        <f t="shared" ca="1" si="529"/>
        <v>46034.364733449074</v>
      </c>
      <c r="C5283" s="79" t="s">
        <v>781</v>
      </c>
      <c r="D5283" s="79" t="s">
        <v>902</v>
      </c>
      <c r="E5283" s="79" t="s">
        <v>2493</v>
      </c>
      <c r="F5283" s="79"/>
    </row>
    <row r="5284" spans="1:6">
      <c r="A5284" s="152">
        <f t="shared" ca="1" si="530"/>
        <v>46034</v>
      </c>
      <c r="B5284" s="115">
        <f t="shared" ca="1" si="529"/>
        <v>46034.364910416669</v>
      </c>
      <c r="C5284" s="79" t="s">
        <v>781</v>
      </c>
      <c r="D5284" s="79" t="s">
        <v>902</v>
      </c>
      <c r="E5284" s="79" t="s">
        <v>3079</v>
      </c>
      <c r="F5284" s="79"/>
    </row>
    <row r="5285" spans="1:6">
      <c r="A5285" s="152">
        <f t="shared" ca="1" si="530"/>
        <v>46034</v>
      </c>
      <c r="B5285" s="115">
        <f t="shared" ca="1" si="529"/>
        <v>46034.365329513887</v>
      </c>
      <c r="C5285" s="79" t="s">
        <v>781</v>
      </c>
      <c r="D5285" s="79" t="s">
        <v>902</v>
      </c>
      <c r="E5285" s="79" t="s">
        <v>2493</v>
      </c>
      <c r="F5285" s="79"/>
    </row>
    <row r="5286" spans="1:6">
      <c r="A5286" s="152">
        <f t="shared" ca="1" si="530"/>
        <v>46034</v>
      </c>
      <c r="B5286" s="115">
        <f t="shared" ca="1" si="529"/>
        <v>46034.367177777778</v>
      </c>
      <c r="C5286" s="79" t="s">
        <v>781</v>
      </c>
      <c r="D5286" s="79" t="s">
        <v>902</v>
      </c>
      <c r="E5286" s="79" t="s">
        <v>2493</v>
      </c>
      <c r="F5286" s="79"/>
    </row>
    <row r="5287" spans="1:6">
      <c r="A5287" s="152">
        <f t="shared" ca="1" si="530"/>
        <v>46034</v>
      </c>
      <c r="B5287" s="115">
        <f t="shared" ca="1" si="529"/>
        <v>46034.368410416668</v>
      </c>
      <c r="C5287" s="79" t="s">
        <v>781</v>
      </c>
      <c r="D5287" s="79" t="s">
        <v>902</v>
      </c>
      <c r="E5287" s="79" t="s">
        <v>3078</v>
      </c>
      <c r="F5287" s="79"/>
    </row>
    <row r="5288" spans="1:6">
      <c r="A5288" s="152">
        <f t="shared" ca="1" si="530"/>
        <v>46034</v>
      </c>
      <c r="B5288" s="115">
        <f t="shared" ref="B5288:B5351" ca="1" si="531">IF(C5288&lt;&gt;0,IF(B5288=0,NOW(),B5288),)</f>
        <v>46034.368421643521</v>
      </c>
      <c r="C5288" s="79" t="s">
        <v>781</v>
      </c>
      <c r="D5288" s="79" t="s">
        <v>902</v>
      </c>
      <c r="E5288" s="79" t="s">
        <v>3078</v>
      </c>
      <c r="F5288" s="79"/>
    </row>
    <row r="5289" spans="1:6">
      <c r="A5289" s="152">
        <f t="shared" ca="1" si="530"/>
        <v>46034</v>
      </c>
      <c r="B5289" s="115">
        <f t="shared" ca="1" si="531"/>
        <v>46034.373874074074</v>
      </c>
      <c r="C5289" s="79" t="s">
        <v>781</v>
      </c>
      <c r="D5289" s="79" t="s">
        <v>902</v>
      </c>
      <c r="E5289" s="79" t="s">
        <v>3080</v>
      </c>
      <c r="F5289" s="79"/>
    </row>
    <row r="5290" spans="1:6">
      <c r="A5290" s="152">
        <f t="shared" ca="1" si="530"/>
        <v>46034</v>
      </c>
      <c r="B5290" s="115">
        <f t="shared" ca="1" si="531"/>
        <v>46034.374565393518</v>
      </c>
      <c r="C5290" s="79" t="s">
        <v>781</v>
      </c>
      <c r="D5290" s="79" t="s">
        <v>902</v>
      </c>
      <c r="E5290" s="79" t="s">
        <v>2493</v>
      </c>
      <c r="F5290" s="79"/>
    </row>
    <row r="5291" spans="1:6">
      <c r="A5291" s="152">
        <f t="shared" ca="1" si="530"/>
        <v>46034</v>
      </c>
      <c r="B5291" s="115">
        <f t="shared" ca="1" si="531"/>
        <v>46034.374863078701</v>
      </c>
      <c r="C5291" s="79" t="s">
        <v>781</v>
      </c>
      <c r="D5291" s="79" t="s">
        <v>902</v>
      </c>
      <c r="E5291" s="79" t="s">
        <v>3079</v>
      </c>
      <c r="F5291" s="79"/>
    </row>
    <row r="5292" spans="1:6">
      <c r="A5292" s="152">
        <f t="shared" ca="1" si="530"/>
        <v>46034</v>
      </c>
      <c r="B5292" s="115">
        <f t="shared" ca="1" si="531"/>
        <v>46034.376010185188</v>
      </c>
      <c r="C5292" s="79" t="s">
        <v>781</v>
      </c>
      <c r="D5292" s="79" t="s">
        <v>902</v>
      </c>
      <c r="E5292" s="79" t="s">
        <v>1734</v>
      </c>
      <c r="F5292" s="79"/>
    </row>
    <row r="5293" spans="1:6">
      <c r="A5293" s="152">
        <f t="shared" ca="1" si="530"/>
        <v>46034</v>
      </c>
      <c r="B5293" s="115">
        <f t="shared" ca="1" si="531"/>
        <v>46034.377249884259</v>
      </c>
      <c r="C5293" s="79" t="s">
        <v>781</v>
      </c>
      <c r="D5293" s="79" t="s">
        <v>902</v>
      </c>
      <c r="E5293" s="79" t="s">
        <v>2493</v>
      </c>
      <c r="F5293" s="79"/>
    </row>
    <row r="5294" spans="1:6">
      <c r="A5294" s="152">
        <f t="shared" ca="1" si="530"/>
        <v>46034</v>
      </c>
      <c r="B5294" s="115">
        <f t="shared" ca="1" si="531"/>
        <v>46034.377264930554</v>
      </c>
      <c r="C5294" s="79" t="s">
        <v>781</v>
      </c>
      <c r="D5294" s="79" t="s">
        <v>902</v>
      </c>
      <c r="E5294" s="79" t="s">
        <v>2493</v>
      </c>
      <c r="F5294" s="79"/>
    </row>
    <row r="5295" spans="1:6">
      <c r="A5295" s="152">
        <f t="shared" ca="1" si="530"/>
        <v>46034</v>
      </c>
      <c r="B5295" s="115">
        <f t="shared" ca="1" si="531"/>
        <v>46034.377282060188</v>
      </c>
      <c r="C5295" s="79" t="s">
        <v>781</v>
      </c>
      <c r="D5295" s="79" t="s">
        <v>902</v>
      </c>
      <c r="E5295" s="79" t="s">
        <v>2493</v>
      </c>
      <c r="F5295" s="79"/>
    </row>
    <row r="5296" spans="1:6">
      <c r="A5296" s="152">
        <f t="shared" ca="1" si="530"/>
        <v>46034</v>
      </c>
      <c r="B5296" s="115">
        <f t="shared" ca="1" si="531"/>
        <v>46034.377297106483</v>
      </c>
      <c r="C5296" s="79" t="s">
        <v>781</v>
      </c>
      <c r="D5296" s="79" t="s">
        <v>902</v>
      </c>
      <c r="E5296" s="79" t="s">
        <v>2493</v>
      </c>
      <c r="F5296" s="79"/>
    </row>
    <row r="5297" spans="1:6">
      <c r="A5297" s="152">
        <f t="shared" ca="1" si="530"/>
        <v>46034</v>
      </c>
      <c r="B5297" s="115">
        <f t="shared" ca="1" si="531"/>
        <v>46034.377434027774</v>
      </c>
      <c r="C5297" s="79" t="s">
        <v>781</v>
      </c>
      <c r="D5297" s="79" t="s">
        <v>902</v>
      </c>
      <c r="E5297" s="79" t="s">
        <v>1734</v>
      </c>
      <c r="F5297" s="79"/>
    </row>
    <row r="5298" spans="1:6">
      <c r="A5298" s="152">
        <f t="shared" ca="1" si="530"/>
        <v>46034</v>
      </c>
      <c r="B5298" s="115">
        <f t="shared" ca="1" si="531"/>
        <v>46034.377698263888</v>
      </c>
      <c r="C5298" s="79" t="s">
        <v>781</v>
      </c>
      <c r="D5298" s="79" t="s">
        <v>902</v>
      </c>
      <c r="E5298" s="79" t="s">
        <v>3079</v>
      </c>
      <c r="F5298" s="79"/>
    </row>
    <row r="5299" spans="1:6">
      <c r="A5299" s="152">
        <f t="shared" ca="1" si="530"/>
        <v>46034</v>
      </c>
      <c r="B5299" s="115">
        <f t="shared" ca="1" si="531"/>
        <v>46034.377972222224</v>
      </c>
      <c r="C5299" s="79" t="s">
        <v>781</v>
      </c>
      <c r="D5299" s="79" t="s">
        <v>902</v>
      </c>
      <c r="E5299" s="79" t="s">
        <v>3081</v>
      </c>
      <c r="F5299" s="79"/>
    </row>
    <row r="5300" spans="1:6">
      <c r="A5300" s="152">
        <f t="shared" ca="1" si="530"/>
        <v>46034</v>
      </c>
      <c r="B5300" s="115">
        <f t="shared" ca="1" si="531"/>
        <v>46034.387036689812</v>
      </c>
      <c r="C5300" s="79" t="s">
        <v>781</v>
      </c>
      <c r="D5300" s="79" t="s">
        <v>902</v>
      </c>
      <c r="E5300" s="79" t="s">
        <v>3082</v>
      </c>
      <c r="F5300" s="79"/>
    </row>
    <row r="5301" spans="1:6">
      <c r="A5301" s="152">
        <f t="shared" ca="1" si="530"/>
        <v>46034</v>
      </c>
      <c r="B5301" s="115">
        <f t="shared" ca="1" si="531"/>
        <v>46034.394152314817</v>
      </c>
      <c r="C5301" s="79" t="s">
        <v>781</v>
      </c>
      <c r="D5301" s="79" t="s">
        <v>902</v>
      </c>
      <c r="E5301" s="79" t="s">
        <v>3079</v>
      </c>
      <c r="F5301" s="79"/>
    </row>
    <row r="5302" spans="1:6">
      <c r="A5302" s="152">
        <f t="shared" ca="1" si="530"/>
        <v>46034</v>
      </c>
      <c r="B5302" s="115">
        <f t="shared" ca="1" si="531"/>
        <v>46034.394677314813</v>
      </c>
      <c r="C5302" s="79" t="s">
        <v>781</v>
      </c>
      <c r="D5302" s="79" t="s">
        <v>902</v>
      </c>
      <c r="E5302" s="79" t="s">
        <v>1734</v>
      </c>
      <c r="F5302" s="79"/>
    </row>
    <row r="5303" spans="1:6">
      <c r="A5303" s="152">
        <f t="shared" ca="1" si="530"/>
        <v>46034</v>
      </c>
      <c r="B5303" s="115">
        <f t="shared" ca="1" si="531"/>
        <v>46034.394706597224</v>
      </c>
      <c r="C5303" s="79" t="s">
        <v>781</v>
      </c>
      <c r="D5303" s="79" t="s">
        <v>902</v>
      </c>
      <c r="E5303" s="79" t="s">
        <v>1734</v>
      </c>
      <c r="F5303" s="79"/>
    </row>
    <row r="5304" spans="1:6">
      <c r="A5304" s="152">
        <f t="shared" ca="1" si="530"/>
        <v>46034</v>
      </c>
      <c r="B5304" s="115">
        <f t="shared" ca="1" si="531"/>
        <v>46034.394728356485</v>
      </c>
      <c r="C5304" s="79" t="s">
        <v>781</v>
      </c>
      <c r="D5304" s="79" t="s">
        <v>902</v>
      </c>
      <c r="E5304" s="79" t="s">
        <v>1734</v>
      </c>
      <c r="F5304" s="79"/>
    </row>
    <row r="5305" spans="1:6">
      <c r="A5305" s="152">
        <f t="shared" ca="1" si="530"/>
        <v>46034</v>
      </c>
      <c r="B5305" s="115">
        <f t="shared" ca="1" si="531"/>
        <v>46034.400255787034</v>
      </c>
      <c r="C5305" s="79" t="s">
        <v>781</v>
      </c>
      <c r="D5305" s="79" t="s">
        <v>902</v>
      </c>
      <c r="E5305" s="79" t="s">
        <v>3083</v>
      </c>
      <c r="F5305" s="79"/>
    </row>
    <row r="5306" spans="1:6">
      <c r="A5306" s="152">
        <f t="shared" ca="1" si="530"/>
        <v>46034</v>
      </c>
      <c r="B5306" s="115">
        <f t="shared" ca="1" si="531"/>
        <v>46034.40216273148</v>
      </c>
      <c r="C5306" s="79" t="s">
        <v>781</v>
      </c>
      <c r="D5306" s="79" t="s">
        <v>902</v>
      </c>
      <c r="E5306" s="79" t="s">
        <v>3083</v>
      </c>
      <c r="F5306" s="79"/>
    </row>
    <row r="5307" spans="1:6">
      <c r="A5307" s="152">
        <f t="shared" ca="1" si="530"/>
        <v>46034</v>
      </c>
      <c r="B5307" s="115">
        <f t="shared" ca="1" si="531"/>
        <v>46034.409670370369</v>
      </c>
      <c r="C5307" s="79" t="s">
        <v>781</v>
      </c>
      <c r="D5307" s="79" t="s">
        <v>902</v>
      </c>
      <c r="E5307" s="79" t="s">
        <v>1555</v>
      </c>
      <c r="F5307" s="79"/>
    </row>
    <row r="5308" spans="1:6">
      <c r="A5308" s="152">
        <f t="shared" ca="1" si="530"/>
        <v>46034</v>
      </c>
      <c r="B5308" s="115">
        <f t="shared" ca="1" si="531"/>
        <v>46034.413689351852</v>
      </c>
      <c r="C5308" s="79" t="s">
        <v>781</v>
      </c>
      <c r="D5308" s="150" t="s">
        <v>1007</v>
      </c>
      <c r="E5308" s="79" t="s">
        <v>3084</v>
      </c>
      <c r="F5308" s="79"/>
    </row>
    <row r="5309" spans="1:6">
      <c r="A5309" s="152">
        <f t="shared" ca="1" si="530"/>
        <v>46034</v>
      </c>
      <c r="B5309" s="115">
        <f t="shared" ca="1" si="531"/>
        <v>46034.417754629627</v>
      </c>
      <c r="C5309" s="79" t="s">
        <v>781</v>
      </c>
      <c r="D5309" s="79" t="s">
        <v>902</v>
      </c>
      <c r="E5309" s="79" t="s">
        <v>2493</v>
      </c>
      <c r="F5309" s="79"/>
    </row>
    <row r="5310" spans="1:6">
      <c r="A5310" s="152">
        <f t="shared" ca="1" si="530"/>
        <v>46034</v>
      </c>
      <c r="B5310" s="115">
        <f t="shared" ca="1" si="531"/>
        <v>46034.418975694447</v>
      </c>
      <c r="C5310" s="79" t="s">
        <v>781</v>
      </c>
      <c r="D5310" s="79" t="s">
        <v>902</v>
      </c>
      <c r="E5310" s="79" t="s">
        <v>1420</v>
      </c>
      <c r="F5310" s="79"/>
    </row>
    <row r="5311" spans="1:6">
      <c r="A5311" s="152">
        <f t="shared" ca="1" si="530"/>
        <v>46034</v>
      </c>
      <c r="B5311" s="115">
        <f t="shared" ca="1" si="531"/>
        <v>46034.423037037035</v>
      </c>
      <c r="C5311" s="79" t="s">
        <v>781</v>
      </c>
      <c r="D5311" s="79" t="s">
        <v>902</v>
      </c>
      <c r="E5311" s="79" t="s">
        <v>2493</v>
      </c>
      <c r="F5311" s="79"/>
    </row>
    <row r="5312" spans="1:6">
      <c r="A5312" s="152">
        <f t="shared" ca="1" si="530"/>
        <v>46034</v>
      </c>
      <c r="B5312" s="115">
        <f t="shared" ca="1" si="531"/>
        <v>46034.424846643517</v>
      </c>
      <c r="C5312" s="79" t="s">
        <v>781</v>
      </c>
      <c r="D5312" s="79" t="s">
        <v>902</v>
      </c>
      <c r="E5312" s="79" t="s">
        <v>3085</v>
      </c>
      <c r="F5312" s="79"/>
    </row>
    <row r="5313" spans="1:6">
      <c r="A5313" s="152">
        <f t="shared" ca="1" si="530"/>
        <v>46034</v>
      </c>
      <c r="B5313" s="115">
        <f t="shared" ca="1" si="531"/>
        <v>46034.425807291664</v>
      </c>
      <c r="C5313" s="79" t="s">
        <v>781</v>
      </c>
      <c r="D5313" s="79" t="s">
        <v>902</v>
      </c>
      <c r="E5313" s="79" t="s">
        <v>3086</v>
      </c>
      <c r="F5313" s="79"/>
    </row>
    <row r="5314" spans="1:6">
      <c r="A5314" s="152">
        <f t="shared" ca="1" si="530"/>
        <v>46034</v>
      </c>
      <c r="B5314" s="115">
        <f t="shared" ca="1" si="531"/>
        <v>46034.427354976855</v>
      </c>
      <c r="C5314" s="79" t="s">
        <v>781</v>
      </c>
      <c r="D5314" s="79" t="s">
        <v>902</v>
      </c>
      <c r="E5314" s="79" t="s">
        <v>3087</v>
      </c>
      <c r="F5314" s="79"/>
    </row>
    <row r="5315" spans="1:6">
      <c r="A5315" s="152">
        <f t="shared" ca="1" si="530"/>
        <v>46034</v>
      </c>
      <c r="B5315" s="115">
        <f t="shared" ca="1" si="531"/>
        <v>46034.42846412037</v>
      </c>
      <c r="C5315" s="79" t="s">
        <v>781</v>
      </c>
      <c r="D5315" s="79" t="s">
        <v>902</v>
      </c>
      <c r="E5315" s="79" t="s">
        <v>2493</v>
      </c>
      <c r="F5315" s="79"/>
    </row>
    <row r="5316" spans="1:6">
      <c r="A5316" s="152">
        <f t="shared" ca="1" si="530"/>
        <v>46034</v>
      </c>
      <c r="B5316" s="115">
        <f t="shared" ca="1" si="531"/>
        <v>46034.42846412037</v>
      </c>
      <c r="C5316" s="79" t="s">
        <v>781</v>
      </c>
      <c r="D5316" s="79" t="s">
        <v>902</v>
      </c>
      <c r="E5316" s="79" t="s">
        <v>2493</v>
      </c>
      <c r="F5316" s="79"/>
    </row>
    <row r="5317" spans="1:6">
      <c r="A5317" s="152">
        <f t="shared" ca="1" si="530"/>
        <v>46034</v>
      </c>
      <c r="B5317" s="115">
        <f t="shared" ca="1" si="531"/>
        <v>46034.428715740738</v>
      </c>
      <c r="C5317" s="79" t="s">
        <v>781</v>
      </c>
      <c r="D5317" s="79" t="s">
        <v>902</v>
      </c>
      <c r="E5317" s="79" t="s">
        <v>2493</v>
      </c>
      <c r="F5317" s="79"/>
    </row>
    <row r="5318" spans="1:6">
      <c r="A5318" s="152">
        <f t="shared" ca="1" si="530"/>
        <v>46034</v>
      </c>
      <c r="B5318" s="115">
        <f t="shared" ca="1" si="531"/>
        <v>46034.431169097224</v>
      </c>
      <c r="C5318" s="79" t="s">
        <v>781</v>
      </c>
      <c r="D5318" s="79" t="s">
        <v>902</v>
      </c>
      <c r="E5318" s="79" t="s">
        <v>2493</v>
      </c>
      <c r="F5318" s="79"/>
    </row>
    <row r="5319" spans="1:6">
      <c r="A5319" s="152">
        <f t="shared" ca="1" si="530"/>
        <v>46034</v>
      </c>
      <c r="B5319" s="115">
        <f t="shared" ca="1" si="531"/>
        <v>46034.433700578702</v>
      </c>
      <c r="C5319" s="79" t="s">
        <v>781</v>
      </c>
      <c r="D5319" s="79" t="s">
        <v>902</v>
      </c>
      <c r="E5319" s="79" t="s">
        <v>3088</v>
      </c>
      <c r="F5319" s="79"/>
    </row>
    <row r="5320" spans="1:6">
      <c r="A5320" s="152">
        <f t="shared" ca="1" si="530"/>
        <v>46034</v>
      </c>
      <c r="B5320" s="115">
        <f t="shared" ca="1" si="531"/>
        <v>46034.435482754627</v>
      </c>
      <c r="C5320" s="79" t="s">
        <v>781</v>
      </c>
      <c r="D5320" s="79" t="s">
        <v>902</v>
      </c>
      <c r="E5320" s="79" t="s">
        <v>3089</v>
      </c>
      <c r="F5320" s="79"/>
    </row>
    <row r="5321" spans="1:6">
      <c r="A5321" s="152">
        <f t="shared" ref="A5321:A5384" ca="1" si="532">IF(C5321&lt;&gt;0,IF(A5321=0,TODAY(),A5321),)</f>
        <v>46034</v>
      </c>
      <c r="B5321" s="115">
        <f t="shared" ca="1" si="531"/>
        <v>46034.445772916668</v>
      </c>
      <c r="C5321" s="79" t="s">
        <v>781</v>
      </c>
      <c r="D5321" s="79" t="s">
        <v>902</v>
      </c>
      <c r="E5321" s="79" t="s">
        <v>3090</v>
      </c>
      <c r="F5321" s="79"/>
    </row>
    <row r="5322" spans="1:6">
      <c r="A5322" s="152">
        <f t="shared" ca="1" si="532"/>
        <v>46034</v>
      </c>
      <c r="B5322" s="115">
        <f t="shared" ca="1" si="531"/>
        <v>46034.448551273148</v>
      </c>
      <c r="C5322" s="79" t="s">
        <v>781</v>
      </c>
      <c r="D5322" s="79" t="s">
        <v>902</v>
      </c>
      <c r="E5322" s="79" t="s">
        <v>3091</v>
      </c>
      <c r="F5322" s="79"/>
    </row>
    <row r="5323" spans="1:6">
      <c r="A5323" s="152">
        <f t="shared" ca="1" si="532"/>
        <v>46034</v>
      </c>
      <c r="B5323" s="115">
        <f t="shared" ca="1" si="531"/>
        <v>46034.454503703702</v>
      </c>
      <c r="C5323" s="79" t="s">
        <v>781</v>
      </c>
      <c r="D5323" s="79" t="s">
        <v>902</v>
      </c>
      <c r="E5323" s="79" t="s">
        <v>3092</v>
      </c>
      <c r="F5323" s="79"/>
    </row>
    <row r="5324" spans="1:6">
      <c r="A5324" s="152">
        <f t="shared" ca="1" si="532"/>
        <v>46034</v>
      </c>
      <c r="B5324" s="115">
        <f t="shared" ca="1" si="531"/>
        <v>46034.458280208331</v>
      </c>
      <c r="C5324" s="79" t="s">
        <v>781</v>
      </c>
      <c r="D5324" s="79" t="s">
        <v>902</v>
      </c>
      <c r="E5324" s="79" t="s">
        <v>3092</v>
      </c>
      <c r="F5324" s="79"/>
    </row>
    <row r="5325" spans="1:6">
      <c r="A5325" s="152">
        <f t="shared" ca="1" si="532"/>
        <v>46034</v>
      </c>
      <c r="B5325" s="115">
        <f t="shared" ca="1" si="531"/>
        <v>46034.461372337966</v>
      </c>
      <c r="C5325" s="79" t="s">
        <v>781</v>
      </c>
      <c r="D5325" s="79" t="s">
        <v>902</v>
      </c>
      <c r="E5325" s="79" t="s">
        <v>3092</v>
      </c>
      <c r="F5325" s="79"/>
    </row>
    <row r="5326" spans="1:6">
      <c r="A5326" s="152">
        <f t="shared" ca="1" si="532"/>
        <v>46034</v>
      </c>
      <c r="B5326" s="115">
        <f t="shared" ca="1" si="531"/>
        <v>46034.461890509258</v>
      </c>
      <c r="C5326" s="79" t="s">
        <v>781</v>
      </c>
      <c r="D5326" s="79" t="s">
        <v>902</v>
      </c>
      <c r="E5326" s="79" t="s">
        <v>3092</v>
      </c>
      <c r="F5326" s="79"/>
    </row>
    <row r="5327" spans="1:6">
      <c r="A5327" s="152">
        <f t="shared" ca="1" si="532"/>
        <v>46034</v>
      </c>
      <c r="B5327" s="115">
        <f t="shared" ca="1" si="531"/>
        <v>46034.463037037036</v>
      </c>
      <c r="C5327" s="79" t="s">
        <v>781</v>
      </c>
      <c r="D5327" s="79" t="s">
        <v>902</v>
      </c>
      <c r="E5327" s="79" t="s">
        <v>3092</v>
      </c>
      <c r="F5327" s="79"/>
    </row>
    <row r="5328" spans="1:6">
      <c r="A5328" s="152">
        <f t="shared" ca="1" si="532"/>
        <v>46034</v>
      </c>
      <c r="B5328" s="115">
        <f t="shared" ca="1" si="531"/>
        <v>46034.471941898148</v>
      </c>
      <c r="C5328" s="79" t="s">
        <v>781</v>
      </c>
      <c r="D5328" s="79" t="s">
        <v>902</v>
      </c>
      <c r="E5328" s="79" t="s">
        <v>3093</v>
      </c>
      <c r="F5328" s="79"/>
    </row>
    <row r="5329" spans="1:6">
      <c r="A5329" s="152">
        <f t="shared" ca="1" si="532"/>
        <v>46034</v>
      </c>
      <c r="B5329" s="115">
        <f t="shared" ca="1" si="531"/>
        <v>46034.476735763892</v>
      </c>
      <c r="C5329" s="79" t="s">
        <v>781</v>
      </c>
      <c r="D5329" s="79" t="s">
        <v>902</v>
      </c>
      <c r="E5329" s="79" t="s">
        <v>1420</v>
      </c>
      <c r="F5329" s="79"/>
    </row>
    <row r="5330" spans="1:6">
      <c r="A5330" s="152">
        <f t="shared" ca="1" si="532"/>
        <v>46034</v>
      </c>
      <c r="B5330" s="115">
        <f t="shared" ca="1" si="531"/>
        <v>46034.48519201389</v>
      </c>
      <c r="C5330" s="79" t="s">
        <v>781</v>
      </c>
      <c r="D5330" s="79" t="s">
        <v>902</v>
      </c>
      <c r="E5330" s="79" t="s">
        <v>3094</v>
      </c>
      <c r="F5330" s="79"/>
    </row>
    <row r="5331" spans="1:6">
      <c r="A5331" s="152">
        <f t="shared" ca="1" si="532"/>
        <v>46034</v>
      </c>
      <c r="B5331" s="115">
        <f t="shared" ca="1" si="531"/>
        <v>46034.488881018522</v>
      </c>
      <c r="C5331" s="79" t="s">
        <v>781</v>
      </c>
      <c r="D5331" s="79" t="s">
        <v>902</v>
      </c>
      <c r="E5331" s="79" t="s">
        <v>3095</v>
      </c>
      <c r="F5331" s="79"/>
    </row>
    <row r="5332" spans="1:6">
      <c r="A5332" s="152">
        <f t="shared" ca="1" si="532"/>
        <v>46034</v>
      </c>
      <c r="B5332" s="115">
        <f t="shared" ca="1" si="531"/>
        <v>46034.501106828706</v>
      </c>
      <c r="C5332" s="79" t="s">
        <v>781</v>
      </c>
      <c r="D5332" s="79" t="s">
        <v>902</v>
      </c>
      <c r="E5332" s="79" t="s">
        <v>3096</v>
      </c>
      <c r="F5332" s="79"/>
    </row>
    <row r="5333" spans="1:6">
      <c r="A5333" s="152">
        <f t="shared" ca="1" si="532"/>
        <v>46034</v>
      </c>
      <c r="B5333" s="115">
        <f t="shared" ca="1" si="531"/>
        <v>46034.501876851849</v>
      </c>
      <c r="C5333" s="79" t="s">
        <v>781</v>
      </c>
      <c r="D5333" s="79" t="s">
        <v>902</v>
      </c>
      <c r="E5333" s="79" t="s">
        <v>3097</v>
      </c>
      <c r="F5333" s="79"/>
    </row>
    <row r="5334" spans="1:6">
      <c r="A5334" s="152">
        <f t="shared" ca="1" si="532"/>
        <v>46034</v>
      </c>
      <c r="B5334" s="115">
        <f t="shared" ca="1" si="531"/>
        <v>46034.502646527777</v>
      </c>
      <c r="C5334" s="79" t="s">
        <v>781</v>
      </c>
      <c r="D5334" s="79" t="s">
        <v>902</v>
      </c>
      <c r="E5334" s="79" t="s">
        <v>3098</v>
      </c>
      <c r="F5334" s="79"/>
    </row>
    <row r="5335" spans="1:6">
      <c r="A5335" s="152">
        <f t="shared" ca="1" si="532"/>
        <v>46034</v>
      </c>
      <c r="B5335" s="115">
        <f t="shared" ca="1" si="531"/>
        <v>46034.52049826389</v>
      </c>
      <c r="C5335" s="79" t="s">
        <v>781</v>
      </c>
      <c r="D5335" s="79" t="s">
        <v>902</v>
      </c>
      <c r="E5335" s="79" t="s">
        <v>1837</v>
      </c>
      <c r="F5335" s="79"/>
    </row>
    <row r="5336" spans="1:6">
      <c r="A5336" s="152">
        <f t="shared" ca="1" si="532"/>
        <v>46034</v>
      </c>
      <c r="B5336" s="115">
        <f t="shared" ca="1" si="531"/>
        <v>46034.528618055556</v>
      </c>
      <c r="C5336" s="79" t="s">
        <v>781</v>
      </c>
      <c r="D5336" s="79" t="s">
        <v>902</v>
      </c>
      <c r="E5336" s="79" t="s">
        <v>3099</v>
      </c>
      <c r="F5336" s="79"/>
    </row>
    <row r="5337" spans="1:6">
      <c r="A5337" s="152">
        <f t="shared" ca="1" si="532"/>
        <v>46034</v>
      </c>
      <c r="B5337" s="115">
        <f t="shared" ca="1" si="531"/>
        <v>46034.53460648148</v>
      </c>
      <c r="C5337" s="79" t="s">
        <v>781</v>
      </c>
      <c r="D5337" s="79" t="s">
        <v>902</v>
      </c>
      <c r="E5337" s="79" t="s">
        <v>3100</v>
      </c>
      <c r="F5337" s="79"/>
    </row>
    <row r="5338" spans="1:6">
      <c r="A5338" s="152">
        <f t="shared" ca="1" si="532"/>
        <v>46034</v>
      </c>
      <c r="B5338" s="115">
        <f t="shared" ca="1" si="531"/>
        <v>46034.537490162038</v>
      </c>
      <c r="C5338" s="79" t="s">
        <v>781</v>
      </c>
      <c r="D5338" s="79" t="s">
        <v>902</v>
      </c>
      <c r="E5338" s="79" t="s">
        <v>3101</v>
      </c>
      <c r="F5338" s="79"/>
    </row>
    <row r="5339" spans="1:6">
      <c r="A5339" s="152">
        <f t="shared" ca="1" si="532"/>
        <v>46034</v>
      </c>
      <c r="B5339" s="115">
        <f t="shared" ca="1" si="531"/>
        <v>46034.541547800924</v>
      </c>
      <c r="C5339" s="79" t="s">
        <v>781</v>
      </c>
      <c r="D5339" s="79" t="s">
        <v>902</v>
      </c>
      <c r="E5339" s="79" t="s">
        <v>1555</v>
      </c>
      <c r="F5339" s="79"/>
    </row>
    <row r="5340" spans="1:6">
      <c r="A5340" s="152">
        <f t="shared" ca="1" si="532"/>
        <v>46034</v>
      </c>
      <c r="B5340" s="115">
        <f t="shared" ca="1" si="531"/>
        <v>46034.549400810189</v>
      </c>
      <c r="C5340" s="79" t="s">
        <v>781</v>
      </c>
      <c r="D5340" s="150" t="s">
        <v>1007</v>
      </c>
      <c r="E5340" s="79" t="s">
        <v>1235</v>
      </c>
      <c r="F5340" s="79"/>
    </row>
    <row r="5341" spans="1:6">
      <c r="A5341" s="152">
        <f t="shared" ca="1" si="532"/>
        <v>46034</v>
      </c>
      <c r="B5341" s="115">
        <f t="shared" ca="1" si="531"/>
        <v>46034.550323958334</v>
      </c>
      <c r="C5341" s="79" t="s">
        <v>781</v>
      </c>
      <c r="D5341" s="79" t="s">
        <v>902</v>
      </c>
      <c r="E5341" s="79" t="s">
        <v>3102</v>
      </c>
      <c r="F5341" s="79"/>
    </row>
    <row r="5342" spans="1:6">
      <c r="A5342" s="152">
        <f t="shared" ca="1" si="532"/>
        <v>46034</v>
      </c>
      <c r="B5342" s="115">
        <f t="shared" ca="1" si="531"/>
        <v>46034.55064814815</v>
      </c>
      <c r="C5342" s="79" t="s">
        <v>781</v>
      </c>
      <c r="D5342" s="79" t="s">
        <v>902</v>
      </c>
      <c r="E5342" s="79" t="s">
        <v>943</v>
      </c>
      <c r="F5342" s="79"/>
    </row>
    <row r="5343" spans="1:6">
      <c r="A5343" s="152">
        <f t="shared" ca="1" si="532"/>
        <v>46034</v>
      </c>
      <c r="B5343" s="115">
        <f t="shared" ca="1" si="531"/>
        <v>46034.552789814814</v>
      </c>
      <c r="C5343" s="79" t="s">
        <v>781</v>
      </c>
      <c r="D5343" s="150" t="s">
        <v>1059</v>
      </c>
      <c r="E5343" s="79"/>
      <c r="F5343" s="79"/>
    </row>
    <row r="5344" spans="1:6">
      <c r="A5344" s="152">
        <f t="shared" ca="1" si="532"/>
        <v>46034</v>
      </c>
      <c r="B5344" s="115">
        <f t="shared" ca="1" si="531"/>
        <v>46034.556471412034</v>
      </c>
      <c r="C5344" s="79" t="s">
        <v>781</v>
      </c>
      <c r="D5344" s="79" t="s">
        <v>902</v>
      </c>
      <c r="E5344" s="79" t="s">
        <v>1115</v>
      </c>
      <c r="F5344" s="79"/>
    </row>
    <row r="5345" spans="1:7">
      <c r="A5345" s="152">
        <f t="shared" ca="1" si="532"/>
        <v>46034</v>
      </c>
      <c r="B5345" s="115">
        <f t="shared" ca="1" si="531"/>
        <v>46034.557197569447</v>
      </c>
      <c r="C5345" s="79" t="s">
        <v>781</v>
      </c>
      <c r="D5345" s="79" t="s">
        <v>902</v>
      </c>
      <c r="E5345" s="79" t="s">
        <v>3103</v>
      </c>
      <c r="F5345" s="79"/>
    </row>
    <row r="5346" spans="1:7">
      <c r="A5346" s="152">
        <f t="shared" ca="1" si="532"/>
        <v>46034</v>
      </c>
      <c r="B5346" s="115">
        <f t="shared" ca="1" si="531"/>
        <v>46034.557435879629</v>
      </c>
      <c r="C5346" s="79" t="s">
        <v>781</v>
      </c>
      <c r="D5346" s="79" t="s">
        <v>902</v>
      </c>
      <c r="E5346" s="79" t="s">
        <v>1115</v>
      </c>
      <c r="F5346" s="79"/>
    </row>
    <row r="5347" spans="1:7">
      <c r="A5347" s="152">
        <f t="shared" ca="1" si="532"/>
        <v>46034</v>
      </c>
      <c r="B5347" s="115">
        <f t="shared" ca="1" si="531"/>
        <v>46034.557493055552</v>
      </c>
      <c r="C5347" s="79" t="s">
        <v>781</v>
      </c>
      <c r="D5347" s="79" t="s">
        <v>902</v>
      </c>
      <c r="E5347" s="79" t="s">
        <v>3104</v>
      </c>
      <c r="F5347" s="79"/>
    </row>
    <row r="5348" spans="1:7">
      <c r="A5348" s="152">
        <f t="shared" ca="1" si="532"/>
        <v>46034</v>
      </c>
      <c r="B5348" s="115">
        <f t="shared" ca="1" si="531"/>
        <v>46034.558990277779</v>
      </c>
      <c r="C5348" s="79" t="s">
        <v>781</v>
      </c>
      <c r="D5348" s="79" t="s">
        <v>902</v>
      </c>
      <c r="E5348" s="79" t="s">
        <v>3105</v>
      </c>
      <c r="F5348" s="79"/>
    </row>
    <row r="5349" spans="1:7">
      <c r="A5349" s="152">
        <f t="shared" ca="1" si="532"/>
        <v>46034</v>
      </c>
      <c r="B5349" s="115">
        <f t="shared" ca="1" si="531"/>
        <v>46034.560426736112</v>
      </c>
      <c r="C5349" s="79" t="s">
        <v>781</v>
      </c>
      <c r="D5349" s="79" t="s">
        <v>902</v>
      </c>
      <c r="E5349" s="79" t="s">
        <v>3106</v>
      </c>
      <c r="F5349" s="79"/>
    </row>
    <row r="5350" spans="1:7">
      <c r="A5350" s="152">
        <f t="shared" ca="1" si="532"/>
        <v>46034</v>
      </c>
      <c r="B5350" s="115">
        <f t="shared" ca="1" si="531"/>
        <v>46034.561394675926</v>
      </c>
      <c r="C5350" s="79" t="s">
        <v>781</v>
      </c>
      <c r="D5350" s="79" t="s">
        <v>902</v>
      </c>
      <c r="E5350" s="79" t="s">
        <v>943</v>
      </c>
      <c r="F5350" s="79"/>
    </row>
    <row r="5351" spans="1:7">
      <c r="A5351" s="152">
        <f t="shared" ca="1" si="532"/>
        <v>46034</v>
      </c>
      <c r="B5351" s="115">
        <f t="shared" ca="1" si="531"/>
        <v>46034.564071990739</v>
      </c>
      <c r="C5351" s="79" t="s">
        <v>781</v>
      </c>
      <c r="D5351" s="79" t="s">
        <v>902</v>
      </c>
      <c r="E5351" s="79" t="s">
        <v>3104</v>
      </c>
      <c r="F5351" s="79"/>
    </row>
    <row r="5352" spans="1:7">
      <c r="A5352" s="152">
        <f t="shared" ca="1" si="532"/>
        <v>46034</v>
      </c>
      <c r="B5352" s="115">
        <f t="shared" ref="B5352:B5407" ca="1" si="533">IF(C5352&lt;&gt;0,IF(B5352=0,NOW(),B5352),)</f>
        <v>46034.566604282409</v>
      </c>
      <c r="C5352" s="79" t="s">
        <v>781</v>
      </c>
      <c r="D5352" s="79" t="s">
        <v>902</v>
      </c>
      <c r="E5352" s="79" t="s">
        <v>3106</v>
      </c>
      <c r="F5352" s="79"/>
    </row>
    <row r="5353" spans="1:7">
      <c r="A5353" s="152">
        <f t="shared" ca="1" si="532"/>
        <v>46034</v>
      </c>
      <c r="B5353" s="115">
        <f t="shared" ca="1" si="533"/>
        <v>46034.567843055556</v>
      </c>
      <c r="C5353" s="79" t="s">
        <v>781</v>
      </c>
      <c r="D5353" s="79" t="s">
        <v>902</v>
      </c>
      <c r="E5353" s="79" t="s">
        <v>3107</v>
      </c>
      <c r="F5353" s="79"/>
    </row>
    <row r="5354" spans="1:7">
      <c r="A5354" s="152">
        <f t="shared" ca="1" si="532"/>
        <v>46034</v>
      </c>
      <c r="B5354" s="115">
        <f t="shared" ca="1" si="533"/>
        <v>46034.576812847219</v>
      </c>
      <c r="C5354" s="79" t="s">
        <v>781</v>
      </c>
      <c r="D5354" s="210" t="s">
        <v>922</v>
      </c>
      <c r="E5354" s="79"/>
      <c r="F5354" s="79"/>
      <c r="G5354" s="76" t="s">
        <v>3108</v>
      </c>
    </row>
    <row r="5355" spans="1:7" s="150" customFormat="1">
      <c r="A5355" s="151">
        <f t="shared" ca="1" si="532"/>
        <v>46034</v>
      </c>
      <c r="B5355" s="149">
        <f t="shared" ca="1" si="533"/>
        <v>46034.592378125002</v>
      </c>
      <c r="C5355" s="150" t="s">
        <v>781</v>
      </c>
      <c r="D5355" s="210" t="s">
        <v>1098</v>
      </c>
    </row>
    <row r="5356" spans="1:7" s="150" customFormat="1">
      <c r="A5356" s="151">
        <f t="shared" ca="1" si="532"/>
        <v>46034</v>
      </c>
      <c r="B5356" s="149">
        <f t="shared" ca="1" si="533"/>
        <v>46034.632408333331</v>
      </c>
      <c r="C5356" s="150" t="s">
        <v>785</v>
      </c>
      <c r="D5356" s="210" t="s">
        <v>906</v>
      </c>
    </row>
    <row r="5357" spans="1:7">
      <c r="A5357" s="152">
        <f t="shared" ca="1" si="532"/>
        <v>46034</v>
      </c>
      <c r="B5357" s="115">
        <f t="shared" ca="1" si="533"/>
        <v>46034.665095833334</v>
      </c>
      <c r="C5357" s="79" t="s">
        <v>785</v>
      </c>
      <c r="D5357" s="210" t="s">
        <v>909</v>
      </c>
      <c r="E5357" s="79"/>
      <c r="F5357" s="79"/>
    </row>
    <row r="5358" spans="1:7">
      <c r="A5358" s="152">
        <f t="shared" ca="1" si="532"/>
        <v>46034</v>
      </c>
      <c r="B5358" s="115">
        <f t="shared" ca="1" si="533"/>
        <v>46034.665410879628</v>
      </c>
      <c r="C5358" s="79" t="s">
        <v>785</v>
      </c>
      <c r="D5358" s="79" t="s">
        <v>902</v>
      </c>
      <c r="E5358" s="79" t="s">
        <v>1555</v>
      </c>
      <c r="F5358" s="79"/>
    </row>
    <row r="5359" spans="1:7">
      <c r="A5359" s="152">
        <f t="shared" ca="1" si="532"/>
        <v>46034</v>
      </c>
      <c r="B5359" s="115">
        <f t="shared" ca="1" si="533"/>
        <v>46034.670460879628</v>
      </c>
      <c r="C5359" s="79" t="s">
        <v>785</v>
      </c>
      <c r="D5359" s="150" t="s">
        <v>1007</v>
      </c>
      <c r="E5359" s="79" t="s">
        <v>1002</v>
      </c>
      <c r="F5359" s="79"/>
    </row>
    <row r="5360" spans="1:7">
      <c r="A5360" s="152">
        <f t="shared" ca="1" si="532"/>
        <v>46034</v>
      </c>
      <c r="B5360" s="115">
        <f t="shared" ca="1" si="533"/>
        <v>46034.671159606478</v>
      </c>
      <c r="C5360" s="79" t="s">
        <v>785</v>
      </c>
      <c r="D5360" s="79" t="s">
        <v>902</v>
      </c>
      <c r="E5360" s="79" t="s">
        <v>2852</v>
      </c>
      <c r="F5360" s="79"/>
    </row>
    <row r="5361" spans="1:6">
      <c r="A5361" s="152">
        <f t="shared" ca="1" si="532"/>
        <v>46034</v>
      </c>
      <c r="B5361" s="115">
        <f t="shared" ca="1" si="533"/>
        <v>46034.671383912035</v>
      </c>
      <c r="C5361" s="79" t="s">
        <v>785</v>
      </c>
      <c r="D5361" s="79" t="s">
        <v>902</v>
      </c>
      <c r="E5361" s="79" t="s">
        <v>1063</v>
      </c>
      <c r="F5361" s="79"/>
    </row>
    <row r="5362" spans="1:6">
      <c r="A5362" s="152">
        <f t="shared" ca="1" si="532"/>
        <v>46034</v>
      </c>
      <c r="B5362" s="115">
        <f t="shared" ca="1" si="533"/>
        <v>46034.673675925929</v>
      </c>
      <c r="C5362" s="79" t="s">
        <v>785</v>
      </c>
      <c r="D5362" s="79" t="s">
        <v>902</v>
      </c>
      <c r="E5362" s="79" t="s">
        <v>3043</v>
      </c>
      <c r="F5362" s="79"/>
    </row>
    <row r="5363" spans="1:6">
      <c r="A5363" s="152">
        <f t="shared" ca="1" si="532"/>
        <v>46034</v>
      </c>
      <c r="B5363" s="115">
        <f t="shared" ca="1" si="533"/>
        <v>46034.675215625</v>
      </c>
      <c r="C5363" s="79" t="s">
        <v>785</v>
      </c>
      <c r="D5363" s="79" t="s">
        <v>902</v>
      </c>
      <c r="E5363" s="79" t="s">
        <v>3109</v>
      </c>
      <c r="F5363" s="79"/>
    </row>
    <row r="5364" spans="1:6">
      <c r="A5364" s="152">
        <f t="shared" ca="1" si="532"/>
        <v>46034</v>
      </c>
      <c r="B5364" s="115">
        <f t="shared" ca="1" si="533"/>
        <v>46034.676606018518</v>
      </c>
      <c r="C5364" s="79" t="s">
        <v>785</v>
      </c>
      <c r="D5364" s="79" t="s">
        <v>902</v>
      </c>
      <c r="E5364" s="79" t="s">
        <v>928</v>
      </c>
      <c r="F5364" s="79"/>
    </row>
    <row r="5365" spans="1:6">
      <c r="A5365" s="152">
        <f t="shared" ca="1" si="532"/>
        <v>46034</v>
      </c>
      <c r="B5365" s="115">
        <f t="shared" ca="1" si="533"/>
        <v>46034.678300925923</v>
      </c>
      <c r="C5365" s="79" t="s">
        <v>785</v>
      </c>
      <c r="D5365" s="79" t="s">
        <v>902</v>
      </c>
      <c r="E5365" s="79" t="s">
        <v>3110</v>
      </c>
      <c r="F5365" s="79"/>
    </row>
    <row r="5366" spans="1:6">
      <c r="A5366" s="152">
        <f t="shared" ca="1" si="532"/>
        <v>46034</v>
      </c>
      <c r="B5366" s="115">
        <f t="shared" ca="1" si="533"/>
        <v>46034.678420370372</v>
      </c>
      <c r="C5366" s="79" t="s">
        <v>785</v>
      </c>
      <c r="D5366" s="79" t="s">
        <v>902</v>
      </c>
      <c r="E5366" s="79" t="s">
        <v>3111</v>
      </c>
      <c r="F5366" s="79"/>
    </row>
    <row r="5367" spans="1:6">
      <c r="A5367" s="152">
        <f t="shared" ca="1" si="532"/>
        <v>46034</v>
      </c>
      <c r="B5367" s="115">
        <f t="shared" ca="1" si="533"/>
        <v>46034.681690972226</v>
      </c>
      <c r="C5367" s="79" t="s">
        <v>785</v>
      </c>
      <c r="D5367" s="79" t="s">
        <v>902</v>
      </c>
      <c r="E5367" s="79" t="s">
        <v>2489</v>
      </c>
      <c r="F5367" s="79"/>
    </row>
    <row r="5368" spans="1:6">
      <c r="A5368" s="152">
        <f t="shared" ca="1" si="532"/>
        <v>46034</v>
      </c>
      <c r="B5368" s="115">
        <f t="shared" ca="1" si="533"/>
        <v>46034.683105555552</v>
      </c>
      <c r="C5368" s="79" t="s">
        <v>785</v>
      </c>
      <c r="D5368" s="79" t="s">
        <v>902</v>
      </c>
      <c r="E5368" s="79" t="s">
        <v>1555</v>
      </c>
      <c r="F5368" s="79"/>
    </row>
    <row r="5369" spans="1:6">
      <c r="A5369" s="152">
        <f t="shared" ca="1" si="532"/>
        <v>46034</v>
      </c>
      <c r="B5369" s="115">
        <f t="shared" ca="1" si="533"/>
        <v>46034.688256712965</v>
      </c>
      <c r="C5369" s="79" t="s">
        <v>785</v>
      </c>
      <c r="D5369" s="150" t="s">
        <v>1070</v>
      </c>
      <c r="E5369" s="79"/>
      <c r="F5369" s="79"/>
    </row>
    <row r="5370" spans="1:6">
      <c r="A5370" s="152">
        <f t="shared" ca="1" si="532"/>
        <v>46034</v>
      </c>
      <c r="B5370" s="115">
        <f t="shared" ca="1" si="533"/>
        <v>46034.691551157404</v>
      </c>
      <c r="C5370" s="79" t="s">
        <v>785</v>
      </c>
      <c r="D5370" s="79" t="s">
        <v>902</v>
      </c>
      <c r="E5370" s="79" t="s">
        <v>2489</v>
      </c>
      <c r="F5370" s="79"/>
    </row>
    <row r="5371" spans="1:6">
      <c r="A5371" s="152">
        <f t="shared" ca="1" si="532"/>
        <v>46034</v>
      </c>
      <c r="B5371" s="115">
        <f t="shared" ca="1" si="533"/>
        <v>46034.694467476853</v>
      </c>
      <c r="C5371" s="79" t="s">
        <v>785</v>
      </c>
      <c r="D5371" s="79" t="s">
        <v>902</v>
      </c>
      <c r="E5371" s="79" t="s">
        <v>3043</v>
      </c>
      <c r="F5371" s="79"/>
    </row>
    <row r="5372" spans="1:6">
      <c r="A5372" s="152">
        <f t="shared" ca="1" si="532"/>
        <v>46034</v>
      </c>
      <c r="B5372" s="115">
        <f t="shared" ca="1" si="533"/>
        <v>46034.698786805558</v>
      </c>
      <c r="C5372" s="79" t="s">
        <v>785</v>
      </c>
      <c r="D5372" s="79" t="s">
        <v>902</v>
      </c>
      <c r="E5372" s="79" t="s">
        <v>2489</v>
      </c>
      <c r="F5372" s="79"/>
    </row>
    <row r="5373" spans="1:6">
      <c r="A5373" s="152">
        <f t="shared" ca="1" si="532"/>
        <v>46034</v>
      </c>
      <c r="B5373" s="115">
        <f t="shared" ca="1" si="533"/>
        <v>46034.701999074074</v>
      </c>
      <c r="C5373" s="79" t="s">
        <v>785</v>
      </c>
      <c r="D5373" s="79" t="s">
        <v>902</v>
      </c>
      <c r="E5373" s="79" t="s">
        <v>3109</v>
      </c>
      <c r="F5373" s="79"/>
    </row>
    <row r="5374" spans="1:6">
      <c r="A5374" s="152">
        <f t="shared" ca="1" si="532"/>
        <v>46034</v>
      </c>
      <c r="B5374" s="115">
        <f t="shared" ca="1" si="533"/>
        <v>46034.705384375004</v>
      </c>
      <c r="C5374" s="79" t="s">
        <v>785</v>
      </c>
      <c r="D5374" s="79" t="s">
        <v>902</v>
      </c>
      <c r="E5374" s="88" t="s">
        <v>2489</v>
      </c>
      <c r="F5374" s="79"/>
    </row>
    <row r="5375" spans="1:6">
      <c r="A5375" s="152">
        <f t="shared" ca="1" si="532"/>
        <v>46034</v>
      </c>
      <c r="B5375" s="115">
        <f t="shared" ca="1" si="533"/>
        <v>46034.706208449075</v>
      </c>
      <c r="C5375" s="79" t="s">
        <v>785</v>
      </c>
      <c r="D5375" s="79" t="s">
        <v>902</v>
      </c>
      <c r="E5375" s="79" t="s">
        <v>2489</v>
      </c>
      <c r="F5375" s="79"/>
    </row>
    <row r="5376" spans="1:6">
      <c r="A5376" s="152">
        <f t="shared" ca="1" si="532"/>
        <v>46034</v>
      </c>
      <c r="B5376" s="115">
        <f t="shared" ca="1" si="533"/>
        <v>46034.70671608796</v>
      </c>
      <c r="C5376" s="79" t="s">
        <v>785</v>
      </c>
      <c r="D5376" s="79" t="s">
        <v>902</v>
      </c>
      <c r="E5376" s="79" t="s">
        <v>2489</v>
      </c>
      <c r="F5376" s="79"/>
    </row>
    <row r="5377" spans="1:6">
      <c r="A5377" s="152">
        <f t="shared" ca="1" si="532"/>
        <v>46034</v>
      </c>
      <c r="B5377" s="115">
        <f t="shared" ca="1" si="533"/>
        <v>46034.706983796299</v>
      </c>
      <c r="C5377" s="79" t="s">
        <v>785</v>
      </c>
      <c r="D5377" s="79" t="s">
        <v>902</v>
      </c>
      <c r="E5377" s="79" t="s">
        <v>2489</v>
      </c>
      <c r="F5377" s="79"/>
    </row>
    <row r="5378" spans="1:6">
      <c r="A5378" s="152">
        <f t="shared" ca="1" si="532"/>
        <v>46034</v>
      </c>
      <c r="B5378" s="115">
        <f t="shared" ca="1" si="533"/>
        <v>46034.707729745372</v>
      </c>
      <c r="C5378" s="79" t="s">
        <v>785</v>
      </c>
      <c r="D5378" s="79" t="s">
        <v>902</v>
      </c>
      <c r="E5378" s="79" t="s">
        <v>3109</v>
      </c>
      <c r="F5378" s="79"/>
    </row>
    <row r="5379" spans="1:6">
      <c r="A5379" s="152">
        <f t="shared" ca="1" si="532"/>
        <v>46034</v>
      </c>
      <c r="B5379" s="115">
        <f t="shared" ca="1" si="533"/>
        <v>46034.708111111111</v>
      </c>
      <c r="C5379" s="79" t="s">
        <v>785</v>
      </c>
      <c r="D5379" s="79" t="s">
        <v>902</v>
      </c>
      <c r="E5379" s="79" t="s">
        <v>2489</v>
      </c>
      <c r="F5379" s="79"/>
    </row>
    <row r="5380" spans="1:6">
      <c r="A5380" s="152">
        <f t="shared" ca="1" si="532"/>
        <v>46034</v>
      </c>
      <c r="B5380" s="115">
        <f t="shared" ca="1" si="533"/>
        <v>46034.709632638886</v>
      </c>
      <c r="C5380" s="79" t="s">
        <v>785</v>
      </c>
      <c r="D5380" s="79" t="s">
        <v>902</v>
      </c>
      <c r="E5380" s="79" t="s">
        <v>2489</v>
      </c>
      <c r="F5380" s="79"/>
    </row>
    <row r="5381" spans="1:6">
      <c r="A5381" s="152">
        <f t="shared" ca="1" si="532"/>
        <v>46034</v>
      </c>
      <c r="B5381" s="115">
        <f t="shared" ca="1" si="533"/>
        <v>46034.710434490742</v>
      </c>
      <c r="C5381" s="79" t="s">
        <v>785</v>
      </c>
      <c r="D5381" s="79" t="s">
        <v>902</v>
      </c>
      <c r="E5381" s="79" t="s">
        <v>3112</v>
      </c>
      <c r="F5381" s="79"/>
    </row>
    <row r="5382" spans="1:6">
      <c r="A5382" s="152">
        <f t="shared" ca="1" si="532"/>
        <v>46034</v>
      </c>
      <c r="B5382" s="115">
        <f t="shared" ca="1" si="533"/>
        <v>46034.710625462962</v>
      </c>
      <c r="C5382" s="79" t="s">
        <v>785</v>
      </c>
      <c r="D5382" s="79" t="s">
        <v>902</v>
      </c>
      <c r="E5382" s="79" t="s">
        <v>2489</v>
      </c>
      <c r="F5382" s="79"/>
    </row>
    <row r="5383" spans="1:6">
      <c r="A5383" s="152">
        <f t="shared" ca="1" si="532"/>
        <v>46034</v>
      </c>
      <c r="B5383" s="115">
        <f t="shared" ca="1" si="533"/>
        <v>46034.710625462962</v>
      </c>
      <c r="C5383" s="79" t="s">
        <v>785</v>
      </c>
      <c r="D5383" s="79" t="s">
        <v>902</v>
      </c>
      <c r="E5383" s="79" t="s">
        <v>2489</v>
      </c>
      <c r="F5383" s="79"/>
    </row>
    <row r="5384" spans="1:6">
      <c r="A5384" s="152">
        <f t="shared" ca="1" si="532"/>
        <v>46034</v>
      </c>
      <c r="B5384" s="115">
        <f t="shared" ca="1" si="533"/>
        <v>46034.710972685185</v>
      </c>
      <c r="C5384" s="79" t="s">
        <v>785</v>
      </c>
      <c r="D5384" s="79" t="s">
        <v>902</v>
      </c>
      <c r="E5384" s="79" t="s">
        <v>3112</v>
      </c>
      <c r="F5384" s="79"/>
    </row>
    <row r="5385" spans="1:6">
      <c r="A5385" s="152">
        <f t="shared" ref="A5385:A5405" ca="1" si="534">IF(C5385&lt;&gt;0,IF(A5385=0,TODAY(),A5385),)</f>
        <v>46034</v>
      </c>
      <c r="B5385" s="115">
        <f t="shared" ca="1" si="533"/>
        <v>46034.711179745369</v>
      </c>
      <c r="C5385" s="79" t="s">
        <v>785</v>
      </c>
      <c r="D5385" s="79" t="s">
        <v>902</v>
      </c>
      <c r="E5385" s="79" t="s">
        <v>3112</v>
      </c>
      <c r="F5385" s="79"/>
    </row>
    <row r="5386" spans="1:6">
      <c r="A5386" s="152">
        <f t="shared" ca="1" si="534"/>
        <v>46034</v>
      </c>
      <c r="B5386" s="115">
        <f t="shared" ca="1" si="533"/>
        <v>46034.71157673611</v>
      </c>
      <c r="C5386" s="79" t="s">
        <v>785</v>
      </c>
      <c r="D5386" s="79" t="s">
        <v>902</v>
      </c>
      <c r="E5386" s="79" t="s">
        <v>2489</v>
      </c>
      <c r="F5386" s="79"/>
    </row>
    <row r="5387" spans="1:6">
      <c r="A5387" s="152">
        <f t="shared" ca="1" si="534"/>
        <v>46034</v>
      </c>
      <c r="B5387" s="115">
        <f t="shared" ca="1" si="533"/>
        <v>46034.711748495371</v>
      </c>
      <c r="C5387" s="79" t="s">
        <v>785</v>
      </c>
      <c r="D5387" s="79" t="s">
        <v>902</v>
      </c>
      <c r="E5387" s="79" t="s">
        <v>3112</v>
      </c>
      <c r="F5387" s="79"/>
    </row>
    <row r="5388" spans="1:6">
      <c r="A5388" s="152">
        <f t="shared" ca="1" si="534"/>
        <v>46034</v>
      </c>
      <c r="B5388" s="115">
        <f t="shared" ca="1" si="533"/>
        <v>46034.711794097224</v>
      </c>
      <c r="C5388" s="79" t="s">
        <v>785</v>
      </c>
      <c r="D5388" s="79" t="s">
        <v>902</v>
      </c>
      <c r="E5388" s="79" t="s">
        <v>1062</v>
      </c>
      <c r="F5388" s="79"/>
    </row>
    <row r="5389" spans="1:6">
      <c r="A5389" s="152">
        <f t="shared" ca="1" si="534"/>
        <v>46034</v>
      </c>
      <c r="B5389" s="115">
        <f t="shared" ca="1" si="533"/>
        <v>46034.712029629627</v>
      </c>
      <c r="C5389" s="79" t="s">
        <v>785</v>
      </c>
      <c r="D5389" s="79" t="s">
        <v>902</v>
      </c>
      <c r="E5389" s="79" t="s">
        <v>3113</v>
      </c>
      <c r="F5389" s="79"/>
    </row>
    <row r="5390" spans="1:6">
      <c r="A5390" s="152">
        <f t="shared" ca="1" si="534"/>
        <v>46034</v>
      </c>
      <c r="B5390" s="115">
        <f t="shared" ca="1" si="533"/>
        <v>46034.712273958336</v>
      </c>
      <c r="C5390" s="79" t="s">
        <v>785</v>
      </c>
      <c r="D5390" s="79" t="s">
        <v>902</v>
      </c>
      <c r="E5390" s="79" t="s">
        <v>3112</v>
      </c>
      <c r="F5390" s="79"/>
    </row>
    <row r="5391" spans="1:6">
      <c r="A5391" s="152">
        <f t="shared" ca="1" si="534"/>
        <v>46034</v>
      </c>
      <c r="B5391" s="115">
        <f t="shared" ca="1" si="533"/>
        <v>46034.712578472223</v>
      </c>
      <c r="C5391" s="79" t="s">
        <v>785</v>
      </c>
      <c r="D5391" s="79" t="s">
        <v>902</v>
      </c>
      <c r="E5391" s="79" t="s">
        <v>3112</v>
      </c>
      <c r="F5391" s="79"/>
    </row>
    <row r="5392" spans="1:6">
      <c r="A5392" s="152">
        <f t="shared" ca="1" si="534"/>
        <v>46034</v>
      </c>
      <c r="B5392" s="115">
        <f t="shared" ca="1" si="533"/>
        <v>46034.712911458337</v>
      </c>
      <c r="C5392" s="79" t="s">
        <v>785</v>
      </c>
      <c r="D5392" s="79" t="s">
        <v>902</v>
      </c>
      <c r="E5392" s="79" t="s">
        <v>2489</v>
      </c>
      <c r="F5392" s="79"/>
    </row>
    <row r="5393" spans="1:6">
      <c r="A5393" s="152">
        <f t="shared" ca="1" si="534"/>
        <v>46034</v>
      </c>
      <c r="B5393" s="115">
        <f t="shared" ca="1" si="533"/>
        <v>46034.713574305555</v>
      </c>
      <c r="C5393" s="79" t="s">
        <v>785</v>
      </c>
      <c r="D5393" s="79" t="s">
        <v>902</v>
      </c>
      <c r="E5393" s="79" t="s">
        <v>3112</v>
      </c>
      <c r="F5393" s="79"/>
    </row>
    <row r="5394" spans="1:6">
      <c r="A5394" s="152">
        <f t="shared" ca="1" si="534"/>
        <v>46034</v>
      </c>
      <c r="B5394" s="115">
        <f t="shared" ca="1" si="533"/>
        <v>46034.714214583335</v>
      </c>
      <c r="C5394" s="79" t="s">
        <v>785</v>
      </c>
      <c r="D5394" s="79" t="s">
        <v>902</v>
      </c>
      <c r="E5394" s="79" t="s">
        <v>1324</v>
      </c>
      <c r="F5394" s="79"/>
    </row>
    <row r="5395" spans="1:6">
      <c r="A5395" s="152">
        <f t="shared" ca="1" si="534"/>
        <v>46034</v>
      </c>
      <c r="B5395" s="115">
        <f t="shared" ca="1" si="533"/>
        <v>46034.714448263891</v>
      </c>
      <c r="C5395" s="79" t="s">
        <v>785</v>
      </c>
      <c r="D5395" s="79" t="s">
        <v>902</v>
      </c>
      <c r="E5395" s="79" t="s">
        <v>2489</v>
      </c>
      <c r="F5395" s="79"/>
    </row>
    <row r="5396" spans="1:6">
      <c r="A5396" s="152">
        <f t="shared" ca="1" si="534"/>
        <v>46034</v>
      </c>
      <c r="B5396" s="115">
        <f t="shared" ca="1" si="533"/>
        <v>46034.714718634263</v>
      </c>
      <c r="C5396" s="79" t="s">
        <v>785</v>
      </c>
      <c r="D5396" s="79" t="s">
        <v>902</v>
      </c>
      <c r="E5396" s="79" t="s">
        <v>2489</v>
      </c>
      <c r="F5396" s="79"/>
    </row>
    <row r="5397" spans="1:6">
      <c r="A5397" s="152">
        <f t="shared" ca="1" si="534"/>
        <v>46034</v>
      </c>
      <c r="B5397" s="115">
        <f t="shared" ca="1" si="533"/>
        <v>46034.714783449075</v>
      </c>
      <c r="C5397" s="79" t="s">
        <v>785</v>
      </c>
      <c r="D5397" s="79" t="s">
        <v>902</v>
      </c>
      <c r="E5397" s="79" t="s">
        <v>3114</v>
      </c>
      <c r="F5397" s="79"/>
    </row>
    <row r="5398" spans="1:6">
      <c r="A5398" s="152">
        <f t="shared" ca="1" si="534"/>
        <v>46034</v>
      </c>
      <c r="B5398" s="115">
        <f t="shared" ca="1" si="533"/>
        <v>46034.715924884258</v>
      </c>
      <c r="C5398" s="79" t="s">
        <v>785</v>
      </c>
      <c r="D5398" s="79" t="s">
        <v>902</v>
      </c>
      <c r="E5398" s="79" t="s">
        <v>3109</v>
      </c>
      <c r="F5398" s="79"/>
    </row>
    <row r="5399" spans="1:6">
      <c r="A5399" s="152">
        <f t="shared" ca="1" si="534"/>
        <v>46034</v>
      </c>
      <c r="B5399" s="115">
        <f t="shared" ca="1" si="533"/>
        <v>46034.716151504632</v>
      </c>
      <c r="C5399" s="79" t="s">
        <v>785</v>
      </c>
      <c r="D5399" s="79" t="s">
        <v>902</v>
      </c>
      <c r="E5399" s="79" t="s">
        <v>1370</v>
      </c>
      <c r="F5399" s="79"/>
    </row>
    <row r="5400" spans="1:6">
      <c r="A5400" s="152">
        <f t="shared" ca="1" si="534"/>
        <v>46034</v>
      </c>
      <c r="B5400" s="115">
        <f t="shared" ca="1" si="533"/>
        <v>46034.717294212962</v>
      </c>
      <c r="C5400" s="79" t="s">
        <v>785</v>
      </c>
      <c r="D5400" s="79" t="s">
        <v>902</v>
      </c>
      <c r="E5400" s="79" t="s">
        <v>1370</v>
      </c>
      <c r="F5400" s="79"/>
    </row>
    <row r="5401" spans="1:6">
      <c r="A5401" s="152">
        <f t="shared" ca="1" si="534"/>
        <v>46034</v>
      </c>
      <c r="B5401" s="115">
        <f t="shared" ca="1" si="533"/>
        <v>46034.718901273147</v>
      </c>
      <c r="C5401" s="79" t="s">
        <v>785</v>
      </c>
      <c r="D5401" s="79" t="s">
        <v>902</v>
      </c>
      <c r="E5401" s="79" t="s">
        <v>3112</v>
      </c>
      <c r="F5401" s="79"/>
    </row>
    <row r="5402" spans="1:6">
      <c r="A5402" s="152">
        <f t="shared" ca="1" si="534"/>
        <v>46034</v>
      </c>
      <c r="B5402" s="115">
        <f t="shared" ca="1" si="533"/>
        <v>46034.720103703701</v>
      </c>
      <c r="C5402" s="79" t="s">
        <v>785</v>
      </c>
      <c r="D5402" s="79" t="s">
        <v>902</v>
      </c>
      <c r="E5402" s="79" t="s">
        <v>3112</v>
      </c>
      <c r="F5402" s="79"/>
    </row>
    <row r="5403" spans="1:6">
      <c r="A5403" s="152">
        <f t="shared" ca="1" si="534"/>
        <v>46034</v>
      </c>
      <c r="B5403" s="115">
        <f t="shared" ca="1" si="533"/>
        <v>46034.720977199075</v>
      </c>
      <c r="C5403" s="79" t="s">
        <v>785</v>
      </c>
      <c r="D5403" s="79" t="s">
        <v>902</v>
      </c>
      <c r="E5403" s="79" t="s">
        <v>3112</v>
      </c>
      <c r="F5403" s="79"/>
    </row>
    <row r="5404" spans="1:6">
      <c r="A5404" s="152">
        <f t="shared" ca="1" si="534"/>
        <v>46034</v>
      </c>
      <c r="B5404" s="115">
        <f t="shared" ca="1" si="533"/>
        <v>46034.721566435182</v>
      </c>
      <c r="C5404" s="79" t="s">
        <v>785</v>
      </c>
      <c r="D5404" s="79" t="s">
        <v>902</v>
      </c>
      <c r="E5404" s="79" t="s">
        <v>1476</v>
      </c>
      <c r="F5404" s="79"/>
    </row>
    <row r="5405" spans="1:6">
      <c r="A5405" s="152">
        <f t="shared" ca="1" si="534"/>
        <v>46034</v>
      </c>
      <c r="B5405" s="115">
        <f t="shared" ca="1" si="533"/>
        <v>46034.721718865738</v>
      </c>
      <c r="C5405" s="79" t="s">
        <v>785</v>
      </c>
      <c r="D5405" s="79" t="s">
        <v>902</v>
      </c>
      <c r="E5405" s="79" t="s">
        <v>3109</v>
      </c>
      <c r="F5405" s="79"/>
    </row>
    <row r="5406" spans="1:6">
      <c r="A5406" s="152">
        <v>46034</v>
      </c>
      <c r="B5406" s="115">
        <f t="shared" ca="1" si="533"/>
        <v>46034.722945023146</v>
      </c>
      <c r="C5406" s="79" t="s">
        <v>785</v>
      </c>
      <c r="D5406" s="79" t="s">
        <v>902</v>
      </c>
      <c r="E5406" s="79" t="s">
        <v>3112</v>
      </c>
      <c r="F5406" s="79"/>
    </row>
    <row r="5407" spans="1:6">
      <c r="A5407" s="152">
        <v>46034</v>
      </c>
      <c r="B5407" s="115">
        <f t="shared" ca="1" si="533"/>
        <v>46034.723438657405</v>
      </c>
      <c r="C5407" s="79" t="s">
        <v>785</v>
      </c>
      <c r="D5407" s="79" t="s">
        <v>902</v>
      </c>
      <c r="E5407" s="79" t="s">
        <v>3112</v>
      </c>
      <c r="F5407" s="79"/>
    </row>
    <row r="5408" spans="1:6">
      <c r="A5408" s="152">
        <v>46034</v>
      </c>
      <c r="B5408" s="115">
        <f t="shared" ref="B5408:B5422" ca="1" si="535">IF(C5408&lt;&gt;0,IF(B5408=0,NOW(),B5408),)</f>
        <v>46034.723916782408</v>
      </c>
      <c r="C5408" s="79" t="s">
        <v>785</v>
      </c>
      <c r="D5408" s="79" t="s">
        <v>902</v>
      </c>
      <c r="E5408" s="79" t="s">
        <v>3112</v>
      </c>
      <c r="F5408" s="79"/>
    </row>
    <row r="5409" spans="1:6">
      <c r="A5409" s="152">
        <v>46034</v>
      </c>
      <c r="B5409" s="115">
        <f t="shared" ca="1" si="535"/>
        <v>46034.724632754631</v>
      </c>
      <c r="C5409" s="79" t="s">
        <v>785</v>
      </c>
      <c r="D5409" s="79" t="s">
        <v>902</v>
      </c>
      <c r="E5409" s="79" t="s">
        <v>3112</v>
      </c>
      <c r="F5409" s="79"/>
    </row>
    <row r="5410" spans="1:6">
      <c r="A5410" s="152">
        <v>46034</v>
      </c>
      <c r="B5410" s="115">
        <f t="shared" ca="1" si="535"/>
        <v>46034.725738425928</v>
      </c>
      <c r="C5410" s="79" t="s">
        <v>785</v>
      </c>
      <c r="D5410" s="79" t="s">
        <v>902</v>
      </c>
      <c r="E5410" s="79" t="s">
        <v>3115</v>
      </c>
      <c r="F5410" s="79"/>
    </row>
    <row r="5411" spans="1:6">
      <c r="A5411" s="152">
        <v>46034</v>
      </c>
      <c r="B5411" s="115">
        <f t="shared" ca="1" si="535"/>
        <v>46034.727150462961</v>
      </c>
      <c r="C5411" s="79" t="s">
        <v>785</v>
      </c>
      <c r="D5411" s="79" t="s">
        <v>902</v>
      </c>
      <c r="E5411" s="79" t="s">
        <v>3112</v>
      </c>
      <c r="F5411" s="79"/>
    </row>
    <row r="5412" spans="1:6">
      <c r="A5412" s="152">
        <v>46034</v>
      </c>
      <c r="B5412" s="115">
        <f t="shared" ca="1" si="535"/>
        <v>46034.727527777781</v>
      </c>
      <c r="C5412" s="79" t="s">
        <v>785</v>
      </c>
      <c r="D5412" s="79" t="s">
        <v>902</v>
      </c>
      <c r="E5412" s="79" t="s">
        <v>3112</v>
      </c>
      <c r="F5412" s="79"/>
    </row>
    <row r="5413" spans="1:6">
      <c r="A5413" s="152">
        <v>46034</v>
      </c>
      <c r="B5413" s="115">
        <f t="shared" ca="1" si="535"/>
        <v>46034.728964351852</v>
      </c>
      <c r="C5413" s="79" t="s">
        <v>785</v>
      </c>
      <c r="D5413" s="79" t="s">
        <v>902</v>
      </c>
      <c r="E5413" s="79" t="s">
        <v>3112</v>
      </c>
      <c r="F5413" s="79"/>
    </row>
    <row r="5414" spans="1:6">
      <c r="A5414" s="152">
        <v>46034</v>
      </c>
      <c r="B5414" s="115">
        <f t="shared" ca="1" si="535"/>
        <v>46034.72925034722</v>
      </c>
      <c r="C5414" s="79" t="s">
        <v>785</v>
      </c>
      <c r="D5414" s="79" t="s">
        <v>902</v>
      </c>
      <c r="E5414" s="79" t="s">
        <v>3109</v>
      </c>
      <c r="F5414" s="79"/>
    </row>
    <row r="5415" spans="1:6">
      <c r="A5415" s="152">
        <v>46034</v>
      </c>
      <c r="B5415" s="115">
        <f t="shared" ca="1" si="535"/>
        <v>46034.729411805558</v>
      </c>
      <c r="C5415" s="79" t="s">
        <v>785</v>
      </c>
      <c r="D5415" s="79" t="s">
        <v>902</v>
      </c>
      <c r="E5415" s="79" t="s">
        <v>3112</v>
      </c>
      <c r="F5415" s="79"/>
    </row>
    <row r="5416" spans="1:6">
      <c r="A5416" s="152">
        <v>46034</v>
      </c>
      <c r="B5416" s="115">
        <f t="shared" ca="1" si="535"/>
        <v>46034.729683680554</v>
      </c>
      <c r="C5416" s="79" t="s">
        <v>785</v>
      </c>
      <c r="D5416" s="79" t="s">
        <v>902</v>
      </c>
      <c r="E5416" s="79" t="s">
        <v>3109</v>
      </c>
      <c r="F5416" s="79"/>
    </row>
    <row r="5417" spans="1:6">
      <c r="A5417" s="152">
        <v>46034</v>
      </c>
      <c r="B5417" s="115">
        <f t="shared" ca="1" si="535"/>
        <v>46034.729683680554</v>
      </c>
      <c r="C5417" s="79" t="s">
        <v>785</v>
      </c>
      <c r="D5417" s="79" t="s">
        <v>902</v>
      </c>
      <c r="E5417" s="79" t="s">
        <v>3109</v>
      </c>
      <c r="F5417" s="79"/>
    </row>
    <row r="5418" spans="1:6">
      <c r="A5418" s="152">
        <v>46034</v>
      </c>
      <c r="B5418" s="115">
        <f t="shared" ca="1" si="535"/>
        <v>46034.729683680554</v>
      </c>
      <c r="C5418" s="79" t="s">
        <v>785</v>
      </c>
      <c r="D5418" s="79" t="s">
        <v>902</v>
      </c>
      <c r="E5418" s="79" t="s">
        <v>3109</v>
      </c>
      <c r="F5418" s="79"/>
    </row>
    <row r="5419" spans="1:6">
      <c r="A5419" s="152">
        <v>46034</v>
      </c>
      <c r="B5419" s="115">
        <f t="shared" ca="1" si="535"/>
        <v>46034.729981365737</v>
      </c>
      <c r="C5419" s="79" t="s">
        <v>785</v>
      </c>
      <c r="D5419" s="79" t="s">
        <v>902</v>
      </c>
      <c r="E5419" s="79" t="s">
        <v>3109</v>
      </c>
      <c r="F5419" s="79"/>
    </row>
    <row r="5420" spans="1:6">
      <c r="A5420" s="152">
        <v>46034</v>
      </c>
      <c r="B5420" s="115">
        <f t="shared" ca="1" si="535"/>
        <v>46034.730070254627</v>
      </c>
      <c r="C5420" s="79" t="s">
        <v>785</v>
      </c>
      <c r="D5420" s="79" t="s">
        <v>902</v>
      </c>
      <c r="E5420" s="79" t="s">
        <v>3112</v>
      </c>
      <c r="F5420" s="79"/>
    </row>
    <row r="5421" spans="1:6">
      <c r="A5421" s="152">
        <v>46034</v>
      </c>
      <c r="B5421" s="115">
        <f t="shared" ca="1" si="535"/>
        <v>46034.730520833335</v>
      </c>
      <c r="C5421" s="79" t="s">
        <v>785</v>
      </c>
      <c r="D5421" s="79" t="s">
        <v>902</v>
      </c>
      <c r="E5421" s="79" t="s">
        <v>1063</v>
      </c>
      <c r="F5421" s="79"/>
    </row>
    <row r="5422" spans="1:6">
      <c r="A5422" s="152">
        <v>46034</v>
      </c>
      <c r="B5422" s="115">
        <f t="shared" ca="1" si="535"/>
        <v>46034.730999074076</v>
      </c>
      <c r="C5422" s="79" t="s">
        <v>785</v>
      </c>
      <c r="D5422" s="79" t="s">
        <v>902</v>
      </c>
      <c r="E5422" s="79" t="s">
        <v>3112</v>
      </c>
      <c r="F5422" s="79"/>
    </row>
    <row r="5423" spans="1:6">
      <c r="A5423" s="152">
        <v>46034</v>
      </c>
      <c r="B5423" s="115">
        <f t="shared" ref="B5423:B5442" ca="1" si="536">IF(C5423&lt;&gt;0,IF(B5423=0,NOW(),B5423),)</f>
        <v>46034.731745138888</v>
      </c>
      <c r="C5423" s="79" t="s">
        <v>785</v>
      </c>
      <c r="D5423" s="79" t="s">
        <v>902</v>
      </c>
      <c r="E5423" s="79" t="s">
        <v>3112</v>
      </c>
      <c r="F5423" s="79"/>
    </row>
    <row r="5424" spans="1:6">
      <c r="A5424" s="152">
        <v>46034</v>
      </c>
      <c r="B5424" s="115">
        <f t="shared" ca="1" si="536"/>
        <v>46034.732507870373</v>
      </c>
      <c r="C5424" s="79" t="s">
        <v>785</v>
      </c>
      <c r="D5424" s="79" t="s">
        <v>902</v>
      </c>
      <c r="E5424" s="79" t="s">
        <v>3116</v>
      </c>
      <c r="F5424" s="79"/>
    </row>
    <row r="5425" spans="1:6">
      <c r="A5425" s="152">
        <v>46034</v>
      </c>
      <c r="B5425" s="115">
        <f t="shared" ca="1" si="536"/>
        <v>46034.733162268516</v>
      </c>
      <c r="C5425" s="79" t="s">
        <v>785</v>
      </c>
      <c r="D5425" s="79" t="s">
        <v>902</v>
      </c>
      <c r="E5425" s="79" t="s">
        <v>3112</v>
      </c>
      <c r="F5425" s="79"/>
    </row>
    <row r="5426" spans="1:6">
      <c r="A5426" s="152">
        <v>46034</v>
      </c>
      <c r="B5426" s="115">
        <f t="shared" ca="1" si="536"/>
        <v>46034.733379976853</v>
      </c>
      <c r="C5426" s="79" t="s">
        <v>785</v>
      </c>
      <c r="D5426" s="79" t="s">
        <v>902</v>
      </c>
      <c r="E5426" s="79" t="s">
        <v>3112</v>
      </c>
      <c r="F5426" s="79"/>
    </row>
    <row r="5427" spans="1:6">
      <c r="A5427" s="152">
        <v>46034</v>
      </c>
      <c r="B5427" s="115">
        <f t="shared" ca="1" si="536"/>
        <v>46034.733576388891</v>
      </c>
      <c r="C5427" s="79" t="s">
        <v>785</v>
      </c>
      <c r="D5427" s="79" t="s">
        <v>902</v>
      </c>
      <c r="E5427" s="79" t="s">
        <v>3109</v>
      </c>
      <c r="F5427" s="79"/>
    </row>
    <row r="5428" spans="1:6">
      <c r="A5428" s="152">
        <v>46034</v>
      </c>
      <c r="B5428" s="115">
        <f t="shared" ca="1" si="536"/>
        <v>46034.73455833333</v>
      </c>
      <c r="C5428" s="79" t="s">
        <v>785</v>
      </c>
      <c r="D5428" s="79" t="s">
        <v>902</v>
      </c>
      <c r="E5428" s="79" t="s">
        <v>3109</v>
      </c>
      <c r="F5428" s="79"/>
    </row>
    <row r="5429" spans="1:6">
      <c r="A5429" s="152">
        <v>46034</v>
      </c>
      <c r="B5429" s="115">
        <f t="shared" ca="1" si="536"/>
        <v>46034.73496238426</v>
      </c>
      <c r="C5429" s="79" t="s">
        <v>785</v>
      </c>
      <c r="D5429" s="79" t="s">
        <v>902</v>
      </c>
      <c r="E5429" s="79" t="s">
        <v>3112</v>
      </c>
      <c r="F5429" s="79"/>
    </row>
    <row r="5430" spans="1:6">
      <c r="A5430" s="152">
        <v>46034</v>
      </c>
      <c r="B5430" s="115">
        <f t="shared" ca="1" si="536"/>
        <v>46034.735894097219</v>
      </c>
      <c r="C5430" s="79" t="s">
        <v>785</v>
      </c>
      <c r="D5430" s="79" t="s">
        <v>902</v>
      </c>
      <c r="E5430" s="79" t="s">
        <v>3116</v>
      </c>
      <c r="F5430" s="79"/>
    </row>
    <row r="5431" spans="1:6">
      <c r="A5431" s="152">
        <v>46034</v>
      </c>
      <c r="B5431" s="115">
        <f t="shared" ca="1" si="536"/>
        <v>46034.736142245369</v>
      </c>
      <c r="C5431" s="79" t="s">
        <v>785</v>
      </c>
      <c r="D5431" s="79" t="s">
        <v>902</v>
      </c>
      <c r="E5431" s="79" t="s">
        <v>3112</v>
      </c>
      <c r="F5431" s="79"/>
    </row>
    <row r="5432" spans="1:6">
      <c r="A5432" s="152">
        <v>46034</v>
      </c>
      <c r="B5432" s="115">
        <f ca="1">IF(C5434&lt;&gt;0,IF(B5432=0,NOW(),B5432),)</f>
        <v>46034.737347222224</v>
      </c>
      <c r="C5432" s="79" t="s">
        <v>785</v>
      </c>
      <c r="D5432" s="79" t="s">
        <v>902</v>
      </c>
      <c r="E5432" s="79" t="s">
        <v>3112</v>
      </c>
      <c r="F5432" s="79"/>
    </row>
    <row r="5433" spans="1:6">
      <c r="A5433" s="152">
        <v>46034</v>
      </c>
      <c r="B5433" s="115">
        <f t="shared" ca="1" si="536"/>
        <v>46034.737561111113</v>
      </c>
      <c r="C5433" s="79" t="s">
        <v>785</v>
      </c>
      <c r="D5433" s="79" t="s">
        <v>902</v>
      </c>
      <c r="E5433" s="79" t="s">
        <v>1063</v>
      </c>
      <c r="F5433" s="79"/>
    </row>
    <row r="5434" spans="1:6">
      <c r="A5434" s="152">
        <v>46034</v>
      </c>
      <c r="B5434" s="115">
        <v>0.73825231481481479</v>
      </c>
      <c r="C5434" s="79" t="s">
        <v>785</v>
      </c>
      <c r="D5434" s="79" t="s">
        <v>902</v>
      </c>
      <c r="E5434" s="79" t="s">
        <v>3112</v>
      </c>
      <c r="F5434" s="79"/>
    </row>
    <row r="5435" spans="1:6">
      <c r="A5435" s="152">
        <v>46034</v>
      </c>
      <c r="B5435" s="115">
        <f t="shared" ca="1" si="536"/>
        <v>46034.739565277778</v>
      </c>
      <c r="C5435" s="79" t="s">
        <v>785</v>
      </c>
      <c r="D5435" s="79" t="s">
        <v>902</v>
      </c>
      <c r="E5435" s="79" t="s">
        <v>3112</v>
      </c>
      <c r="F5435" s="79"/>
    </row>
    <row r="5436" spans="1:6">
      <c r="A5436" s="152">
        <v>46034</v>
      </c>
      <c r="B5436" s="115">
        <f t="shared" ca="1" si="536"/>
        <v>46034.740235300924</v>
      </c>
      <c r="C5436" s="79" t="s">
        <v>785</v>
      </c>
      <c r="D5436" s="79" t="s">
        <v>902</v>
      </c>
      <c r="E5436" s="79" t="s">
        <v>3112</v>
      </c>
      <c r="F5436" s="79"/>
    </row>
    <row r="5437" spans="1:6">
      <c r="A5437" s="152">
        <v>46034</v>
      </c>
      <c r="B5437" s="115">
        <f t="shared" ca="1" si="536"/>
        <v>46034.740764930553</v>
      </c>
      <c r="C5437" s="79" t="s">
        <v>785</v>
      </c>
      <c r="D5437" s="79" t="s">
        <v>902</v>
      </c>
      <c r="E5437" s="79" t="s">
        <v>3112</v>
      </c>
      <c r="F5437" s="79"/>
    </row>
    <row r="5438" spans="1:6">
      <c r="A5438" s="152">
        <v>46034</v>
      </c>
      <c r="B5438" s="115">
        <f t="shared" ca="1" si="536"/>
        <v>46034.741986574074</v>
      </c>
      <c r="C5438" s="79" t="s">
        <v>785</v>
      </c>
      <c r="D5438" s="79" t="s">
        <v>902</v>
      </c>
      <c r="E5438" s="79" t="s">
        <v>3112</v>
      </c>
      <c r="F5438" s="79"/>
    </row>
    <row r="5439" spans="1:6">
      <c r="A5439" s="152">
        <v>46034</v>
      </c>
      <c r="B5439" s="115">
        <f t="shared" ca="1" si="536"/>
        <v>46034.742262384258</v>
      </c>
      <c r="C5439" s="79" t="s">
        <v>785</v>
      </c>
      <c r="D5439" s="79" t="s">
        <v>902</v>
      </c>
      <c r="E5439" s="79" t="s">
        <v>3043</v>
      </c>
      <c r="F5439" s="79"/>
    </row>
    <row r="5440" spans="1:6">
      <c r="A5440" s="152">
        <v>46034</v>
      </c>
      <c r="B5440" s="115">
        <f t="shared" ca="1" si="536"/>
        <v>46034.74257037037</v>
      </c>
      <c r="C5440" s="79" t="s">
        <v>785</v>
      </c>
      <c r="D5440" s="79" t="s">
        <v>902</v>
      </c>
      <c r="E5440" s="79" t="s">
        <v>3117</v>
      </c>
      <c r="F5440" s="79"/>
    </row>
    <row r="5441" spans="1:6">
      <c r="A5441" s="152">
        <v>46034</v>
      </c>
      <c r="B5441" s="115">
        <f t="shared" ca="1" si="536"/>
        <v>46034.744832407407</v>
      </c>
      <c r="C5441" s="79" t="s">
        <v>785</v>
      </c>
      <c r="D5441" s="79" t="s">
        <v>902</v>
      </c>
      <c r="E5441" s="79" t="s">
        <v>3112</v>
      </c>
      <c r="F5441" s="79"/>
    </row>
    <row r="5442" spans="1:6">
      <c r="A5442" s="152">
        <v>46034</v>
      </c>
      <c r="B5442" s="115">
        <f t="shared" ca="1" si="536"/>
        <v>46034.745123032408</v>
      </c>
      <c r="C5442" s="79" t="s">
        <v>785</v>
      </c>
      <c r="D5442" s="79" t="s">
        <v>902</v>
      </c>
      <c r="E5442" s="79" t="s">
        <v>3109</v>
      </c>
      <c r="F5442" s="79"/>
    </row>
    <row r="5443" spans="1:6">
      <c r="A5443" s="152">
        <v>46034</v>
      </c>
      <c r="B5443" s="115">
        <f t="shared" ref="B5443:B5479" ca="1" si="537">IF(C5443&lt;&gt;0,IF(B5443=0,NOW(),B5443),)</f>
        <v>46034.745237962961</v>
      </c>
      <c r="C5443" s="79" t="s">
        <v>785</v>
      </c>
      <c r="D5443" s="79" t="s">
        <v>902</v>
      </c>
      <c r="E5443" s="79" t="s">
        <v>3112</v>
      </c>
      <c r="F5443" s="79"/>
    </row>
    <row r="5444" spans="1:6">
      <c r="A5444" s="152">
        <v>46034</v>
      </c>
      <c r="B5444" s="115">
        <f t="shared" ca="1" si="537"/>
        <v>46034.745985069443</v>
      </c>
      <c r="C5444" s="79" t="s">
        <v>785</v>
      </c>
      <c r="D5444" s="79" t="s">
        <v>902</v>
      </c>
      <c r="E5444" s="79" t="s">
        <v>3112</v>
      </c>
      <c r="F5444" s="79"/>
    </row>
    <row r="5445" spans="1:6">
      <c r="A5445" s="152">
        <v>46034</v>
      </c>
      <c r="B5445" s="115">
        <f t="shared" ca="1" si="537"/>
        <v>46034.750715162038</v>
      </c>
      <c r="C5445" s="76" t="s">
        <v>785</v>
      </c>
      <c r="D5445" s="79" t="s">
        <v>902</v>
      </c>
      <c r="E5445" s="79" t="s">
        <v>3112</v>
      </c>
      <c r="F5445" s="79"/>
    </row>
    <row r="5446" spans="1:6">
      <c r="A5446" s="152">
        <v>46034</v>
      </c>
      <c r="B5446" s="115">
        <f t="shared" ca="1" si="537"/>
        <v>46034.755216550926</v>
      </c>
      <c r="C5446" s="76" t="s">
        <v>785</v>
      </c>
      <c r="D5446" s="79" t="s">
        <v>902</v>
      </c>
      <c r="E5446" s="79" t="s">
        <v>3112</v>
      </c>
      <c r="F5446" s="79"/>
    </row>
    <row r="5447" spans="1:6">
      <c r="A5447" s="152">
        <v>46034</v>
      </c>
      <c r="B5447" s="115">
        <f t="shared" ca="1" si="537"/>
        <v>46034.755352777778</v>
      </c>
      <c r="C5447" s="76" t="s">
        <v>785</v>
      </c>
      <c r="D5447" s="79" t="s">
        <v>902</v>
      </c>
      <c r="E5447" s="79" t="s">
        <v>1324</v>
      </c>
      <c r="F5447" s="79"/>
    </row>
    <row r="5448" spans="1:6">
      <c r="A5448" s="152">
        <v>46034</v>
      </c>
      <c r="B5448" s="115">
        <f t="shared" ca="1" si="537"/>
        <v>46034.758151967595</v>
      </c>
      <c r="C5448" s="76" t="s">
        <v>785</v>
      </c>
      <c r="D5448" s="79" t="s">
        <v>902</v>
      </c>
      <c r="E5448" s="79" t="s">
        <v>3118</v>
      </c>
      <c r="F5448" s="79"/>
    </row>
    <row r="5449" spans="1:6">
      <c r="A5449" s="152">
        <v>46034</v>
      </c>
      <c r="B5449" s="115">
        <f t="shared" ca="1" si="537"/>
        <v>46034.764410300922</v>
      </c>
      <c r="C5449" s="76" t="s">
        <v>785</v>
      </c>
      <c r="D5449" s="79" t="s">
        <v>902</v>
      </c>
      <c r="E5449" s="79" t="s">
        <v>3118</v>
      </c>
      <c r="F5449" s="79"/>
    </row>
    <row r="5450" spans="1:6">
      <c r="A5450" s="152">
        <v>46034</v>
      </c>
      <c r="B5450" s="115">
        <f t="shared" ca="1" si="537"/>
        <v>46034.764828935186</v>
      </c>
      <c r="C5450" s="76" t="s">
        <v>785</v>
      </c>
      <c r="D5450" s="79" t="s">
        <v>902</v>
      </c>
      <c r="E5450" s="79" t="s">
        <v>1346</v>
      </c>
      <c r="F5450" s="79"/>
    </row>
    <row r="5451" spans="1:6">
      <c r="A5451" s="152">
        <v>46034</v>
      </c>
      <c r="B5451" s="115">
        <f t="shared" ca="1" si="537"/>
        <v>46034.77325578704</v>
      </c>
      <c r="C5451" s="76" t="s">
        <v>785</v>
      </c>
      <c r="D5451" s="79" t="s">
        <v>902</v>
      </c>
      <c r="E5451" s="79" t="s">
        <v>1504</v>
      </c>
      <c r="F5451" s="79"/>
    </row>
    <row r="5452" spans="1:6">
      <c r="A5452" s="152">
        <v>46034</v>
      </c>
      <c r="B5452" s="115">
        <f t="shared" ca="1" si="537"/>
        <v>46034.773426273146</v>
      </c>
      <c r="C5452" s="76" t="s">
        <v>785</v>
      </c>
      <c r="D5452" s="79" t="s">
        <v>902</v>
      </c>
      <c r="E5452" s="79" t="s">
        <v>1504</v>
      </c>
      <c r="F5452" s="79"/>
    </row>
    <row r="5453" spans="1:6">
      <c r="A5453" s="152">
        <v>46034</v>
      </c>
      <c r="B5453" s="115">
        <f t="shared" ca="1" si="537"/>
        <v>46034.773469907406</v>
      </c>
      <c r="C5453" s="76" t="s">
        <v>785</v>
      </c>
      <c r="D5453" s="79" t="s">
        <v>902</v>
      </c>
      <c r="E5453" s="79" t="s">
        <v>1504</v>
      </c>
      <c r="F5453" s="79"/>
    </row>
    <row r="5454" spans="1:6">
      <c r="A5454" s="152">
        <v>46034</v>
      </c>
      <c r="B5454" s="115">
        <f t="shared" ca="1" si="537"/>
        <v>46034.774760416665</v>
      </c>
      <c r="C5454" s="76" t="s">
        <v>785</v>
      </c>
      <c r="D5454" s="79" t="s">
        <v>902</v>
      </c>
      <c r="E5454" s="79" t="s">
        <v>1504</v>
      </c>
      <c r="F5454" s="79"/>
    </row>
    <row r="5455" spans="1:6">
      <c r="A5455" s="152">
        <v>46034</v>
      </c>
      <c r="B5455" s="115">
        <f t="shared" ca="1" si="537"/>
        <v>46034.777480324075</v>
      </c>
      <c r="C5455" s="76" t="s">
        <v>785</v>
      </c>
      <c r="D5455" s="79" t="s">
        <v>902</v>
      </c>
      <c r="E5455" s="79" t="s">
        <v>1504</v>
      </c>
      <c r="F5455" s="79"/>
    </row>
    <row r="5456" spans="1:6">
      <c r="A5456" s="152">
        <v>46034</v>
      </c>
      <c r="B5456" s="115">
        <f t="shared" ca="1" si="537"/>
        <v>46034.777565856479</v>
      </c>
      <c r="C5456" s="76" t="s">
        <v>785</v>
      </c>
      <c r="D5456" s="79" t="s">
        <v>902</v>
      </c>
      <c r="E5456" s="79" t="s">
        <v>1504</v>
      </c>
      <c r="F5456" s="79"/>
    </row>
    <row r="5457" spans="1:6">
      <c r="A5457" s="152">
        <v>46034</v>
      </c>
      <c r="B5457" s="115">
        <f t="shared" ca="1" si="537"/>
        <v>46034.777852199077</v>
      </c>
      <c r="C5457" s="76" t="s">
        <v>785</v>
      </c>
      <c r="D5457" s="79" t="s">
        <v>902</v>
      </c>
      <c r="E5457" s="79" t="s">
        <v>1504</v>
      </c>
      <c r="F5457" s="79"/>
    </row>
    <row r="5458" spans="1:6">
      <c r="A5458" s="152">
        <v>46034</v>
      </c>
      <c r="B5458" s="115">
        <f t="shared" ca="1" si="537"/>
        <v>46034.778266319445</v>
      </c>
      <c r="C5458" s="76" t="s">
        <v>785</v>
      </c>
      <c r="D5458" s="79" t="s">
        <v>902</v>
      </c>
      <c r="E5458" s="79" t="s">
        <v>1504</v>
      </c>
      <c r="F5458" s="79"/>
    </row>
    <row r="5459" spans="1:6">
      <c r="A5459" s="152">
        <v>46034</v>
      </c>
      <c r="B5459" s="115">
        <f t="shared" ca="1" si="537"/>
        <v>46034.778516203703</v>
      </c>
      <c r="C5459" s="76" t="s">
        <v>785</v>
      </c>
      <c r="D5459" s="79" t="s">
        <v>902</v>
      </c>
      <c r="E5459" s="79" t="s">
        <v>1504</v>
      </c>
      <c r="F5459" s="79"/>
    </row>
    <row r="5460" spans="1:6">
      <c r="A5460" s="152">
        <v>46034</v>
      </c>
      <c r="B5460" s="115">
        <f t="shared" ca="1" si="537"/>
        <v>46034.778697222224</v>
      </c>
      <c r="C5460" s="76" t="s">
        <v>785</v>
      </c>
      <c r="D5460" s="79" t="s">
        <v>902</v>
      </c>
      <c r="E5460" s="79" t="s">
        <v>1504</v>
      </c>
      <c r="F5460" s="79"/>
    </row>
    <row r="5461" spans="1:6">
      <c r="A5461" s="152">
        <v>46034</v>
      </c>
      <c r="B5461" s="115">
        <f t="shared" ca="1" si="537"/>
        <v>46034.77899097222</v>
      </c>
      <c r="C5461" s="76" t="s">
        <v>785</v>
      </c>
      <c r="D5461" s="79" t="s">
        <v>902</v>
      </c>
      <c r="E5461" s="79" t="s">
        <v>1504</v>
      </c>
      <c r="F5461" s="79"/>
    </row>
    <row r="5462" spans="1:6">
      <c r="A5462" s="152">
        <v>46034</v>
      </c>
      <c r="B5462" s="115">
        <f t="shared" ca="1" si="537"/>
        <v>46034.780688078703</v>
      </c>
      <c r="C5462" s="76" t="s">
        <v>785</v>
      </c>
      <c r="D5462" s="79" t="s">
        <v>902</v>
      </c>
      <c r="E5462" s="79" t="s">
        <v>1504</v>
      </c>
      <c r="F5462" s="79"/>
    </row>
    <row r="5463" spans="1:6">
      <c r="A5463" s="152">
        <v>46034</v>
      </c>
      <c r="B5463" s="115">
        <f t="shared" ca="1" si="537"/>
        <v>46034.780837615741</v>
      </c>
      <c r="C5463" s="76" t="s">
        <v>785</v>
      </c>
      <c r="D5463" s="79" t="s">
        <v>902</v>
      </c>
      <c r="E5463" s="79" t="s">
        <v>3118</v>
      </c>
      <c r="F5463" s="79"/>
    </row>
    <row r="5464" spans="1:6">
      <c r="A5464" s="152">
        <v>46034</v>
      </c>
      <c r="B5464" s="115">
        <f t="shared" ca="1" si="537"/>
        <v>46034.78128761574</v>
      </c>
      <c r="C5464" s="76" t="s">
        <v>785</v>
      </c>
      <c r="D5464" s="79" t="s">
        <v>902</v>
      </c>
      <c r="E5464" s="79" t="s">
        <v>2489</v>
      </c>
      <c r="F5464" s="79"/>
    </row>
    <row r="5465" spans="1:6">
      <c r="A5465" s="152">
        <v>46034</v>
      </c>
      <c r="B5465" s="115">
        <f t="shared" ca="1" si="537"/>
        <v>46034.788529861115</v>
      </c>
      <c r="C5465" s="76" t="s">
        <v>785</v>
      </c>
      <c r="D5465" s="79" t="s">
        <v>902</v>
      </c>
      <c r="E5465" s="79" t="s">
        <v>3119</v>
      </c>
      <c r="F5465" s="79"/>
    </row>
    <row r="5466" spans="1:6">
      <c r="A5466" s="152">
        <v>46034</v>
      </c>
      <c r="B5466" s="115">
        <f t="shared" ca="1" si="537"/>
        <v>46034.793615162038</v>
      </c>
      <c r="C5466" s="76" t="s">
        <v>785</v>
      </c>
      <c r="D5466" s="79" t="s">
        <v>902</v>
      </c>
      <c r="E5466" s="79" t="s">
        <v>1504</v>
      </c>
      <c r="F5466" s="79"/>
    </row>
    <row r="5467" spans="1:6">
      <c r="A5467" s="152">
        <v>46034</v>
      </c>
      <c r="B5467" s="115">
        <f t="shared" ca="1" si="537"/>
        <v>46034.793849305555</v>
      </c>
      <c r="C5467" s="79" t="s">
        <v>785</v>
      </c>
      <c r="D5467" s="79" t="s">
        <v>902</v>
      </c>
      <c r="E5467" s="79" t="s">
        <v>1504</v>
      </c>
      <c r="F5467" s="79"/>
    </row>
    <row r="5468" spans="1:6">
      <c r="A5468" s="152">
        <v>46034</v>
      </c>
      <c r="B5468" s="115">
        <f t="shared" ca="1" si="537"/>
        <v>46034.794074421297</v>
      </c>
      <c r="C5468" s="76" t="s">
        <v>785</v>
      </c>
      <c r="D5468" s="79" t="s">
        <v>902</v>
      </c>
      <c r="E5468" s="79" t="s">
        <v>1504</v>
      </c>
      <c r="F5468" s="79"/>
    </row>
    <row r="5469" spans="1:6">
      <c r="A5469" s="152">
        <v>46034</v>
      </c>
      <c r="B5469" s="115">
        <f t="shared" ca="1" si="537"/>
        <v>46034.794672685188</v>
      </c>
      <c r="C5469" s="76" t="s">
        <v>785</v>
      </c>
      <c r="D5469" s="79" t="s">
        <v>902</v>
      </c>
      <c r="E5469" s="79" t="s">
        <v>1504</v>
      </c>
      <c r="F5469" s="79"/>
    </row>
    <row r="5470" spans="1:6">
      <c r="A5470" s="152">
        <v>46034</v>
      </c>
      <c r="B5470" s="115">
        <f t="shared" ca="1" si="537"/>
        <v>46034.794720833335</v>
      </c>
      <c r="C5470" s="76" t="s">
        <v>785</v>
      </c>
      <c r="D5470" s="79" t="s">
        <v>902</v>
      </c>
      <c r="E5470" s="79" t="s">
        <v>1504</v>
      </c>
      <c r="F5470" s="79"/>
    </row>
    <row r="5471" spans="1:6">
      <c r="A5471" s="152">
        <v>46034</v>
      </c>
      <c r="B5471" s="115">
        <f t="shared" ca="1" si="537"/>
        <v>46034.795200462962</v>
      </c>
      <c r="C5471" s="76" t="s">
        <v>785</v>
      </c>
      <c r="D5471" s="79" t="s">
        <v>902</v>
      </c>
      <c r="E5471" s="79" t="s">
        <v>1504</v>
      </c>
      <c r="F5471" s="79"/>
    </row>
    <row r="5472" spans="1:6">
      <c r="A5472" s="152">
        <v>46034</v>
      </c>
      <c r="B5472" s="115">
        <f t="shared" ca="1" si="537"/>
        <v>46034.796050231482</v>
      </c>
      <c r="C5472" s="76" t="s">
        <v>785</v>
      </c>
      <c r="D5472" s="79" t="s">
        <v>902</v>
      </c>
      <c r="E5472" s="79" t="s">
        <v>1504</v>
      </c>
      <c r="F5472" s="79"/>
    </row>
    <row r="5473" spans="1:6">
      <c r="A5473" s="152">
        <v>46034</v>
      </c>
      <c r="B5473" s="115">
        <f t="shared" ca="1" si="537"/>
        <v>46034.797949652777</v>
      </c>
      <c r="C5473" s="76" t="s">
        <v>785</v>
      </c>
      <c r="D5473" s="210" t="s">
        <v>922</v>
      </c>
      <c r="E5473" s="79"/>
      <c r="F5473" s="79"/>
    </row>
    <row r="5474" spans="1:6" s="150" customFormat="1">
      <c r="A5474" s="151">
        <v>46034</v>
      </c>
      <c r="B5474" s="149">
        <f t="shared" ca="1" si="537"/>
        <v>46034.816261458334</v>
      </c>
      <c r="C5474" s="150" t="s">
        <v>785</v>
      </c>
      <c r="D5474" s="210" t="s">
        <v>1098</v>
      </c>
    </row>
    <row r="5475" spans="1:6" s="150" customFormat="1">
      <c r="A5475" s="151">
        <v>46034</v>
      </c>
      <c r="B5475" s="149">
        <f t="shared" ca="1" si="537"/>
        <v>46034.865577893521</v>
      </c>
      <c r="C5475" s="150" t="s">
        <v>789</v>
      </c>
      <c r="D5475" s="210" t="s">
        <v>906</v>
      </c>
    </row>
    <row r="5476" spans="1:6">
      <c r="A5476" s="152">
        <v>46034</v>
      </c>
      <c r="B5476" s="115">
        <f t="shared" ca="1" si="537"/>
        <v>46034.90176990741</v>
      </c>
      <c r="C5476" s="76" t="s">
        <v>789</v>
      </c>
      <c r="D5476" s="210" t="s">
        <v>909</v>
      </c>
      <c r="E5476" s="79"/>
      <c r="F5476" s="79"/>
    </row>
    <row r="5477" spans="1:6">
      <c r="A5477" s="152">
        <v>46034</v>
      </c>
      <c r="B5477" s="115">
        <f t="shared" ca="1" si="537"/>
        <v>46034.904887615739</v>
      </c>
      <c r="C5477" s="76" t="s">
        <v>789</v>
      </c>
      <c r="D5477" s="79" t="s">
        <v>902</v>
      </c>
      <c r="E5477" s="79" t="s">
        <v>3120</v>
      </c>
      <c r="F5477" s="79"/>
    </row>
    <row r="5478" spans="1:6">
      <c r="A5478" s="152">
        <v>46034</v>
      </c>
      <c r="B5478" s="115">
        <f t="shared" ca="1" si="537"/>
        <v>46034.905502546295</v>
      </c>
      <c r="C5478" s="76" t="s">
        <v>789</v>
      </c>
      <c r="D5478" s="79" t="s">
        <v>902</v>
      </c>
      <c r="E5478" s="79" t="s">
        <v>1324</v>
      </c>
      <c r="F5478" s="79"/>
    </row>
    <row r="5479" spans="1:6">
      <c r="A5479" s="152">
        <v>46034</v>
      </c>
      <c r="B5479" s="115">
        <f t="shared" ca="1" si="537"/>
        <v>46034.906734837961</v>
      </c>
      <c r="C5479" s="76" t="s">
        <v>789</v>
      </c>
      <c r="D5479" s="79" t="s">
        <v>902</v>
      </c>
      <c r="E5479" s="79" t="s">
        <v>2861</v>
      </c>
      <c r="F5479" s="79"/>
    </row>
    <row r="5480" spans="1:6">
      <c r="A5480" s="77">
        <f t="shared" ref="A5480:A5488" ca="1" si="538">IF(C5480&lt;&gt;0,IF(A5480=0,TODAY(),A5480),)</f>
        <v>46034</v>
      </c>
      <c r="B5480" s="80">
        <f t="shared" ref="B5480:B5521" ca="1" si="539">IF(C5480&lt;&gt;0,IF(B5480=0,NOW(),B5480),)</f>
        <v>46034.908359490742</v>
      </c>
      <c r="C5480" s="76" t="s">
        <v>789</v>
      </c>
      <c r="D5480" s="76" t="s">
        <v>902</v>
      </c>
      <c r="E5480" s="79" t="s">
        <v>3121</v>
      </c>
      <c r="F5480" s="79"/>
    </row>
    <row r="5481" spans="1:6">
      <c r="A5481" s="77">
        <f t="shared" ca="1" si="538"/>
        <v>46034</v>
      </c>
      <c r="B5481" s="80">
        <f t="shared" ca="1" si="539"/>
        <v>46034.908536226852</v>
      </c>
      <c r="C5481" s="76" t="s">
        <v>789</v>
      </c>
      <c r="D5481" s="76" t="s">
        <v>902</v>
      </c>
      <c r="E5481" s="79" t="s">
        <v>1225</v>
      </c>
      <c r="F5481" s="79"/>
    </row>
    <row r="5482" spans="1:6">
      <c r="A5482" s="77">
        <f t="shared" ca="1" si="538"/>
        <v>46034</v>
      </c>
      <c r="B5482" s="80">
        <f t="shared" ca="1" si="539"/>
        <v>46034.910683101851</v>
      </c>
      <c r="C5482" s="76" t="s">
        <v>789</v>
      </c>
      <c r="D5482" s="76" t="s">
        <v>902</v>
      </c>
      <c r="E5482" s="79" t="s">
        <v>932</v>
      </c>
      <c r="F5482" s="79"/>
    </row>
    <row r="5483" spans="1:6">
      <c r="A5483" s="77">
        <f t="shared" ca="1" si="538"/>
        <v>46034</v>
      </c>
      <c r="B5483" s="80">
        <f t="shared" ca="1" si="539"/>
        <v>46034.913809027777</v>
      </c>
      <c r="C5483" s="76" t="s">
        <v>789</v>
      </c>
      <c r="D5483" s="76" t="s">
        <v>902</v>
      </c>
      <c r="E5483" s="79" t="s">
        <v>3122</v>
      </c>
      <c r="F5483" s="79"/>
    </row>
    <row r="5484" spans="1:6">
      <c r="A5484" s="77">
        <f t="shared" ca="1" si="538"/>
        <v>46034</v>
      </c>
      <c r="B5484" s="80">
        <f t="shared" ca="1" si="539"/>
        <v>46034.914117592591</v>
      </c>
      <c r="C5484" s="76" t="s">
        <v>789</v>
      </c>
      <c r="D5484" s="76" t="s">
        <v>902</v>
      </c>
      <c r="E5484" s="79" t="s">
        <v>3122</v>
      </c>
      <c r="F5484" s="79"/>
    </row>
    <row r="5485" spans="1:6">
      <c r="A5485" s="77">
        <f t="shared" ca="1" si="538"/>
        <v>46034</v>
      </c>
      <c r="B5485" s="80">
        <f t="shared" ca="1" si="539"/>
        <v>46034.914603935184</v>
      </c>
      <c r="C5485" s="76" t="s">
        <v>789</v>
      </c>
      <c r="D5485" s="76" t="s">
        <v>902</v>
      </c>
      <c r="E5485" s="79" t="s">
        <v>932</v>
      </c>
      <c r="F5485" s="79"/>
    </row>
    <row r="5486" spans="1:6">
      <c r="A5486" s="77">
        <f t="shared" ca="1" si="538"/>
        <v>46034</v>
      </c>
      <c r="B5486" s="80">
        <f t="shared" ca="1" si="539"/>
        <v>46034.914731597222</v>
      </c>
      <c r="C5486" s="76" t="s">
        <v>789</v>
      </c>
      <c r="D5486" s="76" t="s">
        <v>902</v>
      </c>
      <c r="E5486" s="79" t="s">
        <v>3123</v>
      </c>
      <c r="F5486" s="79"/>
    </row>
    <row r="5487" spans="1:6">
      <c r="A5487" s="77">
        <f t="shared" ca="1" si="538"/>
        <v>46034</v>
      </c>
      <c r="B5487" s="80">
        <f t="shared" ca="1" si="539"/>
        <v>46034.914946643519</v>
      </c>
      <c r="C5487" s="76" t="s">
        <v>789</v>
      </c>
      <c r="D5487" s="76" t="s">
        <v>902</v>
      </c>
      <c r="E5487" s="79" t="s">
        <v>1195</v>
      </c>
      <c r="F5487" s="79"/>
    </row>
    <row r="5488" spans="1:6">
      <c r="A5488" s="77">
        <f t="shared" ca="1" si="538"/>
        <v>46034</v>
      </c>
      <c r="B5488" s="80">
        <f t="shared" ca="1" si="539"/>
        <v>46034.917296527776</v>
      </c>
      <c r="C5488" s="76" t="s">
        <v>789</v>
      </c>
      <c r="D5488" s="76" t="s">
        <v>902</v>
      </c>
      <c r="E5488" s="79" t="s">
        <v>2632</v>
      </c>
      <c r="F5488" s="79"/>
    </row>
    <row r="5489" spans="1:6">
      <c r="A5489" s="152">
        <v>46034</v>
      </c>
      <c r="B5489" s="115">
        <f t="shared" ca="1" si="539"/>
        <v>46034.918394791668</v>
      </c>
      <c r="C5489" s="76" t="s">
        <v>789</v>
      </c>
      <c r="D5489" s="76" t="s">
        <v>902</v>
      </c>
      <c r="E5489" s="79" t="s">
        <v>3124</v>
      </c>
      <c r="F5489" s="79"/>
    </row>
    <row r="5490" spans="1:6">
      <c r="A5490" s="152">
        <v>46034</v>
      </c>
      <c r="B5490" s="115">
        <f t="shared" ca="1" si="539"/>
        <v>46034.922496296298</v>
      </c>
      <c r="C5490" s="76" t="s">
        <v>789</v>
      </c>
      <c r="D5490" s="76" t="s">
        <v>902</v>
      </c>
      <c r="E5490" s="79" t="s">
        <v>1734</v>
      </c>
      <c r="F5490" s="79"/>
    </row>
    <row r="5491" spans="1:6">
      <c r="A5491" s="152">
        <v>46034</v>
      </c>
      <c r="B5491" s="115">
        <f t="shared" ca="1" si="539"/>
        <v>46034.922912615744</v>
      </c>
      <c r="C5491" s="76" t="s">
        <v>789</v>
      </c>
      <c r="D5491" s="76" t="s">
        <v>902</v>
      </c>
      <c r="E5491" s="79" t="s">
        <v>1195</v>
      </c>
      <c r="F5491" s="79"/>
    </row>
    <row r="5492" spans="1:6">
      <c r="A5492" s="152">
        <v>46034</v>
      </c>
      <c r="B5492" s="115">
        <f t="shared" ca="1" si="539"/>
        <v>46034.924274305558</v>
      </c>
      <c r="C5492" s="76" t="s">
        <v>789</v>
      </c>
      <c r="D5492" s="76" t="s">
        <v>902</v>
      </c>
      <c r="E5492" s="79" t="s">
        <v>955</v>
      </c>
      <c r="F5492" s="79"/>
    </row>
    <row r="5493" spans="1:6">
      <c r="A5493" s="152">
        <v>46034</v>
      </c>
      <c r="B5493" s="115">
        <f t="shared" ca="1" si="539"/>
        <v>46034.925504976854</v>
      </c>
      <c r="C5493" s="76" t="s">
        <v>789</v>
      </c>
      <c r="D5493" s="76" t="s">
        <v>902</v>
      </c>
      <c r="E5493" s="79" t="s">
        <v>3125</v>
      </c>
      <c r="F5493" s="79"/>
    </row>
    <row r="5494" spans="1:6">
      <c r="A5494" s="152">
        <v>46034</v>
      </c>
      <c r="B5494" s="115">
        <f t="shared" ca="1" si="539"/>
        <v>46034.925652546299</v>
      </c>
      <c r="C5494" s="76" t="s">
        <v>789</v>
      </c>
      <c r="D5494" s="76" t="s">
        <v>902</v>
      </c>
      <c r="E5494" s="79" t="s">
        <v>955</v>
      </c>
      <c r="F5494" s="79"/>
    </row>
    <row r="5495" spans="1:6">
      <c r="A5495" s="152">
        <v>46034</v>
      </c>
      <c r="B5495" s="115">
        <f t="shared" ca="1" si="539"/>
        <v>46034.927210532405</v>
      </c>
      <c r="C5495" s="76" t="s">
        <v>789</v>
      </c>
      <c r="D5495" s="76" t="s">
        <v>902</v>
      </c>
      <c r="E5495" s="79" t="s">
        <v>1195</v>
      </c>
      <c r="F5495" s="79"/>
    </row>
    <row r="5496" spans="1:6">
      <c r="A5496" s="152">
        <v>46034</v>
      </c>
      <c r="B5496" s="115">
        <f t="shared" ca="1" si="539"/>
        <v>46034.927459606479</v>
      </c>
      <c r="C5496" s="76" t="s">
        <v>789</v>
      </c>
      <c r="D5496" s="76" t="s">
        <v>902</v>
      </c>
      <c r="E5496" s="79" t="s">
        <v>3126</v>
      </c>
      <c r="F5496" s="79"/>
    </row>
    <row r="5497" spans="1:6">
      <c r="A5497" s="77">
        <f t="shared" ref="A5497:A5504" ca="1" si="540">IF(C5497&lt;&gt;0,IF(A5497=0,TODAY(),A5497),)</f>
        <v>46034</v>
      </c>
      <c r="B5497" s="80">
        <f t="shared" ca="1" si="539"/>
        <v>46034.927518171295</v>
      </c>
      <c r="C5497" s="76" t="s">
        <v>789</v>
      </c>
      <c r="D5497" s="76" t="s">
        <v>902</v>
      </c>
      <c r="E5497" s="79" t="s">
        <v>3122</v>
      </c>
      <c r="F5497" s="79"/>
    </row>
    <row r="5498" spans="1:6">
      <c r="A5498" s="77">
        <f t="shared" ca="1" si="540"/>
        <v>46034</v>
      </c>
      <c r="B5498" s="80">
        <f t="shared" ca="1" si="539"/>
        <v>46034.927991203702</v>
      </c>
      <c r="C5498" s="76" t="s">
        <v>789</v>
      </c>
      <c r="D5498" s="76" t="s">
        <v>902</v>
      </c>
      <c r="E5498" s="79" t="s">
        <v>3127</v>
      </c>
      <c r="F5498" s="79"/>
    </row>
    <row r="5499" spans="1:6">
      <c r="A5499" s="77">
        <f t="shared" ca="1" si="540"/>
        <v>46034</v>
      </c>
      <c r="B5499" s="80">
        <f t="shared" ca="1" si="539"/>
        <v>46034.928402893522</v>
      </c>
      <c r="C5499" s="76" t="s">
        <v>789</v>
      </c>
      <c r="D5499" s="76" t="s">
        <v>902</v>
      </c>
      <c r="E5499" s="79" t="s">
        <v>955</v>
      </c>
      <c r="F5499" s="79"/>
    </row>
    <row r="5500" spans="1:6">
      <c r="A5500" s="77">
        <f t="shared" ca="1" si="540"/>
        <v>46034</v>
      </c>
      <c r="B5500" s="80">
        <f t="shared" ca="1" si="539"/>
        <v>46034.931921527779</v>
      </c>
      <c r="C5500" s="76" t="s">
        <v>789</v>
      </c>
      <c r="D5500" s="76" t="s">
        <v>902</v>
      </c>
      <c r="E5500" s="79" t="s">
        <v>1225</v>
      </c>
      <c r="F5500" s="79"/>
    </row>
    <row r="5501" spans="1:6">
      <c r="A5501" s="77">
        <f t="shared" ca="1" si="540"/>
        <v>46034</v>
      </c>
      <c r="B5501" s="80">
        <f t="shared" ca="1" si="539"/>
        <v>46034.934365277775</v>
      </c>
      <c r="C5501" s="76" t="s">
        <v>789</v>
      </c>
      <c r="D5501" s="76" t="s">
        <v>902</v>
      </c>
      <c r="E5501" s="79" t="s">
        <v>1195</v>
      </c>
      <c r="F5501" s="79"/>
    </row>
    <row r="5502" spans="1:6">
      <c r="A5502" s="77">
        <f t="shared" ca="1" si="540"/>
        <v>46034</v>
      </c>
      <c r="B5502" s="80">
        <f t="shared" ca="1" si="539"/>
        <v>46034.935049421299</v>
      </c>
      <c r="C5502" s="76" t="s">
        <v>789</v>
      </c>
      <c r="D5502" s="76" t="s">
        <v>902</v>
      </c>
      <c r="E5502" s="79" t="s">
        <v>3128</v>
      </c>
      <c r="F5502" s="79" t="s">
        <v>3128</v>
      </c>
    </row>
    <row r="5503" spans="1:6">
      <c r="A5503" s="77">
        <f t="shared" ca="1" si="540"/>
        <v>46034</v>
      </c>
      <c r="B5503" s="80">
        <f t="shared" ca="1" si="539"/>
        <v>46034.935528935188</v>
      </c>
      <c r="C5503" s="76" t="s">
        <v>789</v>
      </c>
      <c r="D5503" s="76" t="s">
        <v>902</v>
      </c>
      <c r="E5503" s="79" t="s">
        <v>3128</v>
      </c>
      <c r="F5503" s="79" t="s">
        <v>3128</v>
      </c>
    </row>
    <row r="5504" spans="1:6">
      <c r="A5504" s="77">
        <f t="shared" ca="1" si="540"/>
        <v>46034</v>
      </c>
      <c r="B5504" s="80">
        <f t="shared" ca="1" si="539"/>
        <v>46034.936184606478</v>
      </c>
      <c r="C5504" s="76" t="s">
        <v>789</v>
      </c>
      <c r="D5504" s="76" t="s">
        <v>902</v>
      </c>
      <c r="E5504" s="88" t="s">
        <v>2349</v>
      </c>
      <c r="F5504" s="79"/>
    </row>
    <row r="5505" spans="1:6">
      <c r="A5505" s="152">
        <v>46034</v>
      </c>
      <c r="B5505" s="115">
        <f t="shared" ca="1" si="539"/>
        <v>46034.936789699073</v>
      </c>
      <c r="C5505" s="76" t="s">
        <v>789</v>
      </c>
      <c r="D5505" s="79" t="s">
        <v>902</v>
      </c>
      <c r="E5505" s="79" t="s">
        <v>3128</v>
      </c>
      <c r="F5505" s="79" t="s">
        <v>3128</v>
      </c>
    </row>
    <row r="5506" spans="1:6">
      <c r="A5506" s="152">
        <v>46034</v>
      </c>
      <c r="B5506" s="115">
        <f t="shared" ca="1" si="539"/>
        <v>46034.937468981479</v>
      </c>
      <c r="C5506" s="76" t="s">
        <v>789</v>
      </c>
      <c r="D5506" s="79" t="s">
        <v>902</v>
      </c>
      <c r="E5506" s="79" t="s">
        <v>1324</v>
      </c>
      <c r="F5506" s="79"/>
    </row>
    <row r="5507" spans="1:6">
      <c r="A5507" s="152">
        <v>46034</v>
      </c>
      <c r="B5507" s="115">
        <f t="shared" ca="1" si="539"/>
        <v>46034.938821875003</v>
      </c>
      <c r="C5507" s="76" t="s">
        <v>789</v>
      </c>
      <c r="D5507" s="79" t="s">
        <v>902</v>
      </c>
      <c r="E5507" s="79" t="s">
        <v>3129</v>
      </c>
      <c r="F5507" s="79"/>
    </row>
    <row r="5508" spans="1:6">
      <c r="A5508" s="152">
        <v>46034</v>
      </c>
      <c r="B5508" s="115">
        <f t="shared" ca="1" si="539"/>
        <v>46034.940548726852</v>
      </c>
      <c r="C5508" s="76" t="s">
        <v>789</v>
      </c>
      <c r="D5508" s="79" t="s">
        <v>902</v>
      </c>
      <c r="E5508" s="79" t="s">
        <v>1242</v>
      </c>
      <c r="F5508" s="79"/>
    </row>
    <row r="5509" spans="1:6">
      <c r="A5509" s="152">
        <v>46034</v>
      </c>
      <c r="B5509" s="115">
        <f t="shared" ca="1" si="539"/>
        <v>46034.940743055558</v>
      </c>
      <c r="C5509" s="76" t="s">
        <v>789</v>
      </c>
      <c r="D5509" s="79" t="s">
        <v>902</v>
      </c>
      <c r="E5509" s="79" t="s">
        <v>3130</v>
      </c>
      <c r="F5509" s="79"/>
    </row>
    <row r="5510" spans="1:6">
      <c r="A5510" s="152">
        <v>46034</v>
      </c>
      <c r="B5510" s="115">
        <f t="shared" ca="1" si="539"/>
        <v>46034.943090856483</v>
      </c>
      <c r="C5510" s="76" t="s">
        <v>789</v>
      </c>
      <c r="D5510" s="79" t="s">
        <v>902</v>
      </c>
      <c r="E5510" s="79" t="s">
        <v>955</v>
      </c>
      <c r="F5510" s="79"/>
    </row>
    <row r="5511" spans="1:6">
      <c r="A5511" s="152">
        <v>46034</v>
      </c>
      <c r="B5511" s="115">
        <f t="shared" ca="1" si="539"/>
        <v>46034.943548958334</v>
      </c>
      <c r="C5511" s="76" t="s">
        <v>789</v>
      </c>
      <c r="D5511" s="79" t="s">
        <v>902</v>
      </c>
      <c r="E5511" s="79" t="s">
        <v>943</v>
      </c>
      <c r="F5511" s="79"/>
    </row>
    <row r="5512" spans="1:6">
      <c r="A5512" s="152">
        <v>46034</v>
      </c>
      <c r="B5512" s="115">
        <f t="shared" ca="1" si="539"/>
        <v>46034.946482523148</v>
      </c>
      <c r="C5512" s="76" t="s">
        <v>789</v>
      </c>
      <c r="D5512" s="79" t="s">
        <v>902</v>
      </c>
      <c r="E5512" s="79" t="s">
        <v>955</v>
      </c>
      <c r="F5512" s="79"/>
    </row>
    <row r="5513" spans="1:6">
      <c r="A5513" s="77">
        <f t="shared" ref="A5513:A5521" ca="1" si="541">IF(C5513&lt;&gt;0,IF(A5513=0,TODAY(),A5513),)</f>
        <v>46034</v>
      </c>
      <c r="B5513" s="80">
        <f t="shared" ca="1" si="539"/>
        <v>46034.960532754631</v>
      </c>
      <c r="C5513" s="76" t="s">
        <v>789</v>
      </c>
      <c r="D5513" s="79" t="s">
        <v>902</v>
      </c>
      <c r="E5513" s="79" t="s">
        <v>1825</v>
      </c>
      <c r="F5513" s="79"/>
    </row>
    <row r="5514" spans="1:6">
      <c r="A5514" s="77">
        <f t="shared" ca="1" si="541"/>
        <v>46034</v>
      </c>
      <c r="B5514" s="80">
        <f t="shared" ca="1" si="539"/>
        <v>46034.961225347222</v>
      </c>
      <c r="C5514" s="76" t="s">
        <v>789</v>
      </c>
      <c r="D5514" s="79" t="s">
        <v>902</v>
      </c>
      <c r="E5514" s="79" t="s">
        <v>3121</v>
      </c>
      <c r="F5514" s="79"/>
    </row>
    <row r="5515" spans="1:6">
      <c r="A5515" s="77">
        <f t="shared" ca="1" si="541"/>
        <v>46034</v>
      </c>
      <c r="B5515" s="80">
        <f t="shared" ca="1" si="539"/>
        <v>46034.962108217595</v>
      </c>
      <c r="C5515" s="76" t="s">
        <v>789</v>
      </c>
      <c r="D5515" s="79" t="s">
        <v>902</v>
      </c>
      <c r="E5515" s="79" t="s">
        <v>1734</v>
      </c>
      <c r="F5515" s="79"/>
    </row>
    <row r="5516" spans="1:6">
      <c r="A5516" s="77">
        <f t="shared" ca="1" si="541"/>
        <v>46034</v>
      </c>
      <c r="B5516" s="80">
        <f t="shared" ca="1" si="539"/>
        <v>46034.965345138888</v>
      </c>
      <c r="C5516" s="76" t="s">
        <v>789</v>
      </c>
      <c r="D5516" s="79" t="s">
        <v>902</v>
      </c>
      <c r="E5516" s="79" t="s">
        <v>1195</v>
      </c>
      <c r="F5516" s="79"/>
    </row>
    <row r="5517" spans="1:6">
      <c r="A5517" s="77">
        <f t="shared" ca="1" si="541"/>
        <v>46034</v>
      </c>
      <c r="B5517" s="80">
        <f t="shared" ca="1" si="539"/>
        <v>46034.966466435188</v>
      </c>
      <c r="C5517" s="76" t="s">
        <v>789</v>
      </c>
      <c r="D5517" s="79" t="s">
        <v>902</v>
      </c>
      <c r="E5517" s="79" t="s">
        <v>1734</v>
      </c>
      <c r="F5517" s="79"/>
    </row>
    <row r="5518" spans="1:6">
      <c r="A5518" s="77">
        <f t="shared" ca="1" si="541"/>
        <v>46034</v>
      </c>
      <c r="B5518" s="80">
        <f t="shared" ca="1" si="539"/>
        <v>46034.966661574072</v>
      </c>
      <c r="C5518" s="76" t="s">
        <v>789</v>
      </c>
      <c r="D5518" s="79" t="s">
        <v>902</v>
      </c>
      <c r="E5518" s="79" t="s">
        <v>1734</v>
      </c>
      <c r="F5518" s="79"/>
    </row>
    <row r="5519" spans="1:6">
      <c r="A5519" s="77">
        <f t="shared" ca="1" si="541"/>
        <v>46034</v>
      </c>
      <c r="B5519" s="80">
        <f t="shared" ca="1" si="539"/>
        <v>46034.966673842595</v>
      </c>
      <c r="C5519" s="76" t="s">
        <v>789</v>
      </c>
      <c r="D5519" s="79" t="s">
        <v>902</v>
      </c>
      <c r="E5519" s="79" t="s">
        <v>1734</v>
      </c>
      <c r="F5519" s="79"/>
    </row>
    <row r="5520" spans="1:6">
      <c r="A5520" s="77">
        <f t="shared" ca="1" si="541"/>
        <v>46034</v>
      </c>
      <c r="B5520" s="80">
        <f t="shared" ca="1" si="539"/>
        <v>46034.967139004628</v>
      </c>
      <c r="C5520" s="76" t="s">
        <v>789</v>
      </c>
      <c r="D5520" s="79" t="s">
        <v>902</v>
      </c>
      <c r="E5520" s="79" t="s">
        <v>1697</v>
      </c>
      <c r="F5520" s="79"/>
    </row>
    <row r="5521" spans="1:6">
      <c r="A5521" s="77">
        <f t="shared" ca="1" si="541"/>
        <v>46034</v>
      </c>
      <c r="B5521" s="80">
        <f t="shared" ca="1" si="539"/>
        <v>46034.969160763889</v>
      </c>
      <c r="C5521" s="76" t="s">
        <v>789</v>
      </c>
      <c r="D5521" s="79" t="s">
        <v>902</v>
      </c>
      <c r="E5521" s="79" t="s">
        <v>3131</v>
      </c>
      <c r="F5521" s="79"/>
    </row>
    <row r="5522" spans="1:6">
      <c r="A5522" s="77">
        <f t="shared" ref="A5522:A5538" ca="1" si="542">IF(C5522&lt;&gt;0,IF(A5522=0,TODAY(),A5522),)</f>
        <v>46034</v>
      </c>
      <c r="B5522" s="80">
        <f t="shared" ref="B5522:B5538" ca="1" si="543">IF(C5522&lt;&gt;0,IF(B5522=0,NOW(),B5522),)</f>
        <v>46034.969757754632</v>
      </c>
      <c r="C5522" s="76" t="s">
        <v>789</v>
      </c>
      <c r="D5522" s="79" t="s">
        <v>902</v>
      </c>
      <c r="E5522" s="79" t="s">
        <v>1225</v>
      </c>
      <c r="F5522" s="79"/>
    </row>
    <row r="5523" spans="1:6">
      <c r="A5523" s="77">
        <f t="shared" ca="1" si="542"/>
        <v>46034</v>
      </c>
      <c r="B5523" s="80">
        <f t="shared" ca="1" si="543"/>
        <v>46034.972437847224</v>
      </c>
      <c r="C5523" s="76" t="s">
        <v>789</v>
      </c>
      <c r="D5523" s="79" t="s">
        <v>902</v>
      </c>
      <c r="E5523" s="79" t="s">
        <v>1734</v>
      </c>
      <c r="F5523" s="79"/>
    </row>
    <row r="5524" spans="1:6">
      <c r="A5524" s="77">
        <f t="shared" ca="1" si="542"/>
        <v>46034</v>
      </c>
      <c r="B5524" s="80">
        <f t="shared" ca="1" si="543"/>
        <v>46034.97543622685</v>
      </c>
      <c r="C5524" s="76" t="s">
        <v>789</v>
      </c>
      <c r="D5524" s="79" t="s">
        <v>902</v>
      </c>
      <c r="E5524" s="79" t="s">
        <v>1342</v>
      </c>
      <c r="F5524" s="79"/>
    </row>
    <row r="5525" spans="1:6">
      <c r="A5525" s="77">
        <f t="shared" ca="1" si="542"/>
        <v>46034</v>
      </c>
      <c r="B5525" s="80">
        <f t="shared" ca="1" si="543"/>
        <v>46034.977761689814</v>
      </c>
      <c r="C5525" s="76" t="s">
        <v>789</v>
      </c>
      <c r="D5525" s="79" t="s">
        <v>902</v>
      </c>
      <c r="E5525" s="79" t="s">
        <v>3132</v>
      </c>
      <c r="F5525" s="79"/>
    </row>
    <row r="5526" spans="1:6">
      <c r="A5526" s="77">
        <f t="shared" ca="1" si="542"/>
        <v>46034</v>
      </c>
      <c r="B5526" s="80">
        <f t="shared" ca="1" si="543"/>
        <v>46034.979572685188</v>
      </c>
      <c r="C5526" s="76" t="s">
        <v>789</v>
      </c>
      <c r="D5526" s="79" t="s">
        <v>902</v>
      </c>
      <c r="E5526" s="79" t="s">
        <v>2671</v>
      </c>
      <c r="F5526" s="79"/>
    </row>
    <row r="5527" spans="1:6">
      <c r="A5527" s="77">
        <f t="shared" ca="1" si="542"/>
        <v>46034</v>
      </c>
      <c r="B5527" s="80">
        <f t="shared" ca="1" si="543"/>
        <v>46034.982305787038</v>
      </c>
      <c r="C5527" s="76" t="s">
        <v>789</v>
      </c>
      <c r="D5527" s="79" t="s">
        <v>902</v>
      </c>
      <c r="E5527" s="165" t="s">
        <v>3133</v>
      </c>
      <c r="F5527" s="79"/>
    </row>
    <row r="5528" spans="1:6">
      <c r="A5528" s="77">
        <f t="shared" ca="1" si="542"/>
        <v>46034</v>
      </c>
      <c r="B5528" s="80">
        <f t="shared" ca="1" si="543"/>
        <v>46034.987674305557</v>
      </c>
      <c r="C5528" s="76" t="s">
        <v>789</v>
      </c>
      <c r="D5528" s="79" t="s">
        <v>902</v>
      </c>
      <c r="E5528" s="88" t="s">
        <v>3134</v>
      </c>
      <c r="F5528" s="79"/>
    </row>
    <row r="5529" spans="1:6">
      <c r="A5529" s="77">
        <f t="shared" ca="1" si="542"/>
        <v>46034</v>
      </c>
      <c r="B5529" s="80">
        <f t="shared" ca="1" si="543"/>
        <v>46034.993781249999</v>
      </c>
      <c r="C5529" s="76" t="s">
        <v>789</v>
      </c>
      <c r="D5529" s="79" t="s">
        <v>902</v>
      </c>
      <c r="E5529" s="79" t="s">
        <v>1734</v>
      </c>
      <c r="F5529" s="79"/>
    </row>
    <row r="5530" spans="1:6">
      <c r="A5530" s="77">
        <f t="shared" ca="1" si="542"/>
        <v>46034</v>
      </c>
      <c r="B5530" s="80">
        <f t="shared" ca="1" si="543"/>
        <v>46034.994070601853</v>
      </c>
      <c r="C5530" s="76" t="s">
        <v>789</v>
      </c>
      <c r="D5530" s="79" t="s">
        <v>902</v>
      </c>
      <c r="E5530" s="79" t="s">
        <v>1734</v>
      </c>
      <c r="F5530" s="79"/>
    </row>
    <row r="5531" spans="1:6">
      <c r="A5531" s="77">
        <f t="shared" ca="1" si="542"/>
        <v>46034</v>
      </c>
      <c r="B5531" s="80">
        <f t="shared" ca="1" si="543"/>
        <v>46034.99672314815</v>
      </c>
      <c r="C5531" s="76" t="s">
        <v>789</v>
      </c>
      <c r="D5531" s="79" t="s">
        <v>902</v>
      </c>
      <c r="E5531" s="79" t="s">
        <v>2932</v>
      </c>
      <c r="F5531" s="79"/>
    </row>
    <row r="5532" spans="1:6">
      <c r="A5532" s="77">
        <f t="shared" ca="1" si="542"/>
        <v>46035</v>
      </c>
      <c r="B5532" s="80">
        <f t="shared" ca="1" si="543"/>
        <v>46035.001644560187</v>
      </c>
      <c r="C5532" s="76" t="s">
        <v>789</v>
      </c>
      <c r="D5532" s="79" t="s">
        <v>902</v>
      </c>
      <c r="E5532" s="79" t="s">
        <v>2932</v>
      </c>
      <c r="F5532" s="79"/>
    </row>
    <row r="5533" spans="1:6">
      <c r="A5533" s="77">
        <f t="shared" ca="1" si="542"/>
        <v>46035</v>
      </c>
      <c r="B5533" s="80">
        <f t="shared" ca="1" si="543"/>
        <v>46035.002123379629</v>
      </c>
      <c r="C5533" s="76" t="s">
        <v>789</v>
      </c>
      <c r="D5533" s="79" t="s">
        <v>902</v>
      </c>
      <c r="E5533" s="79" t="s">
        <v>1148</v>
      </c>
      <c r="F5533" s="79"/>
    </row>
    <row r="5534" spans="1:6">
      <c r="A5534" s="77">
        <f t="shared" ca="1" si="542"/>
        <v>46035</v>
      </c>
      <c r="B5534" s="80">
        <f t="shared" ca="1" si="543"/>
        <v>46035.004395717595</v>
      </c>
      <c r="C5534" s="76" t="s">
        <v>789</v>
      </c>
      <c r="D5534" s="79" t="s">
        <v>902</v>
      </c>
      <c r="E5534" s="79" t="s">
        <v>1825</v>
      </c>
      <c r="F5534" s="79"/>
    </row>
    <row r="5535" spans="1:6">
      <c r="A5535" s="77">
        <f t="shared" ca="1" si="542"/>
        <v>46035</v>
      </c>
      <c r="B5535" s="80">
        <f t="shared" ca="1" si="543"/>
        <v>46035.00574270833</v>
      </c>
      <c r="C5535" s="76" t="s">
        <v>789</v>
      </c>
      <c r="D5535" s="79" t="s">
        <v>902</v>
      </c>
      <c r="E5535" s="79" t="s">
        <v>3135</v>
      </c>
      <c r="F5535" s="79"/>
    </row>
    <row r="5536" spans="1:6">
      <c r="A5536" s="77">
        <f t="shared" ca="1" si="542"/>
        <v>46035</v>
      </c>
      <c r="B5536" s="80">
        <f t="shared" ca="1" si="543"/>
        <v>46035.006952546297</v>
      </c>
      <c r="C5536" s="76" t="s">
        <v>789</v>
      </c>
      <c r="D5536" s="79" t="s">
        <v>902</v>
      </c>
      <c r="E5536" s="88" t="s">
        <v>3136</v>
      </c>
      <c r="F5536" s="79"/>
    </row>
    <row r="5537" spans="1:6">
      <c r="A5537" s="77">
        <f t="shared" ca="1" si="542"/>
        <v>46035</v>
      </c>
      <c r="B5537" s="80">
        <f t="shared" ca="1" si="543"/>
        <v>46035.007880324076</v>
      </c>
      <c r="C5537" s="76" t="s">
        <v>789</v>
      </c>
      <c r="D5537" s="79" t="s">
        <v>902</v>
      </c>
      <c r="E5537" s="79" t="s">
        <v>1734</v>
      </c>
      <c r="F5537" s="79"/>
    </row>
    <row r="5538" spans="1:6">
      <c r="A5538" s="77">
        <f t="shared" ca="1" si="542"/>
        <v>46035</v>
      </c>
      <c r="B5538" s="80">
        <f t="shared" ca="1" si="543"/>
        <v>46035.008467824075</v>
      </c>
      <c r="C5538" s="76" t="s">
        <v>789</v>
      </c>
      <c r="D5538" s="79" t="s">
        <v>902</v>
      </c>
      <c r="E5538" s="79" t="s">
        <v>2961</v>
      </c>
      <c r="F5538" s="79"/>
    </row>
    <row r="5539" spans="1:6">
      <c r="A5539" s="77">
        <f t="shared" ref="A5539:A5553" ca="1" si="544">IF(C5539&lt;&gt;0,IF(A5539=0,TODAY(),A5539),)</f>
        <v>46035</v>
      </c>
      <c r="B5539" s="80">
        <f t="shared" ref="B5539:B5553" ca="1" si="545">IF(C5539&lt;&gt;0,IF(B5539=0,NOW(),B5539),)</f>
        <v>46035.00987141204</v>
      </c>
      <c r="C5539" s="76" t="s">
        <v>789</v>
      </c>
      <c r="D5539" s="79" t="s">
        <v>902</v>
      </c>
      <c r="E5539" s="79" t="s">
        <v>3137</v>
      </c>
      <c r="F5539" s="79"/>
    </row>
    <row r="5540" spans="1:6">
      <c r="A5540" s="77">
        <f t="shared" ca="1" si="544"/>
        <v>46035</v>
      </c>
      <c r="B5540" s="80">
        <f t="shared" ca="1" si="545"/>
        <v>46035.01225925926</v>
      </c>
      <c r="C5540" s="76" t="s">
        <v>789</v>
      </c>
      <c r="D5540" s="79" t="s">
        <v>902</v>
      </c>
      <c r="E5540" s="79" t="s">
        <v>2961</v>
      </c>
      <c r="F5540" s="79"/>
    </row>
    <row r="5541" spans="1:6">
      <c r="A5541" s="77">
        <f t="shared" ca="1" si="544"/>
        <v>46035</v>
      </c>
      <c r="B5541" s="80">
        <f t="shared" ca="1" si="545"/>
        <v>46035.012363078706</v>
      </c>
      <c r="C5541" s="76" t="s">
        <v>789</v>
      </c>
      <c r="D5541" s="79" t="s">
        <v>902</v>
      </c>
      <c r="E5541" s="79" t="s">
        <v>955</v>
      </c>
      <c r="F5541" s="79"/>
    </row>
    <row r="5542" spans="1:6">
      <c r="A5542" s="77">
        <f t="shared" ca="1" si="544"/>
        <v>46035</v>
      </c>
      <c r="B5542" s="80">
        <f t="shared" ca="1" si="545"/>
        <v>46035.014331944447</v>
      </c>
      <c r="C5542" s="76" t="s">
        <v>789</v>
      </c>
      <c r="D5542" s="79" t="s">
        <v>902</v>
      </c>
      <c r="E5542" s="79" t="s">
        <v>3062</v>
      </c>
      <c r="F5542" s="79"/>
    </row>
    <row r="5543" spans="1:6">
      <c r="A5543" s="77">
        <f t="shared" ca="1" si="544"/>
        <v>46035</v>
      </c>
      <c r="B5543" s="80">
        <f t="shared" ca="1" si="545"/>
        <v>46035.01450798611</v>
      </c>
      <c r="C5543" s="76" t="s">
        <v>789</v>
      </c>
      <c r="D5543" s="79" t="s">
        <v>902</v>
      </c>
      <c r="E5543" s="79" t="s">
        <v>3062</v>
      </c>
      <c r="F5543" s="79"/>
    </row>
    <row r="5544" spans="1:6">
      <c r="A5544" s="77">
        <f t="shared" ca="1" si="544"/>
        <v>46035</v>
      </c>
      <c r="B5544" s="80">
        <f t="shared" ca="1" si="545"/>
        <v>46035.014665625</v>
      </c>
      <c r="C5544" s="76" t="s">
        <v>789</v>
      </c>
      <c r="D5544" s="79" t="s">
        <v>902</v>
      </c>
      <c r="E5544" s="79" t="s">
        <v>3062</v>
      </c>
      <c r="F5544" s="79"/>
    </row>
    <row r="5545" spans="1:6">
      <c r="A5545" s="77">
        <f t="shared" ca="1" si="544"/>
        <v>46035</v>
      </c>
      <c r="B5545" s="80">
        <f t="shared" ca="1" si="545"/>
        <v>46035.018654513886</v>
      </c>
      <c r="C5545" s="76" t="s">
        <v>789</v>
      </c>
      <c r="D5545" s="79" t="s">
        <v>902</v>
      </c>
      <c r="E5545" s="79" t="s">
        <v>1734</v>
      </c>
      <c r="F5545" s="79"/>
    </row>
    <row r="5546" spans="1:6">
      <c r="A5546" s="77">
        <f t="shared" ca="1" si="544"/>
        <v>46035</v>
      </c>
      <c r="B5546" s="80">
        <f t="shared" ca="1" si="545"/>
        <v>46035.019909490744</v>
      </c>
      <c r="C5546" s="76" t="s">
        <v>789</v>
      </c>
      <c r="D5546" s="79" t="s">
        <v>902</v>
      </c>
      <c r="E5546" s="79" t="s">
        <v>2487</v>
      </c>
      <c r="F5546" s="79"/>
    </row>
    <row r="5547" spans="1:6">
      <c r="A5547" s="77">
        <f t="shared" ca="1" si="544"/>
        <v>46035</v>
      </c>
      <c r="B5547" s="80">
        <f t="shared" ca="1" si="545"/>
        <v>46035.022309259257</v>
      </c>
      <c r="C5547" s="76" t="s">
        <v>789</v>
      </c>
      <c r="D5547" s="79" t="s">
        <v>902</v>
      </c>
      <c r="E5547" s="79" t="s">
        <v>1734</v>
      </c>
      <c r="F5547" s="79"/>
    </row>
    <row r="5548" spans="1:6">
      <c r="A5548" s="77">
        <f t="shared" ca="1" si="544"/>
        <v>46035</v>
      </c>
      <c r="B5548" s="80">
        <f t="shared" ca="1" si="545"/>
        <v>46035.027287731478</v>
      </c>
      <c r="C5548" s="76" t="s">
        <v>789</v>
      </c>
      <c r="D5548" s="210" t="s">
        <v>922</v>
      </c>
      <c r="E5548" s="79"/>
      <c r="F5548" s="79"/>
    </row>
    <row r="5549" spans="1:6" s="150" customFormat="1">
      <c r="A5549" s="151">
        <f t="shared" ca="1" si="544"/>
        <v>46035</v>
      </c>
      <c r="B5549" s="149">
        <v>4.3171296296296298E-2</v>
      </c>
      <c r="C5549" s="150" t="s">
        <v>789</v>
      </c>
      <c r="D5549" s="210" t="s">
        <v>1098</v>
      </c>
      <c r="E5549" s="150" t="s">
        <v>792</v>
      </c>
    </row>
    <row r="5550" spans="1:6" s="150" customFormat="1">
      <c r="A5550" s="151">
        <f t="shared" ca="1" si="544"/>
        <v>46035</v>
      </c>
      <c r="B5550" s="149">
        <f t="shared" ca="1" si="545"/>
        <v>46035.088748842594</v>
      </c>
      <c r="C5550" s="150" t="s">
        <v>793</v>
      </c>
      <c r="D5550" s="210" t="s">
        <v>906</v>
      </c>
    </row>
    <row r="5551" spans="1:6">
      <c r="A5551" s="77">
        <f t="shared" ca="1" si="544"/>
        <v>46035</v>
      </c>
      <c r="B5551" s="80">
        <f t="shared" ca="1" si="545"/>
        <v>46035.099349768519</v>
      </c>
      <c r="C5551" s="76" t="s">
        <v>793</v>
      </c>
      <c r="D5551" s="79" t="s">
        <v>902</v>
      </c>
      <c r="E5551" s="88" t="s">
        <v>3138</v>
      </c>
      <c r="F5551" s="79"/>
    </row>
    <row r="5552" spans="1:6">
      <c r="A5552" s="77">
        <f t="shared" ca="1" si="544"/>
        <v>46035</v>
      </c>
      <c r="B5552" s="80">
        <f t="shared" ca="1" si="545"/>
        <v>46035.128340740739</v>
      </c>
      <c r="C5552" s="76" t="s">
        <v>793</v>
      </c>
      <c r="D5552" s="79" t="s">
        <v>902</v>
      </c>
      <c r="E5552" s="79" t="s">
        <v>3139</v>
      </c>
      <c r="F5552" s="79"/>
    </row>
    <row r="5553" spans="1:6">
      <c r="A5553" s="77">
        <f t="shared" ca="1" si="544"/>
        <v>46035</v>
      </c>
      <c r="B5553" s="80">
        <f t="shared" ca="1" si="545"/>
        <v>46035.131006018521</v>
      </c>
      <c r="C5553" s="76" t="s">
        <v>793</v>
      </c>
      <c r="D5553" s="210" t="s">
        <v>909</v>
      </c>
      <c r="E5553" s="79"/>
      <c r="F5553" s="79"/>
    </row>
    <row r="5554" spans="1:6">
      <c r="A5554" s="77">
        <f t="shared" ref="A5554:A5582" ca="1" si="546">IF(C5554&lt;&gt;0,IF(A5554=0,TODAY(),A5554),)</f>
        <v>46035</v>
      </c>
      <c r="B5554" s="80">
        <f t="shared" ref="B5554:B5582" ca="1" si="547">IF(C5554&lt;&gt;0,IF(B5554=0,NOW(),B5554),)</f>
        <v>46035.132550810187</v>
      </c>
      <c r="C5554" s="76" t="s">
        <v>793</v>
      </c>
      <c r="D5554" s="79" t="s">
        <v>902</v>
      </c>
      <c r="E5554" s="79" t="s">
        <v>2932</v>
      </c>
      <c r="F5554" s="79"/>
    </row>
    <row r="5555" spans="1:6">
      <c r="A5555" s="77">
        <f t="shared" ca="1" si="546"/>
        <v>46035</v>
      </c>
      <c r="B5555" s="80">
        <f t="shared" ca="1" si="547"/>
        <v>46035.137693171295</v>
      </c>
      <c r="C5555" s="76" t="s">
        <v>793</v>
      </c>
      <c r="D5555" s="79" t="s">
        <v>902</v>
      </c>
      <c r="E5555" s="79" t="s">
        <v>932</v>
      </c>
      <c r="F5555" s="79"/>
    </row>
    <row r="5556" spans="1:6">
      <c r="A5556" s="77">
        <f t="shared" ca="1" si="546"/>
        <v>46035</v>
      </c>
      <c r="B5556" s="80">
        <f t="shared" ca="1" si="547"/>
        <v>46035.139068750002</v>
      </c>
      <c r="C5556" s="76" t="s">
        <v>793</v>
      </c>
      <c r="D5556" s="79" t="s">
        <v>902</v>
      </c>
      <c r="E5556" s="79" t="s">
        <v>3140</v>
      </c>
      <c r="F5556" s="79"/>
    </row>
    <row r="5557" spans="1:6">
      <c r="A5557" s="77">
        <f t="shared" ca="1" si="546"/>
        <v>46035</v>
      </c>
      <c r="B5557" s="80">
        <f t="shared" ca="1" si="547"/>
        <v>46035.143937962966</v>
      </c>
      <c r="C5557" s="76" t="s">
        <v>793</v>
      </c>
      <c r="D5557" s="79" t="s">
        <v>902</v>
      </c>
      <c r="E5557" s="79" t="s">
        <v>932</v>
      </c>
      <c r="F5557" s="79"/>
    </row>
    <row r="5558" spans="1:6">
      <c r="A5558" s="77">
        <f t="shared" ca="1" si="546"/>
        <v>46035</v>
      </c>
      <c r="B5558" s="80">
        <f t="shared" ca="1" si="547"/>
        <v>46035.144022800923</v>
      </c>
      <c r="C5558" s="76" t="s">
        <v>793</v>
      </c>
      <c r="D5558" s="79" t="s">
        <v>902</v>
      </c>
      <c r="E5558" s="79" t="s">
        <v>932</v>
      </c>
      <c r="F5558" s="79"/>
    </row>
    <row r="5559" spans="1:6">
      <c r="A5559" s="77">
        <f t="shared" ca="1" si="546"/>
        <v>46035</v>
      </c>
      <c r="B5559" s="80">
        <f t="shared" ca="1" si="547"/>
        <v>46035.144030787036</v>
      </c>
      <c r="C5559" s="76" t="s">
        <v>793</v>
      </c>
      <c r="D5559" s="79" t="s">
        <v>902</v>
      </c>
      <c r="E5559" s="79" t="s">
        <v>3141</v>
      </c>
      <c r="F5559" s="79"/>
    </row>
    <row r="5560" spans="1:6">
      <c r="A5560" s="77">
        <f t="shared" ca="1" si="546"/>
        <v>46035</v>
      </c>
      <c r="B5560" s="80">
        <f t="shared" ca="1" si="547"/>
        <v>46035.14431087963</v>
      </c>
      <c r="C5560" s="76" t="s">
        <v>793</v>
      </c>
      <c r="D5560" s="79" t="s">
        <v>902</v>
      </c>
      <c r="E5560" s="79" t="s">
        <v>3142</v>
      </c>
      <c r="F5560" s="79"/>
    </row>
    <row r="5561" spans="1:6">
      <c r="A5561" s="77">
        <f t="shared" ca="1" si="546"/>
        <v>46035</v>
      </c>
      <c r="B5561" s="80">
        <f t="shared" ca="1" si="547"/>
        <v>46035.158560995369</v>
      </c>
      <c r="C5561" s="76" t="s">
        <v>793</v>
      </c>
      <c r="D5561" s="79" t="s">
        <v>902</v>
      </c>
      <c r="E5561" s="79" t="s">
        <v>3143</v>
      </c>
      <c r="F5561" s="79"/>
    </row>
    <row r="5562" spans="1:6">
      <c r="A5562" s="77">
        <f t="shared" ca="1" si="546"/>
        <v>46035</v>
      </c>
      <c r="B5562" s="80">
        <f t="shared" ca="1" si="547"/>
        <v>46035.160152314813</v>
      </c>
      <c r="C5562" s="76" t="s">
        <v>793</v>
      </c>
      <c r="D5562" s="79" t="s">
        <v>902</v>
      </c>
      <c r="E5562" s="79" t="s">
        <v>1225</v>
      </c>
      <c r="F5562" s="79"/>
    </row>
    <row r="5563" spans="1:6">
      <c r="A5563" s="77">
        <f t="shared" ca="1" si="546"/>
        <v>46035</v>
      </c>
      <c r="B5563" s="80">
        <f t="shared" ca="1" si="547"/>
        <v>46035.161718055555</v>
      </c>
      <c r="C5563" s="76" t="s">
        <v>793</v>
      </c>
      <c r="D5563" s="79" t="s">
        <v>902</v>
      </c>
      <c r="E5563" s="79" t="s">
        <v>955</v>
      </c>
      <c r="F5563" s="79"/>
    </row>
    <row r="5564" spans="1:6">
      <c r="A5564" s="77">
        <f t="shared" ca="1" si="546"/>
        <v>46035</v>
      </c>
      <c r="B5564" s="80">
        <f t="shared" ca="1" si="547"/>
        <v>46035.166680208335</v>
      </c>
      <c r="C5564" s="76" t="s">
        <v>793</v>
      </c>
      <c r="D5564" s="79" t="s">
        <v>902</v>
      </c>
      <c r="E5564" s="79" t="s">
        <v>955</v>
      </c>
      <c r="F5564" s="79"/>
    </row>
    <row r="5565" spans="1:6">
      <c r="A5565" s="77">
        <f t="shared" ca="1" si="546"/>
        <v>46035</v>
      </c>
      <c r="B5565" s="80">
        <f t="shared" ca="1" si="547"/>
        <v>46035.16951284722</v>
      </c>
      <c r="C5565" s="76" t="s">
        <v>793</v>
      </c>
      <c r="D5565" s="79" t="s">
        <v>902</v>
      </c>
      <c r="E5565" s="79" t="s">
        <v>3129</v>
      </c>
      <c r="F5565" s="79"/>
    </row>
    <row r="5566" spans="1:6">
      <c r="A5566" s="77">
        <f ca="1">IF(C5565&lt;&gt;0,IF(A5565=0,TODAY(),A5565),)</f>
        <v>46035</v>
      </c>
      <c r="B5566" s="80">
        <v>0.17054398148148148</v>
      </c>
      <c r="C5566" s="76" t="s">
        <v>793</v>
      </c>
      <c r="D5566" s="76" t="s">
        <v>902</v>
      </c>
      <c r="E5566" s="79" t="s">
        <v>3144</v>
      </c>
      <c r="F5566" s="79"/>
    </row>
    <row r="5567" spans="1:6">
      <c r="A5567" s="77">
        <f t="shared" ca="1" si="546"/>
        <v>46035</v>
      </c>
      <c r="B5567" s="80">
        <f t="shared" ca="1" si="547"/>
        <v>46035.175507523149</v>
      </c>
      <c r="C5567" s="76" t="s">
        <v>793</v>
      </c>
      <c r="D5567" s="79" t="s">
        <v>902</v>
      </c>
      <c r="E5567" s="79" t="s">
        <v>955</v>
      </c>
      <c r="F5567" s="79"/>
    </row>
    <row r="5568" spans="1:6">
      <c r="A5568" s="77">
        <f t="shared" ca="1" si="546"/>
        <v>46035</v>
      </c>
      <c r="B5568" s="80">
        <f t="shared" ca="1" si="547"/>
        <v>46035.181608564817</v>
      </c>
      <c r="C5568" s="76" t="s">
        <v>793</v>
      </c>
      <c r="D5568" s="79" t="s">
        <v>902</v>
      </c>
      <c r="E5568" s="79" t="s">
        <v>955</v>
      </c>
      <c r="F5568" s="79"/>
    </row>
    <row r="5569" spans="1:6">
      <c r="A5569" s="77">
        <f t="shared" ca="1" si="546"/>
        <v>46035</v>
      </c>
      <c r="B5569" s="80">
        <f t="shared" ca="1" si="547"/>
        <v>46035.187643171295</v>
      </c>
      <c r="C5569" s="76" t="s">
        <v>793</v>
      </c>
      <c r="D5569" s="79" t="s">
        <v>902</v>
      </c>
      <c r="E5569" s="79" t="s">
        <v>955</v>
      </c>
      <c r="F5569" s="79"/>
    </row>
    <row r="5570" spans="1:6">
      <c r="A5570" s="77">
        <f t="shared" ca="1" si="546"/>
        <v>46035</v>
      </c>
      <c r="B5570" s="80">
        <f t="shared" ca="1" si="547"/>
        <v>46035.190395370373</v>
      </c>
      <c r="C5570" s="76" t="s">
        <v>793</v>
      </c>
      <c r="D5570" s="79" t="s">
        <v>902</v>
      </c>
      <c r="E5570" s="79" t="s">
        <v>3145</v>
      </c>
      <c r="F5570" s="79"/>
    </row>
    <row r="5571" spans="1:6">
      <c r="A5571" s="77">
        <f t="shared" ca="1" si="546"/>
        <v>46035</v>
      </c>
      <c r="B5571" s="80">
        <f t="shared" ca="1" si="547"/>
        <v>46035.191634027775</v>
      </c>
      <c r="C5571" s="76" t="s">
        <v>793</v>
      </c>
      <c r="D5571" s="79" t="s">
        <v>902</v>
      </c>
      <c r="E5571" s="79" t="s">
        <v>932</v>
      </c>
      <c r="F5571" s="79"/>
    </row>
    <row r="5572" spans="1:6">
      <c r="A5572" s="77">
        <f t="shared" ca="1" si="546"/>
        <v>46035</v>
      </c>
      <c r="B5572" s="80">
        <f t="shared" ca="1" si="547"/>
        <v>46035.193611226852</v>
      </c>
      <c r="C5572" s="76" t="s">
        <v>793</v>
      </c>
      <c r="D5572" s="79" t="s">
        <v>902</v>
      </c>
      <c r="E5572" s="79" t="s">
        <v>3146</v>
      </c>
      <c r="F5572" s="79"/>
    </row>
    <row r="5573" spans="1:6">
      <c r="A5573" s="77">
        <f t="shared" ca="1" si="546"/>
        <v>46035</v>
      </c>
      <c r="B5573" s="80">
        <f t="shared" ca="1" si="547"/>
        <v>46035.198321759257</v>
      </c>
      <c r="C5573" s="76" t="s">
        <v>793</v>
      </c>
      <c r="D5573" s="79" t="s">
        <v>902</v>
      </c>
      <c r="E5573" s="79" t="s">
        <v>943</v>
      </c>
      <c r="F5573" s="79"/>
    </row>
    <row r="5574" spans="1:6">
      <c r="A5574" s="77">
        <f t="shared" ca="1" si="546"/>
        <v>46035</v>
      </c>
      <c r="B5574" s="80">
        <f t="shared" ca="1" si="547"/>
        <v>46035.198617476854</v>
      </c>
      <c r="C5574" s="76" t="s">
        <v>793</v>
      </c>
      <c r="D5574" s="79" t="s">
        <v>902</v>
      </c>
      <c r="E5574" s="79" t="s">
        <v>3071</v>
      </c>
      <c r="F5574" s="79"/>
    </row>
    <row r="5575" spans="1:6">
      <c r="A5575" s="77">
        <f t="shared" ca="1" si="546"/>
        <v>46035</v>
      </c>
      <c r="B5575" s="80">
        <f t="shared" ca="1" si="547"/>
        <v>46035.200498611113</v>
      </c>
      <c r="C5575" s="76" t="s">
        <v>793</v>
      </c>
      <c r="D5575" s="79" t="s">
        <v>902</v>
      </c>
      <c r="E5575" s="79" t="s">
        <v>955</v>
      </c>
      <c r="F5575" s="79"/>
    </row>
    <row r="5576" spans="1:6">
      <c r="A5576" s="77">
        <f t="shared" ca="1" si="546"/>
        <v>46035</v>
      </c>
      <c r="B5576" s="80">
        <f t="shared" ca="1" si="547"/>
        <v>46035.20283263889</v>
      </c>
      <c r="C5576" s="76" t="s">
        <v>793</v>
      </c>
      <c r="D5576" s="79" t="s">
        <v>902</v>
      </c>
      <c r="E5576" s="79" t="s">
        <v>1165</v>
      </c>
      <c r="F5576" s="79"/>
    </row>
    <row r="5577" spans="1:6">
      <c r="A5577" s="77">
        <f t="shared" ca="1" si="546"/>
        <v>46035</v>
      </c>
      <c r="B5577" s="80">
        <f t="shared" ca="1" si="547"/>
        <v>46035.207373726851</v>
      </c>
      <c r="C5577" s="76" t="s">
        <v>793</v>
      </c>
      <c r="D5577" s="79" t="s">
        <v>902</v>
      </c>
      <c r="E5577" s="79" t="s">
        <v>3147</v>
      </c>
      <c r="F5577" s="79"/>
    </row>
    <row r="5578" spans="1:6">
      <c r="A5578" s="77">
        <f t="shared" ca="1" si="546"/>
        <v>46035</v>
      </c>
      <c r="B5578" s="80">
        <f t="shared" ca="1" si="547"/>
        <v>46035.212849537034</v>
      </c>
      <c r="C5578" s="76" t="s">
        <v>793</v>
      </c>
      <c r="D5578" s="79" t="s">
        <v>902</v>
      </c>
      <c r="E5578" s="88" t="s">
        <v>2889</v>
      </c>
      <c r="F5578" s="79"/>
    </row>
    <row r="5579" spans="1:6">
      <c r="A5579" s="77">
        <f t="shared" ca="1" si="546"/>
        <v>46035</v>
      </c>
      <c r="B5579" s="80">
        <f t="shared" ca="1" si="547"/>
        <v>46035.214559953703</v>
      </c>
      <c r="C5579" s="76" t="s">
        <v>793</v>
      </c>
      <c r="D5579" s="79" t="s">
        <v>902</v>
      </c>
      <c r="E5579" s="79" t="s">
        <v>3144</v>
      </c>
      <c r="F5579" s="79"/>
    </row>
    <row r="5580" spans="1:6">
      <c r="A5580" s="77">
        <f t="shared" ca="1" si="546"/>
        <v>46035</v>
      </c>
      <c r="B5580" s="80">
        <f t="shared" ca="1" si="547"/>
        <v>46035.215079398149</v>
      </c>
      <c r="C5580" s="76" t="s">
        <v>793</v>
      </c>
      <c r="D5580" s="79" t="s">
        <v>902</v>
      </c>
      <c r="E5580" s="79" t="s">
        <v>3148</v>
      </c>
      <c r="F5580" s="79"/>
    </row>
    <row r="5581" spans="1:6">
      <c r="A5581" s="77">
        <f t="shared" ca="1" si="546"/>
        <v>46035</v>
      </c>
      <c r="B5581" s="80">
        <f t="shared" ca="1" si="547"/>
        <v>46035.215287500003</v>
      </c>
      <c r="C5581" s="76" t="s">
        <v>793</v>
      </c>
      <c r="D5581" s="79" t="s">
        <v>902</v>
      </c>
      <c r="E5581" s="79" t="s">
        <v>1703</v>
      </c>
      <c r="F5581" s="79"/>
    </row>
    <row r="5582" spans="1:6">
      <c r="A5582" s="77">
        <f t="shared" ca="1" si="546"/>
        <v>46035</v>
      </c>
      <c r="B5582" s="80">
        <f t="shared" ca="1" si="547"/>
        <v>46035.217676736109</v>
      </c>
      <c r="C5582" s="76" t="s">
        <v>793</v>
      </c>
      <c r="D5582" s="79" t="s">
        <v>902</v>
      </c>
      <c r="E5582" s="88" t="s">
        <v>3149</v>
      </c>
      <c r="F5582" s="79"/>
    </row>
    <row r="5583" spans="1:6">
      <c r="A5583" s="77">
        <f t="shared" ref="A5583:A5647" ca="1" si="548">IF(C5583&lt;&gt;0,IF(A5583=0,TODAY(),A5583),)</f>
        <v>46035</v>
      </c>
      <c r="B5583" s="80">
        <f t="shared" ref="B5583:B5647" ca="1" si="549">IF(C5583&lt;&gt;0,IF(B5583=0,NOW(),B5583),)</f>
        <v>46035.217945949073</v>
      </c>
      <c r="C5583" s="76" t="s">
        <v>793</v>
      </c>
      <c r="D5583" s="79" t="s">
        <v>902</v>
      </c>
      <c r="E5583" s="79" t="s">
        <v>3150</v>
      </c>
      <c r="F5583" s="79"/>
    </row>
    <row r="5584" spans="1:6">
      <c r="A5584" s="77">
        <v>46035</v>
      </c>
      <c r="B5584" s="80">
        <v>0.21805555555555556</v>
      </c>
      <c r="C5584" s="76" t="s">
        <v>793</v>
      </c>
      <c r="D5584" s="76" t="s">
        <v>902</v>
      </c>
      <c r="E5584" s="79" t="s">
        <v>3151</v>
      </c>
      <c r="F5584" s="79"/>
    </row>
    <row r="5585" spans="1:6">
      <c r="A5585" s="77">
        <f t="shared" ca="1" si="548"/>
        <v>46035</v>
      </c>
      <c r="B5585" s="80">
        <v>0.22083333333333333</v>
      </c>
      <c r="C5585" s="76" t="s">
        <v>793</v>
      </c>
      <c r="D5585" s="76" t="s">
        <v>902</v>
      </c>
      <c r="E5585" s="79" t="s">
        <v>1239</v>
      </c>
      <c r="F5585" s="79"/>
    </row>
    <row r="5586" spans="1:6">
      <c r="A5586" s="77">
        <f t="shared" ca="1" si="548"/>
        <v>46035</v>
      </c>
      <c r="B5586" s="80">
        <f t="shared" ca="1" si="549"/>
        <v>46035.223341087963</v>
      </c>
      <c r="C5586" s="76" t="s">
        <v>793</v>
      </c>
      <c r="D5586" s="79" t="s">
        <v>902</v>
      </c>
      <c r="E5586" s="79" t="s">
        <v>3152</v>
      </c>
      <c r="F5586" s="79"/>
    </row>
    <row r="5587" spans="1:6">
      <c r="A5587" s="77">
        <f t="shared" ca="1" si="548"/>
        <v>46035</v>
      </c>
      <c r="B5587" s="80">
        <f t="shared" ca="1" si="549"/>
        <v>46035.22874189815</v>
      </c>
      <c r="C5587" s="76" t="s">
        <v>793</v>
      </c>
      <c r="D5587" s="79" t="s">
        <v>902</v>
      </c>
      <c r="E5587" s="79" t="s">
        <v>1239</v>
      </c>
      <c r="F5587" s="79"/>
    </row>
    <row r="5588" spans="1:6">
      <c r="A5588" s="77">
        <f t="shared" ca="1" si="548"/>
        <v>46035</v>
      </c>
      <c r="B5588" s="80">
        <f t="shared" ca="1" si="549"/>
        <v>46035.229429861109</v>
      </c>
      <c r="C5588" s="76" t="s">
        <v>793</v>
      </c>
      <c r="D5588" s="79" t="s">
        <v>902</v>
      </c>
      <c r="E5588" s="79" t="s">
        <v>1278</v>
      </c>
      <c r="F5588" s="79"/>
    </row>
    <row r="5589" spans="1:6">
      <c r="A5589" s="77">
        <f t="shared" ca="1" si="548"/>
        <v>46035</v>
      </c>
      <c r="B5589" s="80">
        <f t="shared" ca="1" si="549"/>
        <v>46035.229811458332</v>
      </c>
      <c r="C5589" s="76" t="s">
        <v>793</v>
      </c>
      <c r="D5589" s="79" t="s">
        <v>902</v>
      </c>
      <c r="E5589" s="79" t="s">
        <v>1703</v>
      </c>
      <c r="F5589" s="79"/>
    </row>
    <row r="5590" spans="1:6">
      <c r="A5590" s="77">
        <f t="shared" ca="1" si="548"/>
        <v>46035</v>
      </c>
      <c r="B5590" s="80">
        <f t="shared" ca="1" si="549"/>
        <v>46035.236115740743</v>
      </c>
      <c r="C5590" s="76" t="s">
        <v>793</v>
      </c>
      <c r="D5590" s="79" t="s">
        <v>902</v>
      </c>
      <c r="E5590" s="79" t="s">
        <v>1703</v>
      </c>
      <c r="F5590" s="79"/>
    </row>
    <row r="5591" spans="1:6">
      <c r="A5591" s="77">
        <f t="shared" ca="1" si="548"/>
        <v>46035</v>
      </c>
      <c r="B5591" s="80">
        <f t="shared" ca="1" si="549"/>
        <v>46035.23618576389</v>
      </c>
      <c r="C5591" s="76" t="s">
        <v>793</v>
      </c>
      <c r="D5591" s="79" t="s">
        <v>902</v>
      </c>
      <c r="E5591" s="79" t="s">
        <v>3153</v>
      </c>
      <c r="F5591" s="79"/>
    </row>
    <row r="5592" spans="1:6">
      <c r="A5592" s="77">
        <f t="shared" ca="1" si="548"/>
        <v>46035</v>
      </c>
      <c r="B5592" s="80">
        <f t="shared" ca="1" si="549"/>
        <v>46035.241917939813</v>
      </c>
      <c r="C5592" s="76" t="s">
        <v>793</v>
      </c>
      <c r="D5592" s="79" t="s">
        <v>902</v>
      </c>
      <c r="E5592" s="79" t="s">
        <v>3154</v>
      </c>
      <c r="F5592" s="79"/>
    </row>
    <row r="5593" spans="1:6">
      <c r="A5593" s="77">
        <f t="shared" ca="1" si="548"/>
        <v>46035</v>
      </c>
      <c r="B5593" s="80">
        <f t="shared" ca="1" si="549"/>
        <v>46035.242370949076</v>
      </c>
      <c r="C5593" s="76" t="s">
        <v>793</v>
      </c>
      <c r="D5593" s="79" t="s">
        <v>902</v>
      </c>
      <c r="E5593" s="79" t="s">
        <v>3155</v>
      </c>
      <c r="F5593" s="79"/>
    </row>
    <row r="5594" spans="1:6">
      <c r="A5594" s="77">
        <f t="shared" ca="1" si="548"/>
        <v>46035</v>
      </c>
      <c r="B5594" s="80">
        <f t="shared" ca="1" si="549"/>
        <v>46035.247933449071</v>
      </c>
      <c r="C5594" s="76" t="s">
        <v>793</v>
      </c>
      <c r="D5594" s="79" t="s">
        <v>902</v>
      </c>
      <c r="E5594" s="79" t="s">
        <v>3156</v>
      </c>
      <c r="F5594" s="79"/>
    </row>
    <row r="5595" spans="1:6">
      <c r="A5595" s="77">
        <f t="shared" ca="1" si="548"/>
        <v>46035</v>
      </c>
      <c r="B5595" s="80">
        <f t="shared" ca="1" si="549"/>
        <v>46035.259884027779</v>
      </c>
      <c r="C5595" s="76" t="s">
        <v>793</v>
      </c>
      <c r="D5595" s="79" t="s">
        <v>902</v>
      </c>
      <c r="E5595" s="79" t="s">
        <v>3157</v>
      </c>
      <c r="F5595" s="79"/>
    </row>
    <row r="5596" spans="1:6">
      <c r="A5596" s="77">
        <f t="shared" ca="1" si="548"/>
        <v>46035</v>
      </c>
      <c r="B5596" s="80">
        <f t="shared" ca="1" si="549"/>
        <v>46035.264372916667</v>
      </c>
      <c r="C5596" s="76" t="s">
        <v>793</v>
      </c>
      <c r="D5596" s="79" t="s">
        <v>902</v>
      </c>
      <c r="E5596" s="79" t="s">
        <v>2162</v>
      </c>
      <c r="F5596" s="79"/>
    </row>
    <row r="5597" spans="1:6">
      <c r="A5597" s="77">
        <f t="shared" ca="1" si="548"/>
        <v>46035</v>
      </c>
      <c r="B5597" s="80">
        <f t="shared" ca="1" si="549"/>
        <v>46035.267949074077</v>
      </c>
      <c r="C5597" s="76" t="s">
        <v>793</v>
      </c>
      <c r="D5597" s="79" t="s">
        <v>902</v>
      </c>
      <c r="E5597" s="79" t="s">
        <v>1703</v>
      </c>
      <c r="F5597" s="79"/>
    </row>
    <row r="5598" spans="1:6">
      <c r="A5598" s="77">
        <f t="shared" ca="1" si="548"/>
        <v>46035</v>
      </c>
      <c r="B5598" s="80">
        <f t="shared" ca="1" si="549"/>
        <v>46035.268644444448</v>
      </c>
      <c r="C5598" s="76" t="s">
        <v>793</v>
      </c>
      <c r="D5598" s="79" t="s">
        <v>902</v>
      </c>
      <c r="E5598" s="79" t="s">
        <v>2487</v>
      </c>
      <c r="F5598" s="79"/>
    </row>
    <row r="5599" spans="1:6">
      <c r="A5599" s="77">
        <f t="shared" ca="1" si="548"/>
        <v>46035</v>
      </c>
      <c r="B5599" s="80">
        <f t="shared" ca="1" si="549"/>
        <v>46035.270258101853</v>
      </c>
      <c r="C5599" s="76" t="s">
        <v>793</v>
      </c>
      <c r="D5599" s="79" t="s">
        <v>902</v>
      </c>
      <c r="E5599" s="79" t="s">
        <v>1703</v>
      </c>
      <c r="F5599" s="79"/>
    </row>
    <row r="5600" spans="1:6">
      <c r="A5600" s="77">
        <f t="shared" ca="1" si="548"/>
        <v>46035</v>
      </c>
      <c r="B5600" s="80">
        <f t="shared" ca="1" si="549"/>
        <v>46035.281684837966</v>
      </c>
      <c r="C5600" s="76" t="s">
        <v>793</v>
      </c>
      <c r="D5600" s="210" t="s">
        <v>922</v>
      </c>
      <c r="E5600" s="79"/>
      <c r="F5600" s="79"/>
    </row>
    <row r="5601" spans="1:6" s="150" customFormat="1">
      <c r="A5601" s="151">
        <f t="shared" ca="1" si="548"/>
        <v>46035</v>
      </c>
      <c r="B5601" s="149">
        <f t="shared" ca="1" si="549"/>
        <v>46035.297557638885</v>
      </c>
      <c r="C5601" s="150" t="s">
        <v>793</v>
      </c>
      <c r="D5601" s="210" t="s">
        <v>1098</v>
      </c>
    </row>
    <row r="5602" spans="1:6" s="150" customFormat="1">
      <c r="A5602" s="151">
        <f t="shared" ca="1" si="548"/>
        <v>46035</v>
      </c>
      <c r="B5602" s="149">
        <f t="shared" ca="1" si="549"/>
        <v>46035.343926273148</v>
      </c>
      <c r="C5602" s="150" t="s">
        <v>797</v>
      </c>
      <c r="D5602" s="210" t="s">
        <v>906</v>
      </c>
    </row>
    <row r="5603" spans="1:6">
      <c r="A5603" s="77">
        <f t="shared" ca="1" si="548"/>
        <v>46035</v>
      </c>
      <c r="B5603" s="80">
        <f t="shared" ca="1" si="549"/>
        <v>46035.377544560186</v>
      </c>
      <c r="C5603" s="76" t="s">
        <v>797</v>
      </c>
      <c r="D5603" s="210" t="s">
        <v>909</v>
      </c>
      <c r="E5603" s="79"/>
      <c r="F5603" s="79"/>
    </row>
    <row r="5604" spans="1:6">
      <c r="A5604" s="77">
        <f t="shared" ca="1" si="548"/>
        <v>46035</v>
      </c>
      <c r="B5604" s="80">
        <f t="shared" ca="1" si="549"/>
        <v>46035.378499074075</v>
      </c>
      <c r="C5604" s="76" t="s">
        <v>797</v>
      </c>
      <c r="D5604" s="79" t="s">
        <v>902</v>
      </c>
      <c r="E5604" s="79" t="s">
        <v>3158</v>
      </c>
      <c r="F5604" s="79"/>
    </row>
    <row r="5605" spans="1:6">
      <c r="A5605" s="77">
        <f t="shared" ca="1" si="548"/>
        <v>46035</v>
      </c>
      <c r="B5605" s="80">
        <f t="shared" ca="1" si="549"/>
        <v>46035.378956250002</v>
      </c>
      <c r="C5605" s="76" t="s">
        <v>797</v>
      </c>
      <c r="D5605" s="79" t="s">
        <v>902</v>
      </c>
      <c r="E5605" s="79" t="s">
        <v>3159</v>
      </c>
      <c r="F5605" s="79"/>
    </row>
    <row r="5606" spans="1:6">
      <c r="A5606" s="77">
        <f t="shared" ca="1" si="548"/>
        <v>46035</v>
      </c>
      <c r="B5606" s="80">
        <f t="shared" ca="1" si="549"/>
        <v>46035.379246180557</v>
      </c>
      <c r="C5606" s="76" t="s">
        <v>797</v>
      </c>
      <c r="D5606" s="79" t="s">
        <v>902</v>
      </c>
      <c r="E5606" s="79" t="s">
        <v>1831</v>
      </c>
      <c r="F5606" s="79"/>
    </row>
    <row r="5607" spans="1:6">
      <c r="A5607" s="77">
        <f t="shared" ca="1" si="548"/>
        <v>46035</v>
      </c>
      <c r="B5607" s="80">
        <f t="shared" ca="1" si="549"/>
        <v>46035.379567708333</v>
      </c>
      <c r="C5607" s="76" t="s">
        <v>797</v>
      </c>
      <c r="D5607" s="79" t="s">
        <v>902</v>
      </c>
      <c r="E5607" s="79" t="s">
        <v>3160</v>
      </c>
      <c r="F5607" s="79"/>
    </row>
    <row r="5608" spans="1:6">
      <c r="A5608" s="77">
        <f t="shared" ca="1" si="548"/>
        <v>46035</v>
      </c>
      <c r="B5608" s="80">
        <f t="shared" ca="1" si="549"/>
        <v>46035.380057175928</v>
      </c>
      <c r="C5608" s="76" t="s">
        <v>797</v>
      </c>
      <c r="D5608" s="79" t="s">
        <v>902</v>
      </c>
      <c r="E5608" s="79" t="s">
        <v>3161</v>
      </c>
      <c r="F5608" s="79"/>
    </row>
    <row r="5609" spans="1:6">
      <c r="A5609" s="77">
        <f t="shared" ca="1" si="548"/>
        <v>46035</v>
      </c>
      <c r="B5609" s="80">
        <f t="shared" ca="1" si="549"/>
        <v>46035.381076388891</v>
      </c>
      <c r="C5609" s="76" t="s">
        <v>797</v>
      </c>
      <c r="D5609" s="79" t="s">
        <v>902</v>
      </c>
      <c r="E5609" s="79" t="s">
        <v>3162</v>
      </c>
      <c r="F5609" s="79"/>
    </row>
    <row r="5610" spans="1:6">
      <c r="A5610" s="77">
        <f t="shared" ca="1" si="548"/>
        <v>46035</v>
      </c>
      <c r="B5610" s="80">
        <f t="shared" ca="1" si="549"/>
        <v>46035.386739930553</v>
      </c>
      <c r="C5610" s="76" t="s">
        <v>797</v>
      </c>
      <c r="D5610" s="150" t="s">
        <v>1007</v>
      </c>
      <c r="E5610" s="79" t="s">
        <v>3163</v>
      </c>
      <c r="F5610" s="79"/>
    </row>
    <row r="5611" spans="1:6">
      <c r="A5611" s="77">
        <f t="shared" ca="1" si="548"/>
        <v>46035</v>
      </c>
      <c r="B5611" s="80">
        <f t="shared" ca="1" si="549"/>
        <v>46035.391010879626</v>
      </c>
      <c r="C5611" s="76" t="s">
        <v>797</v>
      </c>
      <c r="D5611" s="79" t="s">
        <v>902</v>
      </c>
      <c r="E5611" s="79" t="s">
        <v>2489</v>
      </c>
      <c r="F5611" s="79"/>
    </row>
    <row r="5612" spans="1:6">
      <c r="A5612" s="77">
        <f t="shared" ca="1" si="548"/>
        <v>46035</v>
      </c>
      <c r="B5612" s="80">
        <f t="shared" ca="1" si="549"/>
        <v>46035.391010879626</v>
      </c>
      <c r="C5612" s="76" t="s">
        <v>797</v>
      </c>
      <c r="D5612" s="79" t="s">
        <v>902</v>
      </c>
      <c r="E5612" s="79" t="s">
        <v>1831</v>
      </c>
      <c r="F5612" s="79"/>
    </row>
    <row r="5613" spans="1:6">
      <c r="A5613" s="77">
        <f t="shared" ca="1" si="548"/>
        <v>46035</v>
      </c>
      <c r="B5613" s="80">
        <f t="shared" ca="1" si="549"/>
        <v>46035.391010879626</v>
      </c>
      <c r="C5613" s="76" t="s">
        <v>797</v>
      </c>
      <c r="D5613" s="79" t="s">
        <v>902</v>
      </c>
      <c r="E5613" s="79" t="s">
        <v>2489</v>
      </c>
      <c r="F5613" s="79"/>
    </row>
    <row r="5614" spans="1:6">
      <c r="A5614" s="77">
        <f t="shared" ca="1" si="548"/>
        <v>46035</v>
      </c>
      <c r="B5614" s="80">
        <f t="shared" ca="1" si="549"/>
        <v>46035.394119560187</v>
      </c>
      <c r="C5614" s="76" t="s">
        <v>797</v>
      </c>
      <c r="D5614" s="79" t="s">
        <v>902</v>
      </c>
      <c r="E5614" s="79" t="s">
        <v>1555</v>
      </c>
      <c r="F5614" s="79"/>
    </row>
    <row r="5615" spans="1:6">
      <c r="A5615" s="77">
        <f t="shared" ca="1" si="548"/>
        <v>46035</v>
      </c>
      <c r="B5615" s="80">
        <f t="shared" ca="1" si="549"/>
        <v>46035.395763078704</v>
      </c>
      <c r="C5615" s="76" t="s">
        <v>797</v>
      </c>
      <c r="D5615" s="150" t="s">
        <v>1007</v>
      </c>
      <c r="E5615" s="79" t="s">
        <v>3164</v>
      </c>
      <c r="F5615" s="79"/>
    </row>
    <row r="5616" spans="1:6">
      <c r="A5616" s="77">
        <f t="shared" ca="1" si="548"/>
        <v>46035</v>
      </c>
      <c r="B5616" s="80">
        <v>0.40137731481481481</v>
      </c>
      <c r="C5616" s="76" t="s">
        <v>797</v>
      </c>
      <c r="D5616" s="79" t="s">
        <v>902</v>
      </c>
      <c r="E5616" s="79" t="s">
        <v>3165</v>
      </c>
      <c r="F5616" s="79"/>
    </row>
    <row r="5617" spans="1:6">
      <c r="A5617" s="77">
        <f t="shared" ca="1" si="548"/>
        <v>46035</v>
      </c>
      <c r="B5617" s="80">
        <f t="shared" ca="1" si="549"/>
        <v>46035.401624189813</v>
      </c>
      <c r="C5617" s="76" t="s">
        <v>797</v>
      </c>
      <c r="D5617" s="79" t="s">
        <v>902</v>
      </c>
      <c r="E5617" s="79" t="s">
        <v>3159</v>
      </c>
      <c r="F5617" s="79"/>
    </row>
    <row r="5618" spans="1:6">
      <c r="A5618" s="77">
        <f t="shared" ca="1" si="548"/>
        <v>46035</v>
      </c>
      <c r="B5618" s="80">
        <f t="shared" ca="1" si="549"/>
        <v>46035.402758449076</v>
      </c>
      <c r="C5618" s="76" t="s">
        <v>797</v>
      </c>
      <c r="D5618" s="79" t="s">
        <v>902</v>
      </c>
      <c r="E5618" s="79" t="s">
        <v>3166</v>
      </c>
      <c r="F5618" s="79"/>
    </row>
    <row r="5619" spans="1:6">
      <c r="A5619" s="77">
        <f t="shared" ca="1" si="548"/>
        <v>46035</v>
      </c>
      <c r="B5619" s="80">
        <f t="shared" ca="1" si="549"/>
        <v>46035.403159606481</v>
      </c>
      <c r="C5619" s="76" t="s">
        <v>797</v>
      </c>
      <c r="D5619" s="79" t="s">
        <v>902</v>
      </c>
      <c r="E5619" s="79" t="s">
        <v>3167</v>
      </c>
      <c r="F5619" s="79"/>
    </row>
    <row r="5620" spans="1:6">
      <c r="A5620" s="77">
        <f t="shared" ca="1" si="548"/>
        <v>46035</v>
      </c>
      <c r="B5620" s="80">
        <f t="shared" ca="1" si="549"/>
        <v>46035.403808101852</v>
      </c>
      <c r="C5620" s="76" t="s">
        <v>797</v>
      </c>
      <c r="D5620" s="79" t="s">
        <v>902</v>
      </c>
      <c r="E5620" s="79" t="s">
        <v>3167</v>
      </c>
      <c r="F5620" s="79"/>
    </row>
    <row r="5621" spans="1:6">
      <c r="A5621" s="77">
        <f t="shared" ca="1" si="548"/>
        <v>46035</v>
      </c>
      <c r="B5621" s="80">
        <f t="shared" ca="1" si="549"/>
        <v>46035.409125231483</v>
      </c>
      <c r="C5621" s="76" t="s">
        <v>797</v>
      </c>
      <c r="D5621" s="79" t="s">
        <v>902</v>
      </c>
      <c r="E5621" s="79" t="s">
        <v>3166</v>
      </c>
      <c r="F5621" s="79"/>
    </row>
    <row r="5622" spans="1:6">
      <c r="A5622" s="77">
        <f t="shared" ca="1" si="548"/>
        <v>46035</v>
      </c>
      <c r="B5622" s="80">
        <f t="shared" ca="1" si="549"/>
        <v>46035.410409837961</v>
      </c>
      <c r="C5622" s="76" t="s">
        <v>797</v>
      </c>
      <c r="D5622" s="79" t="s">
        <v>902</v>
      </c>
      <c r="E5622" s="79" t="s">
        <v>3168</v>
      </c>
      <c r="F5622" s="79"/>
    </row>
    <row r="5623" spans="1:6">
      <c r="A5623" s="77">
        <f t="shared" ca="1" si="548"/>
        <v>46035</v>
      </c>
      <c r="B5623" s="80">
        <f t="shared" ca="1" si="549"/>
        <v>46035.411034837962</v>
      </c>
      <c r="C5623" s="76" t="s">
        <v>797</v>
      </c>
      <c r="D5623" s="79" t="s">
        <v>902</v>
      </c>
      <c r="E5623" s="79" t="s">
        <v>3166</v>
      </c>
      <c r="F5623" s="79"/>
    </row>
    <row r="5624" spans="1:6">
      <c r="A5624" s="77">
        <f t="shared" ca="1" si="548"/>
        <v>46035</v>
      </c>
      <c r="B5624" s="80">
        <f t="shared" ca="1" si="549"/>
        <v>46035.411150347223</v>
      </c>
      <c r="C5624" s="76" t="s">
        <v>797</v>
      </c>
      <c r="D5624" s="79" t="s">
        <v>902</v>
      </c>
      <c r="E5624" s="79" t="s">
        <v>3166</v>
      </c>
      <c r="F5624" s="79"/>
    </row>
    <row r="5625" spans="1:6">
      <c r="A5625" s="77">
        <f t="shared" ca="1" si="548"/>
        <v>46035</v>
      </c>
      <c r="B5625" s="80">
        <f t="shared" ca="1" si="549"/>
        <v>46035.412104282404</v>
      </c>
      <c r="C5625" s="76" t="s">
        <v>797</v>
      </c>
      <c r="D5625" s="79" t="s">
        <v>902</v>
      </c>
      <c r="E5625" s="79" t="s">
        <v>3038</v>
      </c>
      <c r="F5625" s="79"/>
    </row>
    <row r="5626" spans="1:6">
      <c r="A5626" s="77">
        <f t="shared" ca="1" si="548"/>
        <v>46035</v>
      </c>
      <c r="B5626" s="80">
        <f t="shared" ca="1" si="549"/>
        <v>46035.414211689815</v>
      </c>
      <c r="C5626" s="76" t="s">
        <v>797</v>
      </c>
      <c r="D5626" s="79" t="s">
        <v>902</v>
      </c>
      <c r="E5626" s="79" t="s">
        <v>3038</v>
      </c>
      <c r="F5626" s="79"/>
    </row>
    <row r="5627" spans="1:6">
      <c r="A5627" s="77">
        <f t="shared" ca="1" si="548"/>
        <v>46035</v>
      </c>
      <c r="B5627" s="80">
        <f t="shared" ca="1" si="549"/>
        <v>46035.415635648147</v>
      </c>
      <c r="C5627" s="76" t="s">
        <v>797</v>
      </c>
      <c r="D5627" s="79" t="s">
        <v>902</v>
      </c>
      <c r="E5627" s="79" t="s">
        <v>1555</v>
      </c>
      <c r="F5627" s="79"/>
    </row>
    <row r="5628" spans="1:6">
      <c r="A5628" s="77">
        <v>45670</v>
      </c>
      <c r="B5628" s="80">
        <v>0.41944444444444445</v>
      </c>
      <c r="C5628" s="76" t="s">
        <v>797</v>
      </c>
      <c r="D5628" s="150" t="s">
        <v>1007</v>
      </c>
      <c r="E5628" s="79" t="s">
        <v>3169</v>
      </c>
      <c r="F5628" s="79"/>
    </row>
    <row r="5629" spans="1:6">
      <c r="A5629" s="77">
        <f t="shared" ca="1" si="548"/>
        <v>46035</v>
      </c>
      <c r="B5629" s="80">
        <f t="shared" ca="1" si="549"/>
        <v>46035.419226736114</v>
      </c>
      <c r="C5629" s="76" t="s">
        <v>797</v>
      </c>
      <c r="D5629" s="79" t="s">
        <v>902</v>
      </c>
      <c r="E5629" s="79" t="s">
        <v>1055</v>
      </c>
      <c r="F5629" s="79"/>
    </row>
    <row r="5630" spans="1:6">
      <c r="A5630" s="77">
        <f t="shared" ca="1" si="548"/>
        <v>46035</v>
      </c>
      <c r="B5630" s="80">
        <f t="shared" ca="1" si="549"/>
        <v>46035.419502314813</v>
      </c>
      <c r="C5630" s="76" t="s">
        <v>797</v>
      </c>
      <c r="D5630" s="79" t="s">
        <v>902</v>
      </c>
      <c r="E5630" s="79" t="s">
        <v>3038</v>
      </c>
      <c r="F5630" s="79"/>
    </row>
    <row r="5631" spans="1:6">
      <c r="A5631" s="77">
        <f t="shared" ca="1" si="548"/>
        <v>46035</v>
      </c>
      <c r="B5631" s="80">
        <f t="shared" ca="1" si="549"/>
        <v>46035.420566203706</v>
      </c>
      <c r="C5631" s="76" t="s">
        <v>797</v>
      </c>
      <c r="D5631" s="79" t="s">
        <v>902</v>
      </c>
      <c r="E5631" s="79" t="s">
        <v>3038</v>
      </c>
      <c r="F5631" s="79"/>
    </row>
    <row r="5632" spans="1:6">
      <c r="A5632" s="77">
        <f t="shared" ca="1" si="548"/>
        <v>46035</v>
      </c>
      <c r="B5632" s="80">
        <f t="shared" ca="1" si="549"/>
        <v>46035.423269444444</v>
      </c>
      <c r="C5632" s="76" t="s">
        <v>797</v>
      </c>
      <c r="D5632" s="79" t="s">
        <v>902</v>
      </c>
      <c r="E5632" s="79" t="s">
        <v>3170</v>
      </c>
      <c r="F5632" s="79"/>
    </row>
    <row r="5633" spans="1:6">
      <c r="A5633" s="77">
        <f t="shared" ca="1" si="548"/>
        <v>46035</v>
      </c>
      <c r="B5633" s="80">
        <f t="shared" ca="1" si="549"/>
        <v>46035.426330671296</v>
      </c>
      <c r="C5633" s="76" t="s">
        <v>797</v>
      </c>
      <c r="D5633" s="79" t="s">
        <v>902</v>
      </c>
      <c r="E5633" s="79" t="s">
        <v>3171</v>
      </c>
      <c r="F5633" s="79"/>
    </row>
    <row r="5634" spans="1:6">
      <c r="A5634" s="77">
        <f t="shared" ca="1" si="548"/>
        <v>46035</v>
      </c>
      <c r="B5634" s="80">
        <f t="shared" ca="1" si="549"/>
        <v>46035.428048495371</v>
      </c>
      <c r="C5634" s="76" t="s">
        <v>797</v>
      </c>
      <c r="D5634" s="79" t="s">
        <v>902</v>
      </c>
      <c r="E5634" s="79" t="s">
        <v>3172</v>
      </c>
      <c r="F5634" s="79"/>
    </row>
    <row r="5635" spans="1:6">
      <c r="A5635" s="77">
        <f t="shared" ca="1" si="548"/>
        <v>46035</v>
      </c>
      <c r="B5635" s="80">
        <f t="shared" ca="1" si="549"/>
        <v>46035.432505324075</v>
      </c>
      <c r="C5635" s="76" t="s">
        <v>797</v>
      </c>
      <c r="D5635" s="79" t="s">
        <v>902</v>
      </c>
      <c r="E5635" s="79" t="s">
        <v>1734</v>
      </c>
      <c r="F5635" s="79"/>
    </row>
    <row r="5636" spans="1:6">
      <c r="A5636" s="77">
        <f t="shared" ca="1" si="548"/>
        <v>46035</v>
      </c>
      <c r="B5636" s="80">
        <f t="shared" ca="1" si="549"/>
        <v>46035.433987037039</v>
      </c>
      <c r="C5636" s="76" t="s">
        <v>797</v>
      </c>
      <c r="D5636" s="79" t="s">
        <v>902</v>
      </c>
      <c r="E5636" s="79" t="s">
        <v>1831</v>
      </c>
      <c r="F5636" s="79"/>
    </row>
    <row r="5637" spans="1:6">
      <c r="A5637" s="77">
        <f t="shared" ca="1" si="548"/>
        <v>46035</v>
      </c>
      <c r="B5637" s="80">
        <f t="shared" ca="1" si="549"/>
        <v>46035.440277314818</v>
      </c>
      <c r="C5637" s="76" t="s">
        <v>797</v>
      </c>
      <c r="D5637" s="79" t="s">
        <v>902</v>
      </c>
      <c r="E5637" s="79" t="s">
        <v>1804</v>
      </c>
      <c r="F5637" s="79"/>
    </row>
    <row r="5638" spans="1:6">
      <c r="A5638" s="77">
        <f t="shared" ca="1" si="548"/>
        <v>46035</v>
      </c>
      <c r="B5638" s="80">
        <f t="shared" ca="1" si="549"/>
        <v>46035.443691435183</v>
      </c>
      <c r="C5638" s="76" t="s">
        <v>797</v>
      </c>
      <c r="D5638" s="79" t="s">
        <v>902</v>
      </c>
      <c r="E5638" s="79" t="s">
        <v>1734</v>
      </c>
      <c r="F5638" s="79"/>
    </row>
    <row r="5639" spans="1:6">
      <c r="A5639" s="77">
        <f t="shared" ca="1" si="548"/>
        <v>46035</v>
      </c>
      <c r="B5639" s="80">
        <f t="shared" ca="1" si="549"/>
        <v>46035.444173032411</v>
      </c>
      <c r="C5639" s="76" t="s">
        <v>797</v>
      </c>
      <c r="D5639" s="79" t="s">
        <v>902</v>
      </c>
      <c r="E5639" s="79" t="s">
        <v>3038</v>
      </c>
      <c r="F5639" s="79"/>
    </row>
    <row r="5640" spans="1:6">
      <c r="A5640" s="77">
        <f t="shared" ca="1" si="548"/>
        <v>46035</v>
      </c>
      <c r="B5640" s="80">
        <f t="shared" ca="1" si="549"/>
        <v>46035.447908333335</v>
      </c>
      <c r="C5640" s="76" t="s">
        <v>797</v>
      </c>
      <c r="D5640" s="79" t="s">
        <v>902</v>
      </c>
      <c r="E5640" s="79" t="s">
        <v>3173</v>
      </c>
      <c r="F5640" s="79"/>
    </row>
    <row r="5641" spans="1:6">
      <c r="A5641" s="77">
        <f t="shared" ca="1" si="548"/>
        <v>46035</v>
      </c>
      <c r="B5641" s="80">
        <f t="shared" ca="1" si="549"/>
        <v>46035.457272337961</v>
      </c>
      <c r="C5641" s="76" t="s">
        <v>797</v>
      </c>
      <c r="D5641" s="79" t="s">
        <v>902</v>
      </c>
      <c r="E5641" s="79" t="s">
        <v>3038</v>
      </c>
      <c r="F5641" s="79"/>
    </row>
    <row r="5642" spans="1:6">
      <c r="A5642" s="77">
        <f t="shared" ca="1" si="548"/>
        <v>46035</v>
      </c>
      <c r="B5642" s="80">
        <f t="shared" ca="1" si="549"/>
        <v>46035.461903009258</v>
      </c>
      <c r="C5642" s="76" t="s">
        <v>797</v>
      </c>
      <c r="D5642" s="79" t="s">
        <v>902</v>
      </c>
      <c r="E5642" s="79" t="s">
        <v>3174</v>
      </c>
      <c r="F5642" s="79"/>
    </row>
    <row r="5643" spans="1:6">
      <c r="A5643" s="77">
        <f t="shared" ca="1" si="548"/>
        <v>46035</v>
      </c>
      <c r="B5643" s="80">
        <f t="shared" ca="1" si="549"/>
        <v>46035.463115393519</v>
      </c>
      <c r="C5643" s="76" t="s">
        <v>797</v>
      </c>
      <c r="D5643" s="79" t="s">
        <v>902</v>
      </c>
      <c r="E5643" s="79" t="s">
        <v>1229</v>
      </c>
      <c r="F5643" s="79"/>
    </row>
    <row r="5644" spans="1:6">
      <c r="A5644" s="77">
        <f t="shared" ca="1" si="548"/>
        <v>46035</v>
      </c>
      <c r="B5644" s="80">
        <f t="shared" ca="1" si="549"/>
        <v>46035.463747453701</v>
      </c>
      <c r="C5644" s="76" t="s">
        <v>797</v>
      </c>
      <c r="D5644" s="79" t="s">
        <v>902</v>
      </c>
      <c r="E5644" s="79" t="s">
        <v>3175</v>
      </c>
      <c r="F5644" s="79"/>
    </row>
    <row r="5645" spans="1:6">
      <c r="A5645" s="77">
        <f t="shared" ca="1" si="548"/>
        <v>46035</v>
      </c>
      <c r="B5645" s="80">
        <f t="shared" ca="1" si="549"/>
        <v>46035.468479398151</v>
      </c>
      <c r="C5645" s="76" t="s">
        <v>797</v>
      </c>
      <c r="D5645" s="79" t="s">
        <v>902</v>
      </c>
      <c r="E5645" s="79" t="s">
        <v>1583</v>
      </c>
      <c r="F5645" s="79"/>
    </row>
    <row r="5646" spans="1:6">
      <c r="A5646" s="77">
        <f t="shared" ca="1" si="548"/>
        <v>46035</v>
      </c>
      <c r="B5646" s="80">
        <f t="shared" ca="1" si="549"/>
        <v>46035.472035185187</v>
      </c>
      <c r="C5646" s="76" t="s">
        <v>797</v>
      </c>
      <c r="D5646" s="150" t="s">
        <v>1007</v>
      </c>
      <c r="E5646" s="79" t="s">
        <v>1267</v>
      </c>
      <c r="F5646" s="79"/>
    </row>
    <row r="5647" spans="1:6">
      <c r="A5647" s="77">
        <f t="shared" ca="1" si="548"/>
        <v>46035</v>
      </c>
      <c r="B5647" s="80">
        <f t="shared" ca="1" si="549"/>
        <v>46035.48130324074</v>
      </c>
      <c r="C5647" s="76" t="s">
        <v>797</v>
      </c>
      <c r="D5647" s="79" t="s">
        <v>902</v>
      </c>
      <c r="E5647" s="79" t="s">
        <v>1275</v>
      </c>
      <c r="F5647" s="79"/>
    </row>
    <row r="5648" spans="1:6">
      <c r="A5648" s="77">
        <f t="shared" ref="A5648:A5705" ca="1" si="550">IF(C5648&lt;&gt;0,IF(A5648=0,TODAY(),A5648),)</f>
        <v>46035</v>
      </c>
      <c r="B5648" s="80">
        <f t="shared" ref="B5648:B5705" ca="1" si="551">IF(C5648&lt;&gt;0,IF(B5648=0,NOW(),B5648),)</f>
        <v>46035.483494560183</v>
      </c>
      <c r="C5648" s="76" t="s">
        <v>797</v>
      </c>
      <c r="D5648" s="79" t="s">
        <v>902</v>
      </c>
      <c r="E5648" s="79" t="s">
        <v>3176</v>
      </c>
      <c r="F5648" s="79"/>
    </row>
    <row r="5649" spans="1:6">
      <c r="A5649" s="77">
        <f t="shared" ca="1" si="550"/>
        <v>46035</v>
      </c>
      <c r="B5649" s="80">
        <f t="shared" ca="1" si="551"/>
        <v>46035.496594675926</v>
      </c>
      <c r="C5649" s="76" t="s">
        <v>797</v>
      </c>
      <c r="D5649" s="79" t="s">
        <v>902</v>
      </c>
      <c r="E5649" s="79" t="s">
        <v>3177</v>
      </c>
      <c r="F5649" s="79"/>
    </row>
    <row r="5650" spans="1:6">
      <c r="A5650" s="77">
        <f t="shared" ca="1" si="550"/>
        <v>46035</v>
      </c>
      <c r="B5650" s="80">
        <f t="shared" ca="1" si="551"/>
        <v>46035.511865856482</v>
      </c>
      <c r="C5650" s="76" t="s">
        <v>797</v>
      </c>
      <c r="D5650" s="150" t="s">
        <v>1007</v>
      </c>
      <c r="E5650" s="79" t="s">
        <v>1267</v>
      </c>
      <c r="F5650" s="79"/>
    </row>
    <row r="5651" spans="1:6">
      <c r="A5651" s="77">
        <f t="shared" ca="1" si="550"/>
        <v>46035</v>
      </c>
      <c r="B5651" s="80">
        <f t="shared" ca="1" si="551"/>
        <v>46035.518295486108</v>
      </c>
      <c r="C5651" s="76" t="s">
        <v>797</v>
      </c>
      <c r="D5651" s="79" t="s">
        <v>902</v>
      </c>
      <c r="E5651" s="79" t="s">
        <v>3178</v>
      </c>
      <c r="F5651" s="79"/>
    </row>
    <row r="5652" spans="1:6">
      <c r="A5652" s="77">
        <f t="shared" ca="1" si="550"/>
        <v>46035</v>
      </c>
      <c r="B5652" s="80">
        <f t="shared" ca="1" si="551"/>
        <v>46035.527442129627</v>
      </c>
      <c r="C5652" s="76" t="s">
        <v>797</v>
      </c>
      <c r="D5652" s="79" t="s">
        <v>902</v>
      </c>
      <c r="E5652" s="79" t="s">
        <v>942</v>
      </c>
      <c r="F5652" s="79"/>
    </row>
    <row r="5653" spans="1:6">
      <c r="A5653" s="77">
        <f t="shared" ca="1" si="550"/>
        <v>46035</v>
      </c>
      <c r="B5653" s="80">
        <f t="shared" ca="1" si="551"/>
        <v>46035.528256481484</v>
      </c>
      <c r="C5653" s="76" t="s">
        <v>797</v>
      </c>
      <c r="D5653" s="79" t="s">
        <v>902</v>
      </c>
      <c r="E5653" s="79" t="s">
        <v>942</v>
      </c>
      <c r="F5653" s="79"/>
    </row>
    <row r="5654" spans="1:6">
      <c r="A5654" s="77">
        <f t="shared" ca="1" si="550"/>
        <v>46035</v>
      </c>
      <c r="B5654" s="80">
        <f t="shared" ca="1" si="551"/>
        <v>46035.529519328702</v>
      </c>
      <c r="C5654" s="76" t="s">
        <v>797</v>
      </c>
      <c r="D5654" s="79" t="s">
        <v>902</v>
      </c>
      <c r="E5654" s="79" t="s">
        <v>1831</v>
      </c>
      <c r="F5654" s="79"/>
    </row>
    <row r="5655" spans="1:6">
      <c r="A5655" s="77">
        <f t="shared" ca="1" si="550"/>
        <v>46035</v>
      </c>
      <c r="B5655" s="80">
        <f t="shared" ca="1" si="551"/>
        <v>46035.530770949073</v>
      </c>
      <c r="C5655" s="76" t="s">
        <v>797</v>
      </c>
      <c r="D5655" s="79" t="s">
        <v>902</v>
      </c>
      <c r="E5655" s="79" t="s">
        <v>1026</v>
      </c>
      <c r="F5655" s="79"/>
    </row>
    <row r="5656" spans="1:6">
      <c r="A5656" s="77">
        <f t="shared" ca="1" si="550"/>
        <v>46035</v>
      </c>
      <c r="B5656" s="80">
        <f t="shared" ca="1" si="551"/>
        <v>46035.54250127315</v>
      </c>
      <c r="C5656" s="76" t="s">
        <v>797</v>
      </c>
      <c r="D5656" s="79" t="s">
        <v>902</v>
      </c>
      <c r="E5656" s="79" t="s">
        <v>1734</v>
      </c>
      <c r="F5656" s="79"/>
    </row>
    <row r="5657" spans="1:6">
      <c r="A5657" s="77">
        <f t="shared" ca="1" si="550"/>
        <v>46035</v>
      </c>
      <c r="B5657" s="80">
        <f t="shared" ca="1" si="551"/>
        <v>46035.543236921294</v>
      </c>
      <c r="C5657" s="76" t="s">
        <v>797</v>
      </c>
      <c r="D5657" s="79" t="s">
        <v>902</v>
      </c>
      <c r="E5657" s="79" t="s">
        <v>3179</v>
      </c>
      <c r="F5657" s="79"/>
    </row>
    <row r="5658" spans="1:6">
      <c r="A5658" s="77">
        <f t="shared" ca="1" si="550"/>
        <v>46035</v>
      </c>
      <c r="B5658" s="80">
        <f t="shared" ca="1" si="551"/>
        <v>46035.544247453705</v>
      </c>
      <c r="C5658" s="76" t="s">
        <v>797</v>
      </c>
      <c r="D5658" s="79" t="s">
        <v>902</v>
      </c>
      <c r="E5658" s="79" t="s">
        <v>1734</v>
      </c>
      <c r="F5658" s="79"/>
    </row>
    <row r="5659" spans="1:6">
      <c r="A5659" s="77">
        <f t="shared" ca="1" si="550"/>
        <v>46035</v>
      </c>
      <c r="B5659" s="80">
        <f t="shared" ca="1" si="551"/>
        <v>46035.544415509263</v>
      </c>
      <c r="C5659" s="76" t="s">
        <v>797</v>
      </c>
      <c r="D5659" s="79" t="s">
        <v>902</v>
      </c>
      <c r="E5659" s="79" t="s">
        <v>1864</v>
      </c>
      <c r="F5659" s="79"/>
    </row>
    <row r="5660" spans="1:6">
      <c r="A5660" s="77">
        <f t="shared" ca="1" si="550"/>
        <v>46035</v>
      </c>
      <c r="B5660" s="80">
        <f t="shared" ca="1" si="551"/>
        <v>46035.54798275463</v>
      </c>
      <c r="C5660" s="76" t="s">
        <v>797</v>
      </c>
      <c r="D5660" s="210" t="s">
        <v>922</v>
      </c>
      <c r="E5660" s="79"/>
      <c r="F5660" s="79"/>
    </row>
    <row r="5661" spans="1:6" s="150" customFormat="1">
      <c r="A5661" s="151">
        <v>45670</v>
      </c>
      <c r="B5661" s="149">
        <f t="shared" ca="1" si="551"/>
        <v>46035.564399305556</v>
      </c>
      <c r="C5661" s="150" t="s">
        <v>797</v>
      </c>
      <c r="D5661" s="210" t="s">
        <v>1098</v>
      </c>
    </row>
    <row r="5662" spans="1:6" s="150" customFormat="1">
      <c r="A5662" s="151">
        <f t="shared" ca="1" si="550"/>
        <v>46035</v>
      </c>
      <c r="B5662" s="149">
        <f t="shared" ca="1" si="551"/>
        <v>46035.619549305557</v>
      </c>
      <c r="C5662" s="150" t="s">
        <v>801</v>
      </c>
      <c r="D5662" s="210" t="s">
        <v>906</v>
      </c>
    </row>
    <row r="5663" spans="1:6">
      <c r="A5663" s="77">
        <v>46035</v>
      </c>
      <c r="B5663" s="80">
        <f t="shared" ca="1" si="551"/>
        <v>46035.646023842593</v>
      </c>
      <c r="C5663" s="76" t="s">
        <v>801</v>
      </c>
      <c r="D5663" s="210" t="s">
        <v>909</v>
      </c>
      <c r="E5663" s="79"/>
      <c r="F5663" s="79"/>
    </row>
    <row r="5664" spans="1:6">
      <c r="A5664" s="77">
        <v>46035</v>
      </c>
      <c r="B5664" s="80">
        <f t="shared" ca="1" si="551"/>
        <v>46035.651423148149</v>
      </c>
      <c r="C5664" s="76" t="s">
        <v>801</v>
      </c>
      <c r="D5664" s="79" t="s">
        <v>902</v>
      </c>
      <c r="E5664" s="79" t="s">
        <v>920</v>
      </c>
      <c r="F5664" s="79"/>
    </row>
    <row r="5665" spans="1:6">
      <c r="A5665" s="77">
        <v>46035</v>
      </c>
      <c r="B5665" s="80">
        <f t="shared" ca="1" si="551"/>
        <v>46035.665505555553</v>
      </c>
      <c r="C5665" s="76" t="s">
        <v>801</v>
      </c>
      <c r="D5665" s="79" t="s">
        <v>902</v>
      </c>
      <c r="E5665" s="79" t="s">
        <v>3180</v>
      </c>
      <c r="F5665" s="79"/>
    </row>
    <row r="5666" spans="1:6">
      <c r="A5666" s="77">
        <v>46035</v>
      </c>
      <c r="B5666" s="80">
        <f t="shared" ca="1" si="551"/>
        <v>46035.688144675929</v>
      </c>
      <c r="C5666" s="76" t="s">
        <v>801</v>
      </c>
      <c r="D5666" s="79" t="s">
        <v>902</v>
      </c>
      <c r="E5666" s="79" t="s">
        <v>3038</v>
      </c>
      <c r="F5666" s="79"/>
    </row>
    <row r="5667" spans="1:6">
      <c r="A5667" s="77">
        <v>46035</v>
      </c>
      <c r="B5667" s="80">
        <f t="shared" ca="1" si="551"/>
        <v>46035.699480208335</v>
      </c>
      <c r="C5667" s="76" t="s">
        <v>801</v>
      </c>
      <c r="D5667" s="79" t="s">
        <v>902</v>
      </c>
      <c r="E5667" s="79" t="s">
        <v>1831</v>
      </c>
      <c r="F5667" s="79"/>
    </row>
    <row r="5668" spans="1:6">
      <c r="A5668" s="77">
        <v>46035</v>
      </c>
      <c r="B5668" s="80">
        <f t="shared" ca="1" si="551"/>
        <v>46035.713744444445</v>
      </c>
      <c r="C5668" s="76" t="s">
        <v>801</v>
      </c>
      <c r="D5668" s="79" t="s">
        <v>902</v>
      </c>
      <c r="E5668" s="79" t="s">
        <v>1375</v>
      </c>
      <c r="F5668" s="79"/>
    </row>
    <row r="5669" spans="1:6">
      <c r="A5669" s="77">
        <v>46035</v>
      </c>
      <c r="B5669" s="80">
        <f t="shared" ca="1" si="551"/>
        <v>46035.714368749999</v>
      </c>
      <c r="C5669" s="76" t="s">
        <v>801</v>
      </c>
      <c r="D5669" s="79" t="s">
        <v>902</v>
      </c>
      <c r="E5669" s="79" t="s">
        <v>3181</v>
      </c>
      <c r="F5669" s="79"/>
    </row>
    <row r="5670" spans="1:6">
      <c r="A5670" s="77">
        <v>46035</v>
      </c>
      <c r="B5670" s="80">
        <f t="shared" ca="1" si="551"/>
        <v>46035.714831712961</v>
      </c>
      <c r="C5670" s="76" t="s">
        <v>801</v>
      </c>
      <c r="D5670" s="79" t="s">
        <v>902</v>
      </c>
      <c r="E5670" s="79" t="s">
        <v>1734</v>
      </c>
      <c r="F5670" s="79"/>
    </row>
    <row r="5671" spans="1:6">
      <c r="A5671" s="77">
        <v>46035</v>
      </c>
      <c r="B5671" s="80">
        <f t="shared" ca="1" si="551"/>
        <v>46035.717012615743</v>
      </c>
      <c r="C5671" s="76" t="s">
        <v>801</v>
      </c>
      <c r="D5671" s="79" t="s">
        <v>902</v>
      </c>
      <c r="E5671" s="79" t="s">
        <v>3182</v>
      </c>
      <c r="F5671" s="79"/>
    </row>
    <row r="5672" spans="1:6">
      <c r="A5672" s="77">
        <v>46035</v>
      </c>
      <c r="B5672" s="80">
        <f t="shared" ca="1" si="551"/>
        <v>46035.720843055555</v>
      </c>
      <c r="C5672" s="76" t="s">
        <v>801</v>
      </c>
      <c r="D5672" s="79" t="s">
        <v>902</v>
      </c>
      <c r="E5672" s="79" t="s">
        <v>920</v>
      </c>
      <c r="F5672" s="79"/>
    </row>
    <row r="5673" spans="1:6">
      <c r="A5673" s="77">
        <v>46035</v>
      </c>
      <c r="B5673" s="80">
        <f t="shared" ca="1" si="551"/>
        <v>46035.72100636574</v>
      </c>
      <c r="C5673" s="76" t="s">
        <v>801</v>
      </c>
      <c r="D5673" s="79" t="s">
        <v>902</v>
      </c>
      <c r="E5673" s="79" t="s">
        <v>3183</v>
      </c>
      <c r="F5673" s="79"/>
    </row>
    <row r="5674" spans="1:6">
      <c r="A5674" s="77">
        <v>46035</v>
      </c>
      <c r="B5674" s="80">
        <f t="shared" ca="1" si="551"/>
        <v>46035.724238425923</v>
      </c>
      <c r="C5674" s="76" t="s">
        <v>801</v>
      </c>
      <c r="D5674" s="79" t="s">
        <v>902</v>
      </c>
      <c r="E5674" s="79" t="s">
        <v>3184</v>
      </c>
      <c r="F5674" s="79"/>
    </row>
    <row r="5675" spans="1:6">
      <c r="A5675" s="77">
        <v>46035</v>
      </c>
      <c r="B5675" s="80">
        <f t="shared" ca="1" si="551"/>
        <v>46035.730179745369</v>
      </c>
      <c r="C5675" s="76" t="s">
        <v>801</v>
      </c>
      <c r="D5675" s="150" t="s">
        <v>1007</v>
      </c>
      <c r="E5675" s="79" t="s">
        <v>3185</v>
      </c>
      <c r="F5675" s="79"/>
    </row>
    <row r="5676" spans="1:6">
      <c r="A5676" s="77">
        <v>46035</v>
      </c>
      <c r="B5676" s="80">
        <f t="shared" ca="1" si="551"/>
        <v>46035.733783796299</v>
      </c>
      <c r="C5676" s="76" t="s">
        <v>801</v>
      </c>
      <c r="D5676" s="79" t="s">
        <v>902</v>
      </c>
      <c r="E5676" s="79" t="s">
        <v>955</v>
      </c>
      <c r="F5676" s="79"/>
    </row>
    <row r="5677" spans="1:6">
      <c r="A5677" s="77">
        <v>46035</v>
      </c>
      <c r="B5677" s="80">
        <f t="shared" ca="1" si="551"/>
        <v>46035.733920023151</v>
      </c>
      <c r="C5677" s="76" t="s">
        <v>801</v>
      </c>
      <c r="D5677" s="79" t="s">
        <v>902</v>
      </c>
      <c r="E5677" s="79" t="s">
        <v>1734</v>
      </c>
      <c r="F5677" s="79"/>
    </row>
    <row r="5678" spans="1:6">
      <c r="A5678" s="77">
        <v>46035</v>
      </c>
      <c r="B5678" s="80">
        <f t="shared" ca="1" si="551"/>
        <v>46035.753976388885</v>
      </c>
      <c r="C5678" s="76" t="s">
        <v>801</v>
      </c>
      <c r="D5678" s="79" t="s">
        <v>902</v>
      </c>
      <c r="E5678" s="79" t="s">
        <v>1734</v>
      </c>
      <c r="F5678" s="79"/>
    </row>
    <row r="5679" spans="1:6">
      <c r="A5679" s="77">
        <v>46035</v>
      </c>
      <c r="B5679" s="80">
        <f t="shared" ca="1" si="551"/>
        <v>46035.757202893517</v>
      </c>
      <c r="C5679" s="76" t="s">
        <v>801</v>
      </c>
      <c r="D5679" s="79" t="s">
        <v>902</v>
      </c>
      <c r="E5679" s="79" t="s">
        <v>3186</v>
      </c>
      <c r="F5679" s="79"/>
    </row>
    <row r="5680" spans="1:6">
      <c r="A5680" s="77">
        <v>46035</v>
      </c>
      <c r="B5680" s="80">
        <f t="shared" ca="1" si="551"/>
        <v>46035.758868634257</v>
      </c>
      <c r="C5680" s="76" t="s">
        <v>801</v>
      </c>
      <c r="D5680" s="79" t="s">
        <v>902</v>
      </c>
      <c r="E5680" s="79" t="s">
        <v>955</v>
      </c>
      <c r="F5680" s="79"/>
    </row>
    <row r="5681" spans="1:6">
      <c r="A5681" s="77">
        <v>46035</v>
      </c>
      <c r="B5681" s="80">
        <f t="shared" ca="1" si="551"/>
        <v>46035.759523611108</v>
      </c>
      <c r="C5681" s="76" t="s">
        <v>801</v>
      </c>
      <c r="D5681" s="79" t="s">
        <v>902</v>
      </c>
      <c r="E5681" s="79" t="s">
        <v>3187</v>
      </c>
      <c r="F5681" s="79"/>
    </row>
    <row r="5682" spans="1:6">
      <c r="A5682" s="77">
        <v>46035</v>
      </c>
      <c r="B5682" s="80">
        <f t="shared" ca="1" si="551"/>
        <v>46035.770942592593</v>
      </c>
      <c r="C5682" s="76" t="s">
        <v>801</v>
      </c>
      <c r="D5682" s="79" t="s">
        <v>902</v>
      </c>
      <c r="E5682" s="79" t="s">
        <v>955</v>
      </c>
      <c r="F5682" s="79"/>
    </row>
    <row r="5683" spans="1:6">
      <c r="A5683" s="77">
        <v>46035</v>
      </c>
      <c r="B5683" s="80">
        <f t="shared" ca="1" si="551"/>
        <v>46035.770942592593</v>
      </c>
      <c r="C5683" s="76" t="s">
        <v>801</v>
      </c>
      <c r="D5683" s="79" t="s">
        <v>902</v>
      </c>
      <c r="E5683" s="79" t="s">
        <v>1844</v>
      </c>
      <c r="F5683" s="79"/>
    </row>
    <row r="5684" spans="1:6">
      <c r="A5684" s="77">
        <v>46035</v>
      </c>
      <c r="B5684" s="80">
        <f t="shared" ca="1" si="551"/>
        <v>46035.773726736108</v>
      </c>
      <c r="C5684" s="76" t="s">
        <v>801</v>
      </c>
      <c r="D5684" s="79" t="s">
        <v>902</v>
      </c>
      <c r="E5684" s="79" t="s">
        <v>2140</v>
      </c>
      <c r="F5684" s="79"/>
    </row>
    <row r="5685" spans="1:6">
      <c r="A5685" s="77">
        <v>46035</v>
      </c>
      <c r="B5685" s="80">
        <f t="shared" ca="1" si="551"/>
        <v>46035.775118750003</v>
      </c>
      <c r="C5685" s="76" t="s">
        <v>801</v>
      </c>
      <c r="D5685" s="79" t="s">
        <v>902</v>
      </c>
      <c r="E5685" s="79" t="s">
        <v>1734</v>
      </c>
      <c r="F5685" s="79"/>
    </row>
    <row r="5686" spans="1:6">
      <c r="A5686" s="77">
        <v>46035</v>
      </c>
      <c r="B5686" s="80">
        <f t="shared" ca="1" si="551"/>
        <v>46035.779291435188</v>
      </c>
      <c r="C5686" s="76" t="s">
        <v>801</v>
      </c>
      <c r="D5686" s="79" t="s">
        <v>902</v>
      </c>
      <c r="E5686" s="79" t="s">
        <v>1504</v>
      </c>
      <c r="F5686" s="79"/>
    </row>
    <row r="5687" spans="1:6">
      <c r="A5687" s="77">
        <v>46035</v>
      </c>
      <c r="B5687" s="80">
        <f t="shared" ca="1" si="551"/>
        <v>46035.789035185182</v>
      </c>
      <c r="C5687" s="76" t="s">
        <v>801</v>
      </c>
      <c r="D5687" s="79" t="s">
        <v>902</v>
      </c>
      <c r="E5687" s="79" t="s">
        <v>3188</v>
      </c>
      <c r="F5687" s="79"/>
    </row>
    <row r="5688" spans="1:6">
      <c r="A5688" s="77">
        <v>46035</v>
      </c>
      <c r="B5688" s="80">
        <f t="shared" ca="1" si="551"/>
        <v>46035.789035185182</v>
      </c>
      <c r="C5688" s="76" t="s">
        <v>801</v>
      </c>
      <c r="D5688" s="79" t="s">
        <v>902</v>
      </c>
      <c r="E5688" s="79" t="s">
        <v>955</v>
      </c>
      <c r="F5688" s="79"/>
    </row>
    <row r="5689" spans="1:6">
      <c r="A5689" s="77">
        <v>46035</v>
      </c>
      <c r="B5689" s="80">
        <f t="shared" ca="1" si="551"/>
        <v>46035.789035185182</v>
      </c>
      <c r="C5689" s="76" t="s">
        <v>801</v>
      </c>
      <c r="D5689" s="79" t="s">
        <v>902</v>
      </c>
      <c r="E5689" s="79" t="s">
        <v>932</v>
      </c>
      <c r="F5689" s="79"/>
    </row>
    <row r="5690" spans="1:6">
      <c r="A5690" s="77">
        <v>46035</v>
      </c>
      <c r="B5690" s="80">
        <f t="shared" ca="1" si="551"/>
        <v>46035.790424421299</v>
      </c>
      <c r="C5690" s="76" t="s">
        <v>801</v>
      </c>
      <c r="D5690" s="79" t="s">
        <v>902</v>
      </c>
      <c r="E5690" s="79" t="s">
        <v>941</v>
      </c>
      <c r="F5690" s="79"/>
    </row>
    <row r="5691" spans="1:6">
      <c r="A5691" s="77">
        <f t="shared" ca="1" si="550"/>
        <v>46035</v>
      </c>
      <c r="B5691" s="80">
        <f t="shared" ca="1" si="551"/>
        <v>46035.793206828705</v>
      </c>
      <c r="C5691" s="76" t="s">
        <v>801</v>
      </c>
      <c r="D5691" s="79" t="s">
        <v>902</v>
      </c>
      <c r="E5691" s="79" t="s">
        <v>955</v>
      </c>
      <c r="F5691" s="79"/>
    </row>
    <row r="5692" spans="1:6">
      <c r="A5692" s="77">
        <f t="shared" ca="1" si="550"/>
        <v>46035</v>
      </c>
      <c r="B5692" s="80">
        <f t="shared" ca="1" si="551"/>
        <v>46035.793206828705</v>
      </c>
      <c r="C5692" s="76" t="s">
        <v>801</v>
      </c>
      <c r="D5692" s="79" t="s">
        <v>902</v>
      </c>
      <c r="E5692" s="79" t="s">
        <v>1026</v>
      </c>
      <c r="F5692" s="79"/>
    </row>
    <row r="5693" spans="1:6">
      <c r="A5693" s="77">
        <f t="shared" ca="1" si="550"/>
        <v>46035</v>
      </c>
      <c r="B5693" s="80">
        <f t="shared" ca="1" si="551"/>
        <v>46035.794598263892</v>
      </c>
      <c r="C5693" s="76" t="s">
        <v>801</v>
      </c>
      <c r="D5693" s="79" t="s">
        <v>902</v>
      </c>
      <c r="E5693" s="79" t="s">
        <v>955</v>
      </c>
      <c r="F5693" s="79"/>
    </row>
    <row r="5694" spans="1:6">
      <c r="A5694" s="77">
        <f t="shared" ca="1" si="550"/>
        <v>46035</v>
      </c>
      <c r="B5694" s="80">
        <f t="shared" ca="1" si="551"/>
        <v>46035.794598263892</v>
      </c>
      <c r="C5694" s="76" t="s">
        <v>801</v>
      </c>
      <c r="D5694" s="79" t="s">
        <v>902</v>
      </c>
      <c r="E5694" s="79" t="s">
        <v>1837</v>
      </c>
      <c r="F5694" s="79"/>
    </row>
    <row r="5695" spans="1:6">
      <c r="A5695" s="77">
        <f t="shared" ca="1" si="550"/>
        <v>46035</v>
      </c>
      <c r="B5695" s="80">
        <f t="shared" ca="1" si="551"/>
        <v>46035.794598263892</v>
      </c>
      <c r="C5695" s="76" t="s">
        <v>801</v>
      </c>
      <c r="D5695" s="79" t="s">
        <v>902</v>
      </c>
      <c r="E5695" s="79" t="s">
        <v>1734</v>
      </c>
      <c r="F5695" s="79"/>
    </row>
    <row r="5696" spans="1:6">
      <c r="A5696" s="77">
        <f t="shared" ca="1" si="550"/>
        <v>46035</v>
      </c>
      <c r="B5696" s="80">
        <f t="shared" ca="1" si="551"/>
        <v>46035.794598263892</v>
      </c>
      <c r="C5696" s="76" t="s">
        <v>801</v>
      </c>
      <c r="D5696" s="79" t="s">
        <v>902</v>
      </c>
      <c r="E5696" s="79" t="s">
        <v>932</v>
      </c>
      <c r="F5696" s="79"/>
    </row>
    <row r="5697" spans="1:6">
      <c r="A5697" s="77">
        <f t="shared" ca="1" si="550"/>
        <v>46035</v>
      </c>
      <c r="B5697" s="80">
        <f t="shared" ca="1" si="551"/>
        <v>46035.794598263892</v>
      </c>
      <c r="C5697" s="76" t="s">
        <v>801</v>
      </c>
      <c r="D5697" s="79" t="s">
        <v>902</v>
      </c>
      <c r="E5697" s="79" t="s">
        <v>3189</v>
      </c>
      <c r="F5697" s="79"/>
    </row>
    <row r="5698" spans="1:6">
      <c r="A5698" s="77">
        <f t="shared" ca="1" si="550"/>
        <v>46035</v>
      </c>
      <c r="B5698" s="80">
        <f t="shared" ca="1" si="551"/>
        <v>46035.795989930557</v>
      </c>
      <c r="C5698" s="76" t="s">
        <v>801</v>
      </c>
      <c r="D5698" s="79" t="s">
        <v>902</v>
      </c>
      <c r="E5698" s="79" t="s">
        <v>932</v>
      </c>
      <c r="F5698" s="79"/>
    </row>
    <row r="5699" spans="1:6">
      <c r="A5699" s="77">
        <f t="shared" ca="1" si="550"/>
        <v>46035</v>
      </c>
      <c r="B5699" s="80">
        <f t="shared" ca="1" si="551"/>
        <v>46035.795989930557</v>
      </c>
      <c r="C5699" s="76" t="s">
        <v>801</v>
      </c>
      <c r="D5699" s="79" t="s">
        <v>902</v>
      </c>
      <c r="E5699" s="79" t="s">
        <v>932</v>
      </c>
      <c r="F5699" s="79"/>
    </row>
    <row r="5700" spans="1:6">
      <c r="A5700" s="77">
        <f t="shared" ca="1" si="550"/>
        <v>46035</v>
      </c>
      <c r="B5700" s="80">
        <f t="shared" ca="1" si="551"/>
        <v>46035.795989930557</v>
      </c>
      <c r="C5700" s="76" t="s">
        <v>801</v>
      </c>
      <c r="D5700" s="79" t="s">
        <v>902</v>
      </c>
      <c r="E5700" s="79" t="s">
        <v>932</v>
      </c>
      <c r="F5700" s="79"/>
    </row>
    <row r="5701" spans="1:6">
      <c r="A5701" s="77">
        <f t="shared" ca="1" si="550"/>
        <v>46035</v>
      </c>
      <c r="B5701" s="80">
        <f t="shared" ca="1" si="551"/>
        <v>46035.795989930557</v>
      </c>
      <c r="C5701" s="76" t="s">
        <v>801</v>
      </c>
      <c r="D5701" s="79" t="s">
        <v>902</v>
      </c>
      <c r="E5701" s="79" t="s">
        <v>955</v>
      </c>
      <c r="F5701" s="79"/>
    </row>
    <row r="5702" spans="1:6">
      <c r="A5702" s="77">
        <f t="shared" ca="1" si="550"/>
        <v>46035</v>
      </c>
      <c r="B5702" s="80">
        <f t="shared" ca="1" si="551"/>
        <v>46035.797380671298</v>
      </c>
      <c r="C5702" s="76" t="s">
        <v>801</v>
      </c>
      <c r="D5702" s="79" t="s">
        <v>902</v>
      </c>
      <c r="E5702" s="79" t="s">
        <v>955</v>
      </c>
      <c r="F5702" s="79"/>
    </row>
    <row r="5703" spans="1:6">
      <c r="A5703" s="77">
        <f t="shared" ca="1" si="550"/>
        <v>46035</v>
      </c>
      <c r="B5703" s="80">
        <f t="shared" ca="1" si="551"/>
        <v>46035.797380671298</v>
      </c>
      <c r="C5703" s="76" t="s">
        <v>801</v>
      </c>
      <c r="D5703" s="79" t="s">
        <v>902</v>
      </c>
      <c r="E5703" s="79" t="s">
        <v>932</v>
      </c>
      <c r="F5703" s="79"/>
    </row>
    <row r="5704" spans="1:6">
      <c r="A5704" s="77">
        <f t="shared" ca="1" si="550"/>
        <v>46035</v>
      </c>
      <c r="B5704" s="80">
        <f t="shared" ca="1" si="551"/>
        <v>46035.798772453702</v>
      </c>
      <c r="C5704" s="76" t="s">
        <v>801</v>
      </c>
      <c r="D5704" s="210" t="s">
        <v>922</v>
      </c>
      <c r="E5704" s="79"/>
      <c r="F5704" s="79"/>
    </row>
    <row r="5705" spans="1:6" s="150" customFormat="1">
      <c r="A5705" s="151">
        <f t="shared" ca="1" si="550"/>
        <v>46035</v>
      </c>
      <c r="B5705" s="149">
        <f t="shared" ca="1" si="551"/>
        <v>46035.813070138887</v>
      </c>
      <c r="C5705" s="150" t="s">
        <v>801</v>
      </c>
      <c r="D5705" s="210" t="s">
        <v>1098</v>
      </c>
    </row>
    <row r="5706" spans="1:6" s="150" customFormat="1">
      <c r="A5706" s="151">
        <f t="shared" ref="A5706:A5768" ca="1" si="552">IF(C5706&lt;&gt;0,IF(A5706=0,TODAY(),A5706),)</f>
        <v>46035</v>
      </c>
      <c r="B5706" s="149">
        <f t="shared" ref="B5706:B5768" ca="1" si="553">IF(C5706&lt;&gt;0,IF(B5706=0,NOW(),B5706),)</f>
        <v>46035.872292824075</v>
      </c>
      <c r="C5706" s="150" t="s">
        <v>805</v>
      </c>
      <c r="D5706" s="210" t="s">
        <v>906</v>
      </c>
    </row>
    <row r="5707" spans="1:6">
      <c r="A5707" s="77">
        <f t="shared" ca="1" si="552"/>
        <v>46035</v>
      </c>
      <c r="B5707" s="80">
        <f t="shared" ca="1" si="553"/>
        <v>46035.911910532406</v>
      </c>
      <c r="C5707" s="76" t="s">
        <v>805</v>
      </c>
      <c r="D5707" s="210" t="s">
        <v>909</v>
      </c>
      <c r="E5707" s="79"/>
      <c r="F5707" s="79"/>
    </row>
    <row r="5708" spans="1:6">
      <c r="A5708" s="77">
        <f t="shared" ca="1" si="552"/>
        <v>46035</v>
      </c>
      <c r="B5708" s="80">
        <f t="shared" ca="1" si="553"/>
        <v>46035.916584143517</v>
      </c>
      <c r="C5708" s="76" t="s">
        <v>805</v>
      </c>
      <c r="D5708" s="79" t="s">
        <v>902</v>
      </c>
      <c r="E5708" s="79" t="s">
        <v>1522</v>
      </c>
      <c r="F5708" s="79"/>
    </row>
    <row r="5709" spans="1:6">
      <c r="A5709" s="77">
        <f t="shared" ca="1" si="552"/>
        <v>46035</v>
      </c>
      <c r="B5709" s="80">
        <f t="shared" ca="1" si="553"/>
        <v>46035.917806481484</v>
      </c>
      <c r="C5709" s="76" t="s">
        <v>805</v>
      </c>
      <c r="D5709" s="76" t="s">
        <v>902</v>
      </c>
      <c r="E5709" s="79" t="s">
        <v>1504</v>
      </c>
      <c r="F5709" s="79"/>
    </row>
    <row r="5710" spans="1:6">
      <c r="A5710" s="77">
        <f t="shared" ca="1" si="552"/>
        <v>46035</v>
      </c>
      <c r="B5710" s="80">
        <f t="shared" ca="1" si="553"/>
        <v>46035.918471527781</v>
      </c>
      <c r="C5710" s="76" t="s">
        <v>805</v>
      </c>
      <c r="D5710" s="76" t="s">
        <v>902</v>
      </c>
      <c r="E5710" s="79" t="s">
        <v>2487</v>
      </c>
      <c r="F5710" s="79"/>
    </row>
    <row r="5711" spans="1:6">
      <c r="A5711" s="77">
        <f t="shared" ca="1" si="552"/>
        <v>46035</v>
      </c>
      <c r="B5711" s="80">
        <f t="shared" ca="1" si="553"/>
        <v>46035.918480902779</v>
      </c>
      <c r="C5711" s="76" t="s">
        <v>805</v>
      </c>
      <c r="D5711" s="76" t="s">
        <v>902</v>
      </c>
      <c r="E5711" s="79" t="s">
        <v>2487</v>
      </c>
      <c r="F5711" s="79"/>
    </row>
    <row r="5712" spans="1:6">
      <c r="A5712" s="77">
        <f t="shared" ca="1" si="552"/>
        <v>46035</v>
      </c>
      <c r="B5712" s="80">
        <f t="shared" ca="1" si="553"/>
        <v>46035.919782175923</v>
      </c>
      <c r="C5712" s="76" t="s">
        <v>805</v>
      </c>
      <c r="D5712" s="76" t="s">
        <v>902</v>
      </c>
      <c r="E5712" s="79" t="s">
        <v>3190</v>
      </c>
      <c r="F5712" s="79"/>
    </row>
    <row r="5713" spans="1:6">
      <c r="A5713" s="77">
        <f t="shared" ca="1" si="552"/>
        <v>46035</v>
      </c>
      <c r="B5713" s="80">
        <f t="shared" ca="1" si="553"/>
        <v>46035.921489930559</v>
      </c>
      <c r="C5713" s="76" t="s">
        <v>805</v>
      </c>
      <c r="D5713" s="76" t="s">
        <v>902</v>
      </c>
      <c r="E5713" s="79" t="s">
        <v>2487</v>
      </c>
      <c r="F5713" s="79"/>
    </row>
    <row r="5714" spans="1:6">
      <c r="A5714" s="77">
        <f t="shared" ca="1" si="552"/>
        <v>46035</v>
      </c>
      <c r="B5714" s="80">
        <f t="shared" ca="1" si="553"/>
        <v>46035.921843981479</v>
      </c>
      <c r="C5714" s="76" t="s">
        <v>805</v>
      </c>
      <c r="D5714" s="76" t="s">
        <v>902</v>
      </c>
      <c r="E5714" s="79" t="s">
        <v>3190</v>
      </c>
      <c r="F5714" s="79"/>
    </row>
    <row r="5715" spans="1:6">
      <c r="A5715" s="77">
        <f t="shared" ca="1" si="552"/>
        <v>46035</v>
      </c>
      <c r="B5715" s="80">
        <f t="shared" ca="1" si="553"/>
        <v>46035.927027430553</v>
      </c>
      <c r="C5715" s="76" t="s">
        <v>805</v>
      </c>
      <c r="D5715" s="76" t="s">
        <v>902</v>
      </c>
      <c r="E5715" s="79" t="s">
        <v>1555</v>
      </c>
      <c r="F5715" s="79"/>
    </row>
    <row r="5716" spans="1:6">
      <c r="A5716" s="77">
        <f t="shared" ca="1" si="552"/>
        <v>46035</v>
      </c>
      <c r="B5716" s="80">
        <f t="shared" ca="1" si="553"/>
        <v>46035.927152430559</v>
      </c>
      <c r="C5716" s="76" t="s">
        <v>805</v>
      </c>
      <c r="D5716" s="76" t="s">
        <v>902</v>
      </c>
      <c r="E5716" s="79" t="s">
        <v>3191</v>
      </c>
      <c r="F5716" s="79" t="s">
        <v>2337</v>
      </c>
    </row>
    <row r="5717" spans="1:6">
      <c r="A5717" s="77">
        <f t="shared" ca="1" si="552"/>
        <v>46035</v>
      </c>
      <c r="B5717" s="80">
        <f t="shared" ca="1" si="553"/>
        <v>46035.92716712963</v>
      </c>
      <c r="C5717" s="76" t="s">
        <v>805</v>
      </c>
      <c r="D5717" s="76" t="s">
        <v>902</v>
      </c>
      <c r="E5717" s="79" t="s">
        <v>3192</v>
      </c>
      <c r="F5717" s="79"/>
    </row>
    <row r="5718" spans="1:6">
      <c r="A5718" s="77">
        <f t="shared" ca="1" si="552"/>
        <v>46035</v>
      </c>
      <c r="B5718" s="80">
        <f t="shared" ca="1" si="553"/>
        <v>46035.930304861111</v>
      </c>
      <c r="C5718" s="76" t="s">
        <v>805</v>
      </c>
      <c r="D5718" s="150" t="s">
        <v>1007</v>
      </c>
      <c r="E5718" s="79" t="s">
        <v>3193</v>
      </c>
      <c r="F5718" s="79"/>
    </row>
    <row r="5719" spans="1:6">
      <c r="A5719" s="77">
        <f t="shared" ca="1" si="552"/>
        <v>46035</v>
      </c>
      <c r="B5719" s="80">
        <f t="shared" ca="1" si="553"/>
        <v>46035.931896412039</v>
      </c>
      <c r="C5719" s="76" t="s">
        <v>805</v>
      </c>
      <c r="D5719" s="150" t="s">
        <v>1007</v>
      </c>
      <c r="E5719" s="79" t="s">
        <v>3194</v>
      </c>
      <c r="F5719" s="79"/>
    </row>
    <row r="5720" spans="1:6">
      <c r="A5720" s="77">
        <f t="shared" ca="1" si="552"/>
        <v>46035</v>
      </c>
      <c r="B5720" s="80">
        <f t="shared" ca="1" si="553"/>
        <v>46035.936771759261</v>
      </c>
      <c r="C5720" s="76" t="s">
        <v>805</v>
      </c>
      <c r="D5720" s="76" t="s">
        <v>902</v>
      </c>
      <c r="E5720" s="79" t="s">
        <v>3195</v>
      </c>
      <c r="F5720" s="79"/>
    </row>
    <row r="5721" spans="1:6">
      <c r="A5721" s="77">
        <f t="shared" ca="1" si="552"/>
        <v>46035</v>
      </c>
      <c r="B5721" s="80">
        <f t="shared" ca="1" si="553"/>
        <v>46035.937053472226</v>
      </c>
      <c r="C5721" s="76" t="s">
        <v>805</v>
      </c>
      <c r="D5721" s="76" t="s">
        <v>902</v>
      </c>
      <c r="E5721" s="79" t="s">
        <v>3196</v>
      </c>
      <c r="F5721" s="79"/>
    </row>
    <row r="5722" spans="1:6">
      <c r="A5722" s="77">
        <f t="shared" ca="1" si="552"/>
        <v>46035</v>
      </c>
      <c r="B5722" s="80">
        <f t="shared" ca="1" si="553"/>
        <v>46035.938802314813</v>
      </c>
      <c r="C5722" s="76" t="s">
        <v>805</v>
      </c>
      <c r="D5722" s="76" t="s">
        <v>902</v>
      </c>
      <c r="E5722" s="79" t="s">
        <v>3197</v>
      </c>
      <c r="F5722" s="79"/>
    </row>
    <row r="5723" spans="1:6">
      <c r="A5723" s="77">
        <f t="shared" ca="1" si="552"/>
        <v>46035</v>
      </c>
      <c r="B5723" s="80">
        <f t="shared" ca="1" si="553"/>
        <v>46035.94129988426</v>
      </c>
      <c r="C5723" s="76" t="s">
        <v>805</v>
      </c>
      <c r="D5723" s="76" t="s">
        <v>902</v>
      </c>
      <c r="E5723" s="79" t="s">
        <v>3198</v>
      </c>
      <c r="F5723" s="79"/>
    </row>
    <row r="5724" spans="1:6">
      <c r="A5724" s="77">
        <f t="shared" ca="1" si="552"/>
        <v>46035</v>
      </c>
      <c r="B5724" s="80">
        <f t="shared" ca="1" si="553"/>
        <v>46035.94142372685</v>
      </c>
      <c r="C5724" s="76" t="s">
        <v>805</v>
      </c>
      <c r="D5724" s="76" t="s">
        <v>902</v>
      </c>
      <c r="E5724" s="79" t="s">
        <v>2692</v>
      </c>
      <c r="F5724" s="79"/>
    </row>
    <row r="5725" spans="1:6">
      <c r="A5725" s="77">
        <f t="shared" ca="1" si="552"/>
        <v>46035</v>
      </c>
      <c r="B5725" s="80">
        <f t="shared" ca="1" si="553"/>
        <v>46035.942083333335</v>
      </c>
      <c r="C5725" s="76" t="s">
        <v>805</v>
      </c>
      <c r="D5725" s="76" t="s">
        <v>902</v>
      </c>
      <c r="E5725" s="79" t="s">
        <v>3199</v>
      </c>
      <c r="F5725" s="79"/>
    </row>
    <row r="5726" spans="1:6">
      <c r="A5726" s="77">
        <f t="shared" ca="1" si="552"/>
        <v>46035</v>
      </c>
      <c r="B5726" s="80">
        <f t="shared" ca="1" si="553"/>
        <v>46035.951071064817</v>
      </c>
      <c r="C5726" s="76" t="s">
        <v>805</v>
      </c>
      <c r="D5726" s="76" t="s">
        <v>902</v>
      </c>
      <c r="E5726" s="79" t="s">
        <v>3200</v>
      </c>
      <c r="F5726" s="79"/>
    </row>
    <row r="5727" spans="1:6">
      <c r="A5727" s="77">
        <f t="shared" ca="1" si="552"/>
        <v>46035</v>
      </c>
      <c r="B5727" s="80">
        <f t="shared" ca="1" si="553"/>
        <v>46035.954627777777</v>
      </c>
      <c r="C5727" s="76" t="s">
        <v>805</v>
      </c>
      <c r="D5727" s="76" t="s">
        <v>902</v>
      </c>
      <c r="E5727" s="79" t="s">
        <v>1487</v>
      </c>
      <c r="F5727" s="79"/>
    </row>
    <row r="5728" spans="1:6">
      <c r="A5728" s="77">
        <f t="shared" ca="1" si="552"/>
        <v>46035</v>
      </c>
      <c r="B5728" s="80">
        <f t="shared" ca="1" si="553"/>
        <v>46035.954814699071</v>
      </c>
      <c r="C5728" s="76" t="s">
        <v>805</v>
      </c>
      <c r="D5728" s="76" t="s">
        <v>902</v>
      </c>
      <c r="E5728" s="79" t="s">
        <v>2692</v>
      </c>
      <c r="F5728" s="79"/>
    </row>
    <row r="5729" spans="1:6">
      <c r="A5729" s="77">
        <f t="shared" ca="1" si="552"/>
        <v>46035</v>
      </c>
      <c r="B5729" s="80">
        <f t="shared" ca="1" si="553"/>
        <v>46035.955727199071</v>
      </c>
      <c r="C5729" s="76" t="s">
        <v>805</v>
      </c>
      <c r="D5729" s="76" t="s">
        <v>902</v>
      </c>
      <c r="E5729" s="79" t="s">
        <v>1487</v>
      </c>
      <c r="F5729" s="79"/>
    </row>
    <row r="5730" spans="1:6">
      <c r="A5730" s="77">
        <f t="shared" ca="1" si="552"/>
        <v>46035</v>
      </c>
      <c r="B5730" s="80">
        <f t="shared" ca="1" si="553"/>
        <v>46035.957910763886</v>
      </c>
      <c r="C5730" s="76" t="s">
        <v>805</v>
      </c>
      <c r="D5730" s="150" t="s">
        <v>1007</v>
      </c>
      <c r="E5730" s="79" t="s">
        <v>3197</v>
      </c>
      <c r="F5730" s="79"/>
    </row>
    <row r="5731" spans="1:6">
      <c r="A5731" s="77">
        <f t="shared" ca="1" si="552"/>
        <v>46035</v>
      </c>
      <c r="B5731" s="80">
        <f t="shared" ca="1" si="553"/>
        <v>46035.961037384259</v>
      </c>
      <c r="C5731" s="76" t="s">
        <v>805</v>
      </c>
      <c r="D5731" s="76" t="s">
        <v>902</v>
      </c>
      <c r="E5731" s="79" t="s">
        <v>3201</v>
      </c>
      <c r="F5731" s="79"/>
    </row>
    <row r="5732" spans="1:6">
      <c r="A5732" s="77">
        <f t="shared" ca="1" si="552"/>
        <v>46035</v>
      </c>
      <c r="B5732" s="80">
        <f t="shared" ca="1" si="553"/>
        <v>46035.963220370373</v>
      </c>
      <c r="C5732" s="76" t="s">
        <v>805</v>
      </c>
      <c r="D5732" s="150" t="s">
        <v>1007</v>
      </c>
      <c r="E5732" s="79" t="s">
        <v>2411</v>
      </c>
      <c r="F5732" s="79"/>
    </row>
    <row r="5733" spans="1:6">
      <c r="A5733" s="77">
        <f t="shared" ca="1" si="552"/>
        <v>46035</v>
      </c>
      <c r="B5733" s="80">
        <f t="shared" ca="1" si="553"/>
        <v>46035.965934953703</v>
      </c>
      <c r="C5733" s="76" t="s">
        <v>805</v>
      </c>
      <c r="D5733" s="76" t="s">
        <v>902</v>
      </c>
      <c r="E5733" s="79" t="s">
        <v>1487</v>
      </c>
      <c r="F5733" s="79"/>
    </row>
    <row r="5734" spans="1:6">
      <c r="A5734" s="77">
        <f t="shared" ca="1" si="552"/>
        <v>46035</v>
      </c>
      <c r="B5734" s="80">
        <f t="shared" ca="1" si="553"/>
        <v>46035.967765972222</v>
      </c>
      <c r="C5734" s="76" t="s">
        <v>805</v>
      </c>
      <c r="D5734" s="76" t="s">
        <v>902</v>
      </c>
      <c r="E5734" s="79" t="s">
        <v>955</v>
      </c>
      <c r="F5734" s="79"/>
    </row>
    <row r="5735" spans="1:6">
      <c r="A5735" s="77">
        <f t="shared" ca="1" si="552"/>
        <v>46035</v>
      </c>
      <c r="B5735" s="80">
        <f t="shared" ca="1" si="553"/>
        <v>46035.973077083334</v>
      </c>
      <c r="C5735" s="76" t="s">
        <v>805</v>
      </c>
      <c r="D5735" s="76" t="s">
        <v>902</v>
      </c>
      <c r="E5735" s="79" t="s">
        <v>3202</v>
      </c>
      <c r="F5735" s="79"/>
    </row>
    <row r="5736" spans="1:6">
      <c r="A5736" s="77">
        <f t="shared" ca="1" si="552"/>
        <v>46035</v>
      </c>
      <c r="B5736" s="80">
        <f t="shared" ca="1" si="553"/>
        <v>46035.974908680553</v>
      </c>
      <c r="C5736" s="76" t="s">
        <v>805</v>
      </c>
      <c r="D5736" s="76" t="s">
        <v>902</v>
      </c>
      <c r="E5736" s="79" t="s">
        <v>3203</v>
      </c>
      <c r="F5736" s="79"/>
    </row>
    <row r="5737" spans="1:6">
      <c r="A5737" s="77">
        <f t="shared" ca="1" si="552"/>
        <v>46035</v>
      </c>
      <c r="B5737" s="80">
        <f t="shared" ca="1" si="553"/>
        <v>46035.976508101849</v>
      </c>
      <c r="C5737" s="76" t="s">
        <v>805</v>
      </c>
      <c r="D5737" s="76" t="s">
        <v>902</v>
      </c>
      <c r="E5737" s="79" t="s">
        <v>3203</v>
      </c>
      <c r="F5737" s="79"/>
    </row>
    <row r="5738" spans="1:6">
      <c r="A5738" s="77">
        <f t="shared" ca="1" si="552"/>
        <v>46035</v>
      </c>
      <c r="B5738" s="80">
        <f t="shared" ca="1" si="553"/>
        <v>46035.97682546296</v>
      </c>
      <c r="C5738" s="76" t="s">
        <v>805</v>
      </c>
      <c r="D5738" s="76" t="s">
        <v>902</v>
      </c>
      <c r="E5738" s="79" t="s">
        <v>3204</v>
      </c>
      <c r="F5738" s="79"/>
    </row>
    <row r="5739" spans="1:6">
      <c r="A5739" s="77">
        <f t="shared" ca="1" si="552"/>
        <v>46035</v>
      </c>
      <c r="B5739" s="80">
        <f t="shared" ca="1" si="553"/>
        <v>46035.977124074074</v>
      </c>
      <c r="C5739" s="76" t="s">
        <v>805</v>
      </c>
      <c r="D5739" s="76" t="s">
        <v>902</v>
      </c>
      <c r="E5739" s="79" t="s">
        <v>955</v>
      </c>
      <c r="F5739" s="79"/>
    </row>
    <row r="5740" spans="1:6">
      <c r="A5740" s="77">
        <f t="shared" ca="1" si="552"/>
        <v>46035</v>
      </c>
      <c r="B5740" s="80">
        <f t="shared" ca="1" si="553"/>
        <v>46035.978956250001</v>
      </c>
      <c r="C5740" s="76" t="s">
        <v>805</v>
      </c>
      <c r="D5740" s="76" t="s">
        <v>902</v>
      </c>
      <c r="E5740" s="79" t="s">
        <v>3203</v>
      </c>
      <c r="F5740" s="79"/>
    </row>
    <row r="5741" spans="1:6">
      <c r="A5741" s="77">
        <f t="shared" ca="1" si="552"/>
        <v>46035</v>
      </c>
      <c r="B5741" s="80">
        <f t="shared" ca="1" si="553"/>
        <v>46035.982194791664</v>
      </c>
      <c r="C5741" s="76" t="s">
        <v>805</v>
      </c>
      <c r="D5741" s="76" t="s">
        <v>902</v>
      </c>
      <c r="E5741" s="79" t="s">
        <v>3203</v>
      </c>
      <c r="F5741" s="79"/>
    </row>
    <row r="5742" spans="1:6">
      <c r="A5742" s="77">
        <f t="shared" ca="1" si="552"/>
        <v>46035</v>
      </c>
      <c r="B5742" s="80">
        <f t="shared" ca="1" si="553"/>
        <v>46035.987143865743</v>
      </c>
      <c r="C5742" s="76" t="s">
        <v>805</v>
      </c>
      <c r="D5742" s="76" t="s">
        <v>902</v>
      </c>
      <c r="E5742" s="79" t="s">
        <v>932</v>
      </c>
      <c r="F5742" s="79"/>
    </row>
    <row r="5743" spans="1:6">
      <c r="A5743" s="77">
        <f t="shared" ca="1" si="552"/>
        <v>46035</v>
      </c>
      <c r="B5743" s="80">
        <f t="shared" ca="1" si="553"/>
        <v>46035.989516087961</v>
      </c>
      <c r="C5743" s="76" t="s">
        <v>805</v>
      </c>
      <c r="D5743" s="76" t="s">
        <v>902</v>
      </c>
      <c r="E5743" s="79" t="s">
        <v>932</v>
      </c>
      <c r="F5743" s="79"/>
    </row>
    <row r="5744" spans="1:6">
      <c r="A5744" s="77">
        <f t="shared" ca="1" si="552"/>
        <v>46035</v>
      </c>
      <c r="B5744" s="80">
        <f t="shared" ca="1" si="553"/>
        <v>46035.990014583331</v>
      </c>
      <c r="C5744" s="76" t="s">
        <v>805</v>
      </c>
      <c r="D5744" s="76" t="s">
        <v>902</v>
      </c>
      <c r="E5744" s="79" t="s">
        <v>1062</v>
      </c>
      <c r="F5744" s="79"/>
    </row>
    <row r="5745" spans="1:6">
      <c r="A5745" s="77">
        <f t="shared" ca="1" si="552"/>
        <v>46035</v>
      </c>
      <c r="B5745" s="80">
        <f t="shared" ca="1" si="553"/>
        <v>46035.990455092593</v>
      </c>
      <c r="C5745" s="76" t="s">
        <v>805</v>
      </c>
      <c r="D5745" s="76" t="s">
        <v>902</v>
      </c>
      <c r="E5745" s="79" t="s">
        <v>3203</v>
      </c>
      <c r="F5745" s="79"/>
    </row>
    <row r="5746" spans="1:6">
      <c r="A5746" s="77">
        <f t="shared" ca="1" si="552"/>
        <v>46035</v>
      </c>
      <c r="B5746" s="80">
        <f t="shared" ca="1" si="553"/>
        <v>46035.993872222221</v>
      </c>
      <c r="C5746" s="76" t="s">
        <v>805</v>
      </c>
      <c r="D5746" s="76" t="s">
        <v>902</v>
      </c>
      <c r="E5746" s="79" t="s">
        <v>3203</v>
      </c>
      <c r="F5746" s="79"/>
    </row>
    <row r="5747" spans="1:6">
      <c r="A5747" s="77">
        <f t="shared" ca="1" si="552"/>
        <v>46036</v>
      </c>
      <c r="B5747" s="80">
        <f t="shared" ca="1" si="553"/>
        <v>46036.000902893516</v>
      </c>
      <c r="C5747" s="76" t="s">
        <v>805</v>
      </c>
      <c r="D5747" s="150" t="s">
        <v>1007</v>
      </c>
      <c r="E5747" s="79" t="s">
        <v>3205</v>
      </c>
      <c r="F5747" s="79"/>
    </row>
    <row r="5748" spans="1:6">
      <c r="A5748" s="77">
        <f t="shared" ca="1" si="552"/>
        <v>46036</v>
      </c>
      <c r="B5748" s="80">
        <f t="shared" ca="1" si="553"/>
        <v>46036.002917592596</v>
      </c>
      <c r="C5748" s="76" t="s">
        <v>805</v>
      </c>
      <c r="D5748" s="76" t="s">
        <v>902</v>
      </c>
      <c r="E5748" s="79" t="s">
        <v>3206</v>
      </c>
      <c r="F5748" s="79"/>
    </row>
    <row r="5749" spans="1:6">
      <c r="A5749" s="77">
        <f t="shared" ca="1" si="552"/>
        <v>46036</v>
      </c>
      <c r="B5749" s="80">
        <f t="shared" ca="1" si="553"/>
        <v>46036.004668171299</v>
      </c>
      <c r="C5749" s="76" t="s">
        <v>805</v>
      </c>
      <c r="D5749" s="76" t="s">
        <v>902</v>
      </c>
      <c r="E5749" s="79" t="s">
        <v>3207</v>
      </c>
      <c r="F5749" s="79"/>
    </row>
    <row r="5750" spans="1:6">
      <c r="A5750" s="77">
        <f t="shared" ca="1" si="552"/>
        <v>46036</v>
      </c>
      <c r="B5750" s="80">
        <f t="shared" ca="1" si="553"/>
        <v>46036.008616319443</v>
      </c>
      <c r="C5750" s="76" t="s">
        <v>805</v>
      </c>
      <c r="D5750" s="76" t="s">
        <v>902</v>
      </c>
      <c r="E5750" s="79" t="s">
        <v>955</v>
      </c>
      <c r="F5750" s="79"/>
    </row>
    <row r="5751" spans="1:6">
      <c r="A5751" s="77">
        <f t="shared" ca="1" si="552"/>
        <v>46036</v>
      </c>
      <c r="B5751" s="80">
        <f t="shared" ca="1" si="553"/>
        <v>46036.009273842596</v>
      </c>
      <c r="C5751" s="76" t="s">
        <v>805</v>
      </c>
      <c r="D5751" s="76" t="s">
        <v>902</v>
      </c>
      <c r="E5751" s="79" t="s">
        <v>3203</v>
      </c>
      <c r="F5751" s="79"/>
    </row>
    <row r="5752" spans="1:6">
      <c r="A5752" s="77">
        <f t="shared" ca="1" si="552"/>
        <v>46036</v>
      </c>
      <c r="B5752" s="80">
        <f t="shared" ca="1" si="553"/>
        <v>46036.01351203704</v>
      </c>
      <c r="C5752" s="76" t="s">
        <v>805</v>
      </c>
      <c r="D5752" s="76" t="s">
        <v>902</v>
      </c>
      <c r="E5752" s="79" t="s">
        <v>2956</v>
      </c>
      <c r="F5752" s="79"/>
    </row>
    <row r="5753" spans="1:6">
      <c r="A5753" s="77">
        <f t="shared" ca="1" si="552"/>
        <v>46036</v>
      </c>
      <c r="B5753" s="80">
        <f t="shared" ca="1" si="553"/>
        <v>46036.014530787033</v>
      </c>
      <c r="C5753" s="76" t="s">
        <v>805</v>
      </c>
      <c r="D5753" s="76" t="s">
        <v>902</v>
      </c>
      <c r="E5753" s="79" t="s">
        <v>2956</v>
      </c>
      <c r="F5753" s="79"/>
    </row>
    <row r="5754" spans="1:6">
      <c r="A5754" s="77">
        <f t="shared" ca="1" si="552"/>
        <v>46036</v>
      </c>
      <c r="B5754" s="80">
        <f t="shared" ca="1" si="553"/>
        <v>46036.016492592593</v>
      </c>
      <c r="C5754" s="76" t="s">
        <v>805</v>
      </c>
      <c r="D5754" s="76" t="s">
        <v>902</v>
      </c>
      <c r="E5754" s="79" t="s">
        <v>3208</v>
      </c>
      <c r="F5754" s="79"/>
    </row>
    <row r="5755" spans="1:6">
      <c r="A5755" s="77">
        <f t="shared" ca="1" si="552"/>
        <v>46036</v>
      </c>
      <c r="B5755" s="80">
        <f t="shared" ca="1" si="553"/>
        <v>46036.017757986112</v>
      </c>
      <c r="C5755" s="76" t="s">
        <v>805</v>
      </c>
      <c r="D5755" s="76" t="s">
        <v>902</v>
      </c>
      <c r="E5755" s="79" t="s">
        <v>3209</v>
      </c>
      <c r="F5755" s="79"/>
    </row>
    <row r="5756" spans="1:6">
      <c r="A5756" s="77">
        <f t="shared" ca="1" si="552"/>
        <v>46036</v>
      </c>
      <c r="B5756" s="80">
        <f t="shared" ca="1" si="553"/>
        <v>46036.019215856482</v>
      </c>
      <c r="C5756" s="76" t="s">
        <v>805</v>
      </c>
      <c r="D5756" s="76" t="s">
        <v>902</v>
      </c>
      <c r="E5756" s="79" t="s">
        <v>932</v>
      </c>
      <c r="F5756" s="79"/>
    </row>
    <row r="5757" spans="1:6">
      <c r="A5757" s="77">
        <f t="shared" ca="1" si="552"/>
        <v>46036</v>
      </c>
      <c r="B5757" s="80">
        <f t="shared" ca="1" si="553"/>
        <v>46036.019491550927</v>
      </c>
      <c r="C5757" s="76" t="s">
        <v>805</v>
      </c>
      <c r="D5757" s="76" t="s">
        <v>902</v>
      </c>
      <c r="E5757" s="79" t="s">
        <v>1697</v>
      </c>
      <c r="F5757" s="79"/>
    </row>
    <row r="5758" spans="1:6">
      <c r="A5758" s="77">
        <f t="shared" ca="1" si="552"/>
        <v>46036</v>
      </c>
      <c r="B5758" s="80">
        <f t="shared" ca="1" si="553"/>
        <v>46036.022506712965</v>
      </c>
      <c r="C5758" s="76" t="s">
        <v>805</v>
      </c>
      <c r="D5758" s="76" t="s">
        <v>902</v>
      </c>
      <c r="E5758" s="79" t="s">
        <v>3210</v>
      </c>
      <c r="F5758" s="79"/>
    </row>
    <row r="5759" spans="1:6">
      <c r="A5759" s="77">
        <f t="shared" ca="1" si="552"/>
        <v>46036</v>
      </c>
      <c r="B5759" s="80">
        <f t="shared" ca="1" si="553"/>
        <v>46036.026696527777</v>
      </c>
      <c r="C5759" s="76" t="s">
        <v>805</v>
      </c>
      <c r="D5759" s="76" t="s">
        <v>902</v>
      </c>
      <c r="E5759" s="79" t="s">
        <v>2956</v>
      </c>
      <c r="F5759" s="79"/>
    </row>
    <row r="5760" spans="1:6">
      <c r="A5760" s="77">
        <f t="shared" ca="1" si="552"/>
        <v>46036</v>
      </c>
      <c r="B5760" s="80">
        <f t="shared" ca="1" si="553"/>
        <v>46036.027162847226</v>
      </c>
      <c r="C5760" s="76" t="s">
        <v>805</v>
      </c>
      <c r="D5760" s="76" t="s">
        <v>902</v>
      </c>
      <c r="E5760" s="79" t="s">
        <v>3211</v>
      </c>
      <c r="F5760" s="79"/>
    </row>
    <row r="5761" spans="1:6">
      <c r="A5761" s="77">
        <f t="shared" ca="1" si="552"/>
        <v>46036</v>
      </c>
      <c r="B5761" s="80">
        <f t="shared" ca="1" si="553"/>
        <v>46036.029922916663</v>
      </c>
      <c r="C5761" s="76" t="s">
        <v>805</v>
      </c>
      <c r="D5761" s="76" t="s">
        <v>902</v>
      </c>
      <c r="E5761" s="79" t="s">
        <v>2956</v>
      </c>
      <c r="F5761" s="79"/>
    </row>
    <row r="5762" spans="1:6">
      <c r="A5762" s="77">
        <f t="shared" ca="1" si="552"/>
        <v>46036</v>
      </c>
      <c r="B5762" s="80">
        <f t="shared" ca="1" si="553"/>
        <v>46036.035635185188</v>
      </c>
      <c r="C5762" s="76" t="s">
        <v>805</v>
      </c>
      <c r="D5762" s="150" t="s">
        <v>1007</v>
      </c>
      <c r="E5762" s="79" t="s">
        <v>3212</v>
      </c>
      <c r="F5762" s="79"/>
    </row>
    <row r="5763" spans="1:6">
      <c r="A5763" s="77">
        <f t="shared" ca="1" si="552"/>
        <v>46036</v>
      </c>
      <c r="B5763" s="80">
        <f t="shared" ca="1" si="553"/>
        <v>46036.042412037037</v>
      </c>
      <c r="C5763" s="76" t="s">
        <v>805</v>
      </c>
      <c r="D5763" s="76" t="s">
        <v>902</v>
      </c>
      <c r="E5763" s="79" t="s">
        <v>2956</v>
      </c>
      <c r="F5763" s="79"/>
    </row>
    <row r="5764" spans="1:6">
      <c r="A5764" s="77">
        <f t="shared" ca="1" si="552"/>
        <v>46036</v>
      </c>
      <c r="B5764" s="80">
        <f t="shared" ca="1" si="553"/>
        <v>46036.045545370369</v>
      </c>
      <c r="C5764" s="76" t="s">
        <v>805</v>
      </c>
      <c r="D5764" s="76" t="s">
        <v>902</v>
      </c>
      <c r="E5764" s="79" t="s">
        <v>3213</v>
      </c>
      <c r="F5764" s="79"/>
    </row>
    <row r="5765" spans="1:6">
      <c r="A5765" s="77">
        <f t="shared" ca="1" si="552"/>
        <v>46036</v>
      </c>
      <c r="B5765" s="80">
        <f t="shared" ca="1" si="553"/>
        <v>46036.0463087963</v>
      </c>
      <c r="C5765" s="76" t="s">
        <v>805</v>
      </c>
      <c r="D5765" s="76" t="s">
        <v>902</v>
      </c>
      <c r="E5765" s="79" t="s">
        <v>3141</v>
      </c>
      <c r="F5765" s="79"/>
    </row>
    <row r="5766" spans="1:6">
      <c r="A5766" s="77">
        <f t="shared" ca="1" si="552"/>
        <v>46036</v>
      </c>
      <c r="B5766" s="80">
        <f t="shared" ca="1" si="553"/>
        <v>46036.04759548611</v>
      </c>
      <c r="C5766" s="76" t="s">
        <v>805</v>
      </c>
      <c r="D5766" s="210" t="s">
        <v>922</v>
      </c>
      <c r="E5766" s="79"/>
      <c r="F5766" s="79"/>
    </row>
    <row r="5767" spans="1:6" s="150" customFormat="1">
      <c r="A5767" s="151">
        <f t="shared" ca="1" si="552"/>
        <v>46036</v>
      </c>
      <c r="B5767" s="149">
        <f t="shared" ca="1" si="553"/>
        <v>46036.073316666669</v>
      </c>
      <c r="C5767" s="150" t="s">
        <v>805</v>
      </c>
      <c r="D5767" s="210" t="s">
        <v>1098</v>
      </c>
    </row>
    <row r="5768" spans="1:6" s="150" customFormat="1">
      <c r="A5768" s="151">
        <f t="shared" ca="1" si="552"/>
        <v>46036</v>
      </c>
      <c r="B5768" s="149">
        <f t="shared" ca="1" si="553"/>
        <v>46036.116461458332</v>
      </c>
      <c r="C5768" s="150" t="s">
        <v>810</v>
      </c>
      <c r="D5768" s="210" t="s">
        <v>906</v>
      </c>
    </row>
    <row r="5769" spans="1:6">
      <c r="A5769" s="77">
        <f t="shared" ref="A5769:A5832" ca="1" si="554">IF(C5769&lt;&gt;0,IF(A5769=0,TODAY(),A5769),)</f>
        <v>46036</v>
      </c>
      <c r="B5769" s="80">
        <f t="shared" ref="B5769:B5832" ca="1" si="555">IF(C5769&lt;&gt;0,IF(B5769=0,NOW(),B5769),)</f>
        <v>46036.154297222223</v>
      </c>
      <c r="C5769" s="76" t="s">
        <v>810</v>
      </c>
      <c r="D5769" s="210" t="s">
        <v>909</v>
      </c>
      <c r="E5769" s="79"/>
      <c r="F5769" s="79"/>
    </row>
    <row r="5770" spans="1:6">
      <c r="A5770" s="77">
        <f t="shared" ca="1" si="554"/>
        <v>46036</v>
      </c>
      <c r="B5770" s="80">
        <f t="shared" ca="1" si="555"/>
        <v>46036.156298842594</v>
      </c>
      <c r="C5770" s="76" t="s">
        <v>810</v>
      </c>
      <c r="D5770" s="76" t="s">
        <v>902</v>
      </c>
      <c r="E5770" s="79" t="s">
        <v>1486</v>
      </c>
      <c r="F5770" s="79"/>
    </row>
    <row r="5771" spans="1:6">
      <c r="A5771" s="77">
        <f t="shared" ca="1" si="554"/>
        <v>46036</v>
      </c>
      <c r="B5771" s="80">
        <f t="shared" ca="1" si="555"/>
        <v>46036.159195486114</v>
      </c>
      <c r="C5771" s="76" t="s">
        <v>810</v>
      </c>
      <c r="D5771" s="76" t="s">
        <v>902</v>
      </c>
      <c r="E5771" s="79" t="s">
        <v>3214</v>
      </c>
      <c r="F5771" s="79"/>
    </row>
    <row r="5772" spans="1:6">
      <c r="A5772" s="77">
        <f t="shared" ca="1" si="554"/>
        <v>46036</v>
      </c>
      <c r="B5772" s="80">
        <f t="shared" ca="1" si="555"/>
        <v>46036.162370949074</v>
      </c>
      <c r="C5772" s="76" t="s">
        <v>810</v>
      </c>
      <c r="D5772" s="76" t="s">
        <v>902</v>
      </c>
      <c r="E5772" s="79" t="s">
        <v>1062</v>
      </c>
      <c r="F5772" s="79"/>
    </row>
    <row r="5773" spans="1:6">
      <c r="A5773" s="77">
        <f t="shared" ca="1" si="554"/>
        <v>46036</v>
      </c>
      <c r="B5773" s="80">
        <f t="shared" ca="1" si="555"/>
        <v>46036.16644108796</v>
      </c>
      <c r="C5773" s="76" t="s">
        <v>810</v>
      </c>
      <c r="D5773" s="76" t="s">
        <v>902</v>
      </c>
      <c r="E5773" s="79" t="s">
        <v>1486</v>
      </c>
      <c r="F5773" s="79"/>
    </row>
    <row r="5774" spans="1:6">
      <c r="A5774" s="77">
        <f t="shared" ca="1" si="554"/>
        <v>46036</v>
      </c>
      <c r="B5774" s="80">
        <f t="shared" ca="1" si="555"/>
        <v>46036.172249884257</v>
      </c>
      <c r="C5774" s="76" t="s">
        <v>810</v>
      </c>
      <c r="D5774" s="76" t="s">
        <v>902</v>
      </c>
      <c r="E5774" s="79" t="s">
        <v>955</v>
      </c>
      <c r="F5774" s="79"/>
    </row>
    <row r="5775" spans="1:6">
      <c r="A5775" s="77">
        <f t="shared" ca="1" si="554"/>
        <v>46036</v>
      </c>
      <c r="B5775" s="80">
        <f t="shared" ca="1" si="555"/>
        <v>46036.174415856483</v>
      </c>
      <c r="C5775" s="76" t="s">
        <v>810</v>
      </c>
      <c r="D5775" s="76" t="s">
        <v>902</v>
      </c>
      <c r="E5775" s="79" t="s">
        <v>3215</v>
      </c>
      <c r="F5775" s="79"/>
    </row>
    <row r="5776" spans="1:6">
      <c r="A5776" s="77">
        <f t="shared" ca="1" si="554"/>
        <v>46036</v>
      </c>
      <c r="B5776" s="80">
        <f t="shared" ca="1" si="555"/>
        <v>46036.182457754629</v>
      </c>
      <c r="C5776" s="76" t="s">
        <v>810</v>
      </c>
      <c r="D5776" s="76" t="s">
        <v>902</v>
      </c>
      <c r="E5776" s="79" t="s">
        <v>1486</v>
      </c>
      <c r="F5776" s="79"/>
    </row>
    <row r="5777" spans="1:6">
      <c r="A5777" s="77">
        <f t="shared" ca="1" si="554"/>
        <v>46036</v>
      </c>
      <c r="B5777" s="80">
        <f t="shared" ca="1" si="555"/>
        <v>46036.187963310185</v>
      </c>
      <c r="C5777" s="76" t="s">
        <v>810</v>
      </c>
      <c r="D5777" s="76" t="s">
        <v>902</v>
      </c>
      <c r="E5777" s="79" t="s">
        <v>1062</v>
      </c>
      <c r="F5777" s="79"/>
    </row>
    <row r="5778" spans="1:6">
      <c r="A5778" s="77">
        <f t="shared" ca="1" si="554"/>
        <v>46036</v>
      </c>
      <c r="B5778" s="80">
        <f t="shared" ca="1" si="555"/>
        <v>46036.188225694445</v>
      </c>
      <c r="C5778" s="76" t="s">
        <v>810</v>
      </c>
      <c r="D5778" s="76" t="s">
        <v>902</v>
      </c>
      <c r="E5778" s="79" t="s">
        <v>955</v>
      </c>
      <c r="F5778" s="79"/>
    </row>
    <row r="5779" spans="1:6">
      <c r="A5779" s="77">
        <f t="shared" ca="1" si="554"/>
        <v>46036</v>
      </c>
      <c r="B5779" s="80">
        <f t="shared" ca="1" si="555"/>
        <v>46036.190234490743</v>
      </c>
      <c r="C5779" s="76" t="s">
        <v>810</v>
      </c>
      <c r="D5779" s="76" t="s">
        <v>902</v>
      </c>
      <c r="E5779" s="79" t="s">
        <v>3216</v>
      </c>
      <c r="F5779" s="79"/>
    </row>
    <row r="5780" spans="1:6">
      <c r="A5780" s="77">
        <f t="shared" ca="1" si="554"/>
        <v>46036</v>
      </c>
      <c r="B5780" s="80">
        <f t="shared" ca="1" si="555"/>
        <v>46036.203514004628</v>
      </c>
      <c r="C5780" s="76" t="s">
        <v>810</v>
      </c>
      <c r="D5780" s="150" t="s">
        <v>1007</v>
      </c>
      <c r="E5780" s="79" t="s">
        <v>3216</v>
      </c>
      <c r="F5780" s="79"/>
    </row>
    <row r="5781" spans="1:6">
      <c r="A5781" s="77">
        <f t="shared" ca="1" si="554"/>
        <v>46036</v>
      </c>
      <c r="B5781" s="80">
        <f t="shared" ca="1" si="555"/>
        <v>46036.207507638886</v>
      </c>
      <c r="C5781" s="76" t="s">
        <v>810</v>
      </c>
      <c r="D5781" s="76" t="s">
        <v>902</v>
      </c>
      <c r="E5781" s="79" t="s">
        <v>3204</v>
      </c>
      <c r="F5781" s="79"/>
    </row>
    <row r="5782" spans="1:6">
      <c r="A5782" s="77">
        <f t="shared" ca="1" si="554"/>
        <v>46036</v>
      </c>
      <c r="B5782" s="80">
        <f t="shared" ca="1" si="555"/>
        <v>46036.207531018517</v>
      </c>
      <c r="C5782" s="76" t="s">
        <v>810</v>
      </c>
      <c r="D5782" s="76" t="s">
        <v>902</v>
      </c>
      <c r="E5782" s="79" t="s">
        <v>2487</v>
      </c>
      <c r="F5782" s="79"/>
    </row>
    <row r="5783" spans="1:6">
      <c r="A5783" s="77">
        <f t="shared" ca="1" si="554"/>
        <v>46036</v>
      </c>
      <c r="B5783" s="80">
        <f t="shared" ca="1" si="555"/>
        <v>46036.208292939817</v>
      </c>
      <c r="C5783" s="76" t="s">
        <v>810</v>
      </c>
      <c r="D5783" s="76" t="s">
        <v>902</v>
      </c>
      <c r="E5783" s="79" t="s">
        <v>955</v>
      </c>
      <c r="F5783" s="79"/>
    </row>
    <row r="5784" spans="1:6">
      <c r="A5784" s="77">
        <f t="shared" ca="1" si="554"/>
        <v>46036</v>
      </c>
      <c r="B5784" s="80">
        <f t="shared" ca="1" si="555"/>
        <v>46036.209083796297</v>
      </c>
      <c r="C5784" s="76" t="s">
        <v>810</v>
      </c>
      <c r="D5784" s="76" t="s">
        <v>902</v>
      </c>
      <c r="E5784" s="79" t="s">
        <v>955</v>
      </c>
      <c r="F5784" s="79"/>
    </row>
    <row r="5785" spans="1:6">
      <c r="A5785" s="77">
        <f t="shared" ca="1" si="554"/>
        <v>46036</v>
      </c>
      <c r="B5785" s="80">
        <f t="shared" ca="1" si="555"/>
        <v>46036.211005555553</v>
      </c>
      <c r="C5785" s="76" t="s">
        <v>810</v>
      </c>
      <c r="D5785" s="76" t="s">
        <v>902</v>
      </c>
      <c r="E5785" s="79" t="s">
        <v>2932</v>
      </c>
      <c r="F5785" s="79"/>
    </row>
    <row r="5786" spans="1:6">
      <c r="A5786" s="77">
        <f t="shared" ca="1" si="554"/>
        <v>46036</v>
      </c>
      <c r="B5786" s="80">
        <f t="shared" ca="1" si="555"/>
        <v>46036.213425694441</v>
      </c>
      <c r="C5786" s="76" t="s">
        <v>810</v>
      </c>
      <c r="D5786" s="76" t="s">
        <v>902</v>
      </c>
      <c r="E5786" s="79" t="s">
        <v>2487</v>
      </c>
      <c r="F5786" s="79"/>
    </row>
    <row r="5787" spans="1:6">
      <c r="A5787" s="77">
        <f t="shared" ca="1" si="554"/>
        <v>46036</v>
      </c>
      <c r="B5787" s="80">
        <f t="shared" ca="1" si="555"/>
        <v>46036.215759722225</v>
      </c>
      <c r="C5787" s="76" t="s">
        <v>810</v>
      </c>
      <c r="D5787" s="76" t="s">
        <v>902</v>
      </c>
      <c r="E5787" s="88" t="s">
        <v>3217</v>
      </c>
      <c r="F5787" s="79"/>
    </row>
    <row r="5788" spans="1:6">
      <c r="A5788" s="77">
        <f t="shared" ca="1" si="554"/>
        <v>46036</v>
      </c>
      <c r="B5788" s="80">
        <f t="shared" ca="1" si="555"/>
        <v>46036.216373495372</v>
      </c>
      <c r="C5788" s="76" t="s">
        <v>810</v>
      </c>
      <c r="D5788" s="76" t="s">
        <v>902</v>
      </c>
      <c r="E5788" s="79" t="s">
        <v>955</v>
      </c>
      <c r="F5788" s="79"/>
    </row>
    <row r="5789" spans="1:6">
      <c r="A5789" s="77">
        <f t="shared" ca="1" si="554"/>
        <v>46036</v>
      </c>
      <c r="B5789" s="80">
        <f t="shared" ca="1" si="555"/>
        <v>46036.216798726855</v>
      </c>
      <c r="C5789" s="76" t="s">
        <v>810</v>
      </c>
      <c r="D5789" s="76" t="s">
        <v>902</v>
      </c>
      <c r="E5789" s="79" t="s">
        <v>3218</v>
      </c>
      <c r="F5789" s="79"/>
    </row>
    <row r="5790" spans="1:6">
      <c r="A5790" s="77">
        <f t="shared" ca="1" si="554"/>
        <v>46036</v>
      </c>
      <c r="B5790" s="80">
        <f t="shared" ca="1" si="555"/>
        <v>46036.216867592593</v>
      </c>
      <c r="C5790" s="76" t="s">
        <v>810</v>
      </c>
      <c r="D5790" s="76" t="s">
        <v>902</v>
      </c>
      <c r="E5790" s="79" t="s">
        <v>942</v>
      </c>
      <c r="F5790" s="79"/>
    </row>
    <row r="5791" spans="1:6">
      <c r="A5791" s="77">
        <f t="shared" ca="1" si="554"/>
        <v>46036</v>
      </c>
      <c r="B5791" s="80">
        <f t="shared" ca="1" si="555"/>
        <v>46036.220543171294</v>
      </c>
      <c r="C5791" s="76" t="s">
        <v>810</v>
      </c>
      <c r="D5791" s="76" t="s">
        <v>902</v>
      </c>
      <c r="E5791" s="79" t="s">
        <v>3219</v>
      </c>
      <c r="F5791" s="79"/>
    </row>
    <row r="5792" spans="1:6">
      <c r="A5792" s="77">
        <f t="shared" ca="1" si="554"/>
        <v>46036</v>
      </c>
      <c r="B5792" s="80">
        <f t="shared" ca="1" si="555"/>
        <v>46036.220803703705</v>
      </c>
      <c r="C5792" s="76" t="s">
        <v>810</v>
      </c>
      <c r="D5792" s="76" t="s">
        <v>902</v>
      </c>
      <c r="E5792" s="79" t="s">
        <v>3220</v>
      </c>
      <c r="F5792" s="79"/>
    </row>
    <row r="5793" spans="1:6">
      <c r="A5793" s="77">
        <f t="shared" ca="1" si="554"/>
        <v>46036</v>
      </c>
      <c r="B5793" s="80">
        <f t="shared" ca="1" si="555"/>
        <v>46036.224025347219</v>
      </c>
      <c r="C5793" s="76" t="s">
        <v>810</v>
      </c>
      <c r="D5793" s="76" t="s">
        <v>902</v>
      </c>
      <c r="E5793" s="79" t="s">
        <v>943</v>
      </c>
      <c r="F5793" s="79"/>
    </row>
    <row r="5794" spans="1:6">
      <c r="A5794" s="77">
        <f t="shared" ca="1" si="554"/>
        <v>46036</v>
      </c>
      <c r="B5794" s="80">
        <f t="shared" ca="1" si="555"/>
        <v>46036.225390740743</v>
      </c>
      <c r="C5794" s="76" t="s">
        <v>810</v>
      </c>
      <c r="D5794" s="76" t="s">
        <v>902</v>
      </c>
      <c r="E5794" s="79" t="s">
        <v>955</v>
      </c>
      <c r="F5794" s="79"/>
    </row>
    <row r="5795" spans="1:6">
      <c r="A5795" s="77">
        <f t="shared" ca="1" si="554"/>
        <v>46036</v>
      </c>
      <c r="B5795" s="80">
        <f t="shared" ca="1" si="555"/>
        <v>46036.227184606483</v>
      </c>
      <c r="C5795" s="76" t="s">
        <v>810</v>
      </c>
      <c r="D5795" s="76" t="s">
        <v>902</v>
      </c>
      <c r="E5795" s="79" t="s">
        <v>955</v>
      </c>
      <c r="F5795" s="79"/>
    </row>
    <row r="5796" spans="1:6">
      <c r="A5796" s="77">
        <f t="shared" ca="1" si="554"/>
        <v>46036</v>
      </c>
      <c r="B5796" s="80">
        <f t="shared" ca="1" si="555"/>
        <v>46036.229914699077</v>
      </c>
      <c r="C5796" s="76" t="s">
        <v>810</v>
      </c>
      <c r="D5796" s="76" t="s">
        <v>902</v>
      </c>
      <c r="E5796" s="79" t="s">
        <v>955</v>
      </c>
      <c r="F5796" s="79"/>
    </row>
    <row r="5797" spans="1:6">
      <c r="A5797" s="77">
        <f t="shared" ca="1" si="554"/>
        <v>46036</v>
      </c>
      <c r="B5797" s="80">
        <f t="shared" ca="1" si="555"/>
        <v>46036.240044560182</v>
      </c>
      <c r="C5797" s="76" t="s">
        <v>810</v>
      </c>
      <c r="D5797" s="76" t="s">
        <v>902</v>
      </c>
      <c r="E5797" s="79" t="s">
        <v>3221</v>
      </c>
      <c r="F5797" s="79"/>
    </row>
    <row r="5798" spans="1:6">
      <c r="A5798" s="77">
        <f t="shared" ca="1" si="554"/>
        <v>46036</v>
      </c>
      <c r="B5798" s="80">
        <f t="shared" ca="1" si="555"/>
        <v>46036.242486342591</v>
      </c>
      <c r="C5798" s="76" t="s">
        <v>810</v>
      </c>
      <c r="D5798" s="76" t="s">
        <v>902</v>
      </c>
      <c r="E5798" s="79" t="s">
        <v>2487</v>
      </c>
      <c r="F5798" s="79"/>
    </row>
    <row r="5799" spans="1:6">
      <c r="A5799" s="77">
        <f t="shared" ca="1" si="554"/>
        <v>46036</v>
      </c>
      <c r="B5799" s="80">
        <f t="shared" ca="1" si="555"/>
        <v>46036.24286377315</v>
      </c>
      <c r="C5799" s="76" t="s">
        <v>810</v>
      </c>
      <c r="D5799" s="76" t="s">
        <v>902</v>
      </c>
      <c r="E5799" s="79" t="s">
        <v>1173</v>
      </c>
      <c r="F5799" s="79"/>
    </row>
    <row r="5800" spans="1:6">
      <c r="A5800" s="77">
        <f t="shared" ca="1" si="554"/>
        <v>46036</v>
      </c>
      <c r="B5800" s="80">
        <f t="shared" ca="1" si="555"/>
        <v>46036.244868865739</v>
      </c>
      <c r="C5800" s="76" t="s">
        <v>810</v>
      </c>
      <c r="D5800" s="76" t="s">
        <v>902</v>
      </c>
      <c r="E5800" s="79" t="s">
        <v>1062</v>
      </c>
      <c r="F5800" s="79"/>
    </row>
    <row r="5801" spans="1:6">
      <c r="A5801" s="77">
        <f t="shared" ca="1" si="554"/>
        <v>46036</v>
      </c>
      <c r="B5801" s="80">
        <f t="shared" ca="1" si="555"/>
        <v>46036.245758449077</v>
      </c>
      <c r="C5801" s="76" t="s">
        <v>810</v>
      </c>
      <c r="D5801" s="76" t="s">
        <v>902</v>
      </c>
      <c r="E5801" s="79" t="s">
        <v>1173</v>
      </c>
      <c r="F5801" s="79"/>
    </row>
    <row r="5802" spans="1:6">
      <c r="A5802" s="77">
        <f t="shared" ca="1" si="554"/>
        <v>46036</v>
      </c>
      <c r="B5802" s="80">
        <f t="shared" ca="1" si="555"/>
        <v>46036.247288194441</v>
      </c>
      <c r="C5802" s="76" t="s">
        <v>810</v>
      </c>
      <c r="D5802" s="76" t="s">
        <v>902</v>
      </c>
      <c r="E5802" s="79" t="s">
        <v>955</v>
      </c>
      <c r="F5802" s="79"/>
    </row>
    <row r="5803" spans="1:6">
      <c r="A5803" s="77">
        <f t="shared" ca="1" si="554"/>
        <v>46036</v>
      </c>
      <c r="B5803" s="80">
        <f t="shared" ca="1" si="555"/>
        <v>46036.253598379626</v>
      </c>
      <c r="C5803" s="76" t="s">
        <v>810</v>
      </c>
      <c r="D5803" s="76" t="s">
        <v>902</v>
      </c>
      <c r="E5803" s="79" t="s">
        <v>1062</v>
      </c>
      <c r="F5803" s="79"/>
    </row>
    <row r="5804" spans="1:6">
      <c r="A5804" s="77">
        <f t="shared" ca="1" si="554"/>
        <v>46036</v>
      </c>
      <c r="B5804" s="80">
        <f t="shared" ca="1" si="555"/>
        <v>46036.255055787035</v>
      </c>
      <c r="C5804" s="76" t="s">
        <v>810</v>
      </c>
      <c r="D5804" s="76" t="s">
        <v>902</v>
      </c>
      <c r="E5804" s="79" t="s">
        <v>955</v>
      </c>
      <c r="F5804" s="79"/>
    </row>
    <row r="5805" spans="1:6">
      <c r="A5805" s="77">
        <f t="shared" ca="1" si="554"/>
        <v>46036</v>
      </c>
      <c r="B5805" s="80">
        <f t="shared" ca="1" si="555"/>
        <v>46036.259335763891</v>
      </c>
      <c r="C5805" s="76" t="s">
        <v>810</v>
      </c>
      <c r="D5805" s="76" t="s">
        <v>902</v>
      </c>
      <c r="E5805" s="79" t="s">
        <v>2991</v>
      </c>
      <c r="F5805" s="79"/>
    </row>
    <row r="5806" spans="1:6">
      <c r="A5806" s="77">
        <f t="shared" ca="1" si="554"/>
        <v>46036</v>
      </c>
      <c r="B5806" s="80">
        <f t="shared" ca="1" si="555"/>
        <v>46036.260182754631</v>
      </c>
      <c r="C5806" s="76" t="s">
        <v>810</v>
      </c>
      <c r="D5806" s="76" t="s">
        <v>902</v>
      </c>
      <c r="E5806" s="79" t="s">
        <v>2991</v>
      </c>
      <c r="F5806" s="79"/>
    </row>
    <row r="5807" spans="1:6">
      <c r="A5807" s="77">
        <f t="shared" ca="1" si="554"/>
        <v>46036</v>
      </c>
      <c r="B5807" s="80">
        <f t="shared" ca="1" si="555"/>
        <v>46036.260182754631</v>
      </c>
      <c r="C5807" s="76" t="s">
        <v>810</v>
      </c>
      <c r="D5807" s="76" t="s">
        <v>902</v>
      </c>
      <c r="E5807" s="79" t="s">
        <v>2991</v>
      </c>
      <c r="F5807" s="79"/>
    </row>
    <row r="5808" spans="1:6">
      <c r="A5808" s="77">
        <f t="shared" ca="1" si="554"/>
        <v>46036</v>
      </c>
      <c r="B5808" s="80">
        <f t="shared" ca="1" si="555"/>
        <v>46036.260182754631</v>
      </c>
      <c r="C5808" s="76" t="s">
        <v>810</v>
      </c>
      <c r="D5808" s="76" t="s">
        <v>902</v>
      </c>
      <c r="E5808" s="79" t="s">
        <v>2991</v>
      </c>
      <c r="F5808" s="79"/>
    </row>
    <row r="5809" spans="1:6">
      <c r="A5809" s="77">
        <f t="shared" ca="1" si="554"/>
        <v>46036</v>
      </c>
      <c r="B5809" s="80">
        <f t="shared" ca="1" si="555"/>
        <v>46036.260182754631</v>
      </c>
      <c r="C5809" s="76" t="s">
        <v>810</v>
      </c>
      <c r="D5809" s="76" t="s">
        <v>902</v>
      </c>
      <c r="E5809" s="79" t="s">
        <v>2991</v>
      </c>
      <c r="F5809" s="79"/>
    </row>
    <row r="5810" spans="1:6">
      <c r="A5810" s="77">
        <f t="shared" ca="1" si="554"/>
        <v>46036</v>
      </c>
      <c r="B5810" s="80">
        <f t="shared" ca="1" si="555"/>
        <v>46036.260984490742</v>
      </c>
      <c r="C5810" s="76" t="s">
        <v>810</v>
      </c>
      <c r="D5810" s="76" t="s">
        <v>902</v>
      </c>
      <c r="E5810" s="79" t="s">
        <v>2991</v>
      </c>
      <c r="F5810" s="79"/>
    </row>
    <row r="5811" spans="1:6">
      <c r="A5811" s="77">
        <f t="shared" ca="1" si="554"/>
        <v>46036</v>
      </c>
      <c r="B5811" s="80">
        <f t="shared" ca="1" si="555"/>
        <v>46036.26356388889</v>
      </c>
      <c r="C5811" s="76" t="s">
        <v>810</v>
      </c>
      <c r="D5811" s="76" t="s">
        <v>902</v>
      </c>
      <c r="E5811" s="79" t="s">
        <v>2991</v>
      </c>
      <c r="F5811" s="79"/>
    </row>
    <row r="5812" spans="1:6">
      <c r="A5812" s="77">
        <f t="shared" ca="1" si="554"/>
        <v>46036</v>
      </c>
      <c r="B5812" s="80">
        <f t="shared" ca="1" si="555"/>
        <v>46036.26356388889</v>
      </c>
      <c r="C5812" s="76" t="s">
        <v>810</v>
      </c>
      <c r="D5812" s="76" t="s">
        <v>902</v>
      </c>
      <c r="E5812" s="79" t="s">
        <v>2991</v>
      </c>
      <c r="F5812" s="79"/>
    </row>
    <row r="5813" spans="1:6">
      <c r="A5813" s="77">
        <f t="shared" ca="1" si="554"/>
        <v>46036</v>
      </c>
      <c r="B5813" s="80">
        <f t="shared" ca="1" si="555"/>
        <v>46036.26356388889</v>
      </c>
      <c r="C5813" s="76" t="s">
        <v>810</v>
      </c>
      <c r="D5813" s="76" t="s">
        <v>902</v>
      </c>
      <c r="E5813" s="79" t="s">
        <v>2991</v>
      </c>
      <c r="F5813" s="79"/>
    </row>
    <row r="5814" spans="1:6">
      <c r="A5814" s="77">
        <f t="shared" ca="1" si="554"/>
        <v>46036</v>
      </c>
      <c r="B5814" s="80">
        <f t="shared" ca="1" si="555"/>
        <v>46036.268135185186</v>
      </c>
      <c r="C5814" s="76" t="s">
        <v>810</v>
      </c>
      <c r="D5814" s="76" t="s">
        <v>902</v>
      </c>
      <c r="E5814" s="79" t="s">
        <v>3222</v>
      </c>
      <c r="F5814" s="79"/>
    </row>
    <row r="5815" spans="1:6">
      <c r="A5815" s="77">
        <f t="shared" ca="1" si="554"/>
        <v>46036</v>
      </c>
      <c r="B5815" s="80">
        <f t="shared" ca="1" si="555"/>
        <v>46036.268666666663</v>
      </c>
      <c r="C5815" s="76" t="s">
        <v>810</v>
      </c>
      <c r="D5815" s="76" t="s">
        <v>902</v>
      </c>
      <c r="E5815" s="79" t="s">
        <v>2991</v>
      </c>
      <c r="F5815" s="79"/>
    </row>
    <row r="5816" spans="1:6">
      <c r="A5816" s="77">
        <f t="shared" ca="1" si="554"/>
        <v>46036</v>
      </c>
      <c r="B5816" s="80">
        <f t="shared" ca="1" si="555"/>
        <v>46036.268666666663</v>
      </c>
      <c r="C5816" s="76" t="s">
        <v>810</v>
      </c>
      <c r="D5816" s="76" t="s">
        <v>902</v>
      </c>
      <c r="E5816" s="79" t="s">
        <v>2991</v>
      </c>
      <c r="F5816" s="79"/>
    </row>
    <row r="5817" spans="1:6">
      <c r="A5817" s="77">
        <f t="shared" ca="1" si="554"/>
        <v>46036</v>
      </c>
      <c r="B5817" s="80">
        <f t="shared" ca="1" si="555"/>
        <v>46036.268666666663</v>
      </c>
      <c r="C5817" s="76" t="s">
        <v>810</v>
      </c>
      <c r="D5817" s="76" t="s">
        <v>902</v>
      </c>
      <c r="E5817" s="79" t="s">
        <v>2991</v>
      </c>
      <c r="F5817" s="79"/>
    </row>
    <row r="5818" spans="1:6">
      <c r="A5818" s="77">
        <f t="shared" ca="1" si="554"/>
        <v>46036</v>
      </c>
      <c r="B5818" s="80">
        <f t="shared" ca="1" si="555"/>
        <v>46036.268666666663</v>
      </c>
      <c r="C5818" s="76" t="s">
        <v>810</v>
      </c>
      <c r="D5818" s="76" t="s">
        <v>902</v>
      </c>
      <c r="E5818" s="79" t="s">
        <v>2991</v>
      </c>
      <c r="F5818" s="79"/>
    </row>
    <row r="5819" spans="1:6">
      <c r="A5819" s="77">
        <f t="shared" ca="1" si="554"/>
        <v>46036</v>
      </c>
      <c r="B5819" s="80">
        <f t="shared" ca="1" si="555"/>
        <v>46036.268666666663</v>
      </c>
      <c r="C5819" s="76" t="s">
        <v>810</v>
      </c>
      <c r="D5819" s="76" t="s">
        <v>902</v>
      </c>
      <c r="E5819" s="79" t="s">
        <v>2991</v>
      </c>
      <c r="F5819" s="79"/>
    </row>
    <row r="5820" spans="1:6">
      <c r="A5820" s="77">
        <f t="shared" ca="1" si="554"/>
        <v>46036</v>
      </c>
      <c r="B5820" s="80">
        <f t="shared" ca="1" si="555"/>
        <v>46036.26945324074</v>
      </c>
      <c r="C5820" s="76" t="s">
        <v>810</v>
      </c>
      <c r="D5820" s="76" t="s">
        <v>902</v>
      </c>
      <c r="E5820" s="79" t="s">
        <v>2991</v>
      </c>
      <c r="F5820" s="79"/>
    </row>
    <row r="5821" spans="1:6">
      <c r="A5821" s="77">
        <f t="shared" ca="1" si="554"/>
        <v>46036</v>
      </c>
      <c r="B5821" s="80">
        <f t="shared" ca="1" si="555"/>
        <v>46036.26945324074</v>
      </c>
      <c r="C5821" s="76" t="s">
        <v>810</v>
      </c>
      <c r="D5821" s="76" t="s">
        <v>902</v>
      </c>
      <c r="E5821" s="79" t="s">
        <v>2991</v>
      </c>
      <c r="F5821" s="79"/>
    </row>
    <row r="5822" spans="1:6">
      <c r="A5822" s="77">
        <f t="shared" ca="1" si="554"/>
        <v>46036</v>
      </c>
      <c r="B5822" s="80">
        <f t="shared" ca="1" si="555"/>
        <v>46036.26945324074</v>
      </c>
      <c r="C5822" s="76" t="s">
        <v>810</v>
      </c>
      <c r="D5822" s="76" t="s">
        <v>902</v>
      </c>
      <c r="E5822" s="79" t="s">
        <v>2991</v>
      </c>
      <c r="F5822" s="79"/>
    </row>
    <row r="5823" spans="1:6">
      <c r="A5823" s="77">
        <f t="shared" ca="1" si="554"/>
        <v>46036</v>
      </c>
      <c r="B5823" s="80">
        <f t="shared" ca="1" si="555"/>
        <v>46036.26945324074</v>
      </c>
      <c r="C5823" s="76" t="s">
        <v>810</v>
      </c>
      <c r="D5823" s="76" t="s">
        <v>902</v>
      </c>
      <c r="E5823" s="79" t="s">
        <v>2991</v>
      </c>
      <c r="F5823" s="79"/>
    </row>
    <row r="5824" spans="1:6">
      <c r="A5824" s="77">
        <f t="shared" ca="1" si="554"/>
        <v>46036</v>
      </c>
      <c r="B5824" s="80">
        <f t="shared" ca="1" si="555"/>
        <v>46036.26945324074</v>
      </c>
      <c r="C5824" s="76" t="s">
        <v>810</v>
      </c>
      <c r="D5824" s="76" t="s">
        <v>902</v>
      </c>
      <c r="E5824" s="79" t="s">
        <v>2991</v>
      </c>
      <c r="F5824" s="79"/>
    </row>
    <row r="5825" spans="1:6">
      <c r="A5825" s="77">
        <f t="shared" ca="1" si="554"/>
        <v>46036</v>
      </c>
      <c r="B5825" s="80">
        <f t="shared" ca="1" si="555"/>
        <v>46036.26967037037</v>
      </c>
      <c r="C5825" s="76" t="s">
        <v>810</v>
      </c>
      <c r="D5825" s="76" t="s">
        <v>902</v>
      </c>
      <c r="E5825" s="79" t="s">
        <v>3222</v>
      </c>
      <c r="F5825" s="79"/>
    </row>
    <row r="5826" spans="1:6">
      <c r="A5826" s="77">
        <f t="shared" ca="1" si="554"/>
        <v>46036</v>
      </c>
      <c r="B5826" s="80">
        <f t="shared" ca="1" si="555"/>
        <v>46036.273398726851</v>
      </c>
      <c r="C5826" s="76" t="s">
        <v>810</v>
      </c>
      <c r="D5826" s="76" t="s">
        <v>902</v>
      </c>
      <c r="E5826" s="79" t="s">
        <v>2991</v>
      </c>
      <c r="F5826" s="79"/>
    </row>
    <row r="5827" spans="1:6">
      <c r="A5827" s="77">
        <f t="shared" ca="1" si="554"/>
        <v>46036</v>
      </c>
      <c r="B5827" s="80">
        <f t="shared" ca="1" si="555"/>
        <v>46036.273398726851</v>
      </c>
      <c r="C5827" s="76" t="s">
        <v>810</v>
      </c>
      <c r="D5827" s="76" t="s">
        <v>902</v>
      </c>
      <c r="E5827" s="79" t="s">
        <v>2991</v>
      </c>
      <c r="F5827" s="79"/>
    </row>
    <row r="5828" spans="1:6">
      <c r="A5828" s="77">
        <f t="shared" ca="1" si="554"/>
        <v>46036</v>
      </c>
      <c r="B5828" s="80">
        <f t="shared" ca="1" si="555"/>
        <v>46036.273398726851</v>
      </c>
      <c r="C5828" s="76" t="s">
        <v>810</v>
      </c>
      <c r="D5828" s="76" t="s">
        <v>902</v>
      </c>
      <c r="E5828" s="79" t="s">
        <v>2991</v>
      </c>
      <c r="F5828" s="79"/>
    </row>
    <row r="5829" spans="1:6">
      <c r="A5829" s="77">
        <f t="shared" ca="1" si="554"/>
        <v>46036</v>
      </c>
      <c r="B5829" s="80">
        <f t="shared" ca="1" si="555"/>
        <v>46036.27413391204</v>
      </c>
      <c r="C5829" s="76" t="s">
        <v>810</v>
      </c>
      <c r="D5829" s="76" t="s">
        <v>902</v>
      </c>
      <c r="E5829" s="79" t="s">
        <v>2991</v>
      </c>
      <c r="F5829" s="79"/>
    </row>
    <row r="5830" spans="1:6">
      <c r="A5830" s="77">
        <f t="shared" ca="1" si="554"/>
        <v>46036</v>
      </c>
      <c r="B5830" s="80">
        <f t="shared" ca="1" si="555"/>
        <v>46036.27413391204</v>
      </c>
      <c r="C5830" s="76" t="s">
        <v>810</v>
      </c>
      <c r="D5830" s="76" t="s">
        <v>902</v>
      </c>
      <c r="E5830" s="79" t="s">
        <v>2991</v>
      </c>
      <c r="F5830" s="79"/>
    </row>
    <row r="5831" spans="1:6">
      <c r="A5831" s="77">
        <f t="shared" ca="1" si="554"/>
        <v>46036</v>
      </c>
      <c r="B5831" s="80">
        <f t="shared" ca="1" si="555"/>
        <v>46036.27413391204</v>
      </c>
      <c r="C5831" s="76" t="s">
        <v>810</v>
      </c>
      <c r="D5831" s="76" t="s">
        <v>902</v>
      </c>
      <c r="E5831" s="79" t="s">
        <v>2991</v>
      </c>
      <c r="F5831" s="79"/>
    </row>
    <row r="5832" spans="1:6">
      <c r="A5832" s="77">
        <f t="shared" ca="1" si="554"/>
        <v>46036</v>
      </c>
      <c r="B5832" s="80">
        <f t="shared" ca="1" si="555"/>
        <v>46036.274568634261</v>
      </c>
      <c r="C5832" s="76" t="s">
        <v>810</v>
      </c>
      <c r="D5832" s="76" t="s">
        <v>902</v>
      </c>
      <c r="E5832" s="79" t="s">
        <v>3223</v>
      </c>
      <c r="F5832" s="79"/>
    </row>
    <row r="5833" spans="1:6">
      <c r="A5833" s="77">
        <f t="shared" ref="A5833:A5894" ca="1" si="556">IF(C5833&lt;&gt;0,IF(A5833=0,TODAY(),A5833),)</f>
        <v>46036</v>
      </c>
      <c r="B5833" s="80">
        <f t="shared" ref="B5833:B5894" ca="1" si="557">IF(C5833&lt;&gt;0,IF(B5833=0,NOW(),B5833),)</f>
        <v>46036.275575694446</v>
      </c>
      <c r="C5833" s="76" t="s">
        <v>810</v>
      </c>
      <c r="D5833" s="76" t="s">
        <v>902</v>
      </c>
      <c r="E5833" s="79" t="s">
        <v>2991</v>
      </c>
      <c r="F5833" s="79"/>
    </row>
    <row r="5834" spans="1:6">
      <c r="A5834" s="77">
        <f t="shared" ca="1" si="556"/>
        <v>46036</v>
      </c>
      <c r="B5834" s="80">
        <f t="shared" ca="1" si="557"/>
        <v>46036.275575694446</v>
      </c>
      <c r="C5834" s="76" t="s">
        <v>810</v>
      </c>
      <c r="D5834" s="76" t="s">
        <v>902</v>
      </c>
      <c r="E5834" s="79" t="s">
        <v>2991</v>
      </c>
      <c r="F5834" s="79"/>
    </row>
    <row r="5835" spans="1:6">
      <c r="A5835" s="77">
        <f t="shared" ca="1" si="556"/>
        <v>46036</v>
      </c>
      <c r="B5835" s="80">
        <f t="shared" ca="1" si="557"/>
        <v>46036.276734375002</v>
      </c>
      <c r="C5835" s="76" t="s">
        <v>810</v>
      </c>
      <c r="D5835" s="76" t="s">
        <v>902</v>
      </c>
      <c r="E5835" s="79" t="s">
        <v>2991</v>
      </c>
      <c r="F5835" s="79"/>
    </row>
    <row r="5836" spans="1:6">
      <c r="A5836" s="77">
        <f t="shared" ca="1" si="556"/>
        <v>46036</v>
      </c>
      <c r="B5836" s="80">
        <f t="shared" ca="1" si="557"/>
        <v>46036.276734375002</v>
      </c>
      <c r="C5836" s="76" t="s">
        <v>810</v>
      </c>
      <c r="D5836" s="76" t="s">
        <v>902</v>
      </c>
      <c r="E5836" s="79" t="s">
        <v>2991</v>
      </c>
      <c r="F5836" s="79"/>
    </row>
    <row r="5837" spans="1:6">
      <c r="A5837" s="77">
        <f t="shared" ca="1" si="556"/>
        <v>46036</v>
      </c>
      <c r="B5837" s="80">
        <f t="shared" ca="1" si="557"/>
        <v>46036.276734375002</v>
      </c>
      <c r="C5837" s="76" t="s">
        <v>810</v>
      </c>
      <c r="D5837" s="76" t="s">
        <v>902</v>
      </c>
      <c r="E5837" s="79" t="s">
        <v>2991</v>
      </c>
      <c r="F5837" s="79"/>
    </row>
    <row r="5838" spans="1:6">
      <c r="A5838" s="77">
        <f t="shared" ca="1" si="556"/>
        <v>46036</v>
      </c>
      <c r="B5838" s="80">
        <f t="shared" ca="1" si="557"/>
        <v>46036.277276504632</v>
      </c>
      <c r="C5838" s="76" t="s">
        <v>810</v>
      </c>
      <c r="D5838" s="76" t="s">
        <v>902</v>
      </c>
      <c r="E5838" s="79" t="s">
        <v>2991</v>
      </c>
      <c r="F5838" s="79"/>
    </row>
    <row r="5839" spans="1:6">
      <c r="A5839" s="77">
        <f t="shared" ca="1" si="556"/>
        <v>46036</v>
      </c>
      <c r="B5839" s="80">
        <f t="shared" ca="1" si="557"/>
        <v>46036.279813657406</v>
      </c>
      <c r="C5839" s="76" t="s">
        <v>810</v>
      </c>
      <c r="D5839" s="76" t="s">
        <v>902</v>
      </c>
      <c r="E5839" s="79" t="s">
        <v>2991</v>
      </c>
      <c r="F5839" s="79"/>
    </row>
    <row r="5840" spans="1:6">
      <c r="A5840" s="77">
        <f t="shared" ca="1" si="556"/>
        <v>46036</v>
      </c>
      <c r="B5840" s="80">
        <f t="shared" ca="1" si="557"/>
        <v>46036.279813657406</v>
      </c>
      <c r="C5840" s="76" t="s">
        <v>810</v>
      </c>
      <c r="D5840" s="76" t="s">
        <v>902</v>
      </c>
      <c r="E5840" s="79" t="s">
        <v>2991</v>
      </c>
      <c r="F5840" s="79"/>
    </row>
    <row r="5841" spans="1:6">
      <c r="A5841" s="77">
        <f t="shared" ca="1" si="556"/>
        <v>46036</v>
      </c>
      <c r="B5841" s="80">
        <f t="shared" ca="1" si="557"/>
        <v>46036.279813657406</v>
      </c>
      <c r="C5841" s="76" t="s">
        <v>810</v>
      </c>
      <c r="D5841" s="76" t="s">
        <v>902</v>
      </c>
      <c r="E5841" s="79" t="s">
        <v>2991</v>
      </c>
      <c r="F5841" s="79"/>
    </row>
    <row r="5842" spans="1:6">
      <c r="A5842" s="77">
        <f t="shared" ca="1" si="556"/>
        <v>46036</v>
      </c>
      <c r="B5842" s="80">
        <f t="shared" ca="1" si="557"/>
        <v>46036.279813657406</v>
      </c>
      <c r="C5842" s="76" t="s">
        <v>810</v>
      </c>
      <c r="D5842" s="76" t="s">
        <v>902</v>
      </c>
      <c r="E5842" s="79" t="s">
        <v>2991</v>
      </c>
      <c r="F5842" s="79"/>
    </row>
    <row r="5843" spans="1:6">
      <c r="A5843" s="77">
        <f t="shared" ca="1" si="556"/>
        <v>46036</v>
      </c>
      <c r="B5843" s="80">
        <f t="shared" ca="1" si="557"/>
        <v>46036.283247569445</v>
      </c>
      <c r="C5843" s="76" t="s">
        <v>810</v>
      </c>
      <c r="D5843" s="76" t="s">
        <v>902</v>
      </c>
      <c r="E5843" s="79" t="s">
        <v>920</v>
      </c>
      <c r="F5843" s="79"/>
    </row>
    <row r="5844" spans="1:6">
      <c r="A5844" s="77">
        <f t="shared" ca="1" si="556"/>
        <v>46036</v>
      </c>
      <c r="B5844" s="80">
        <f t="shared" ca="1" si="557"/>
        <v>46036.288148032407</v>
      </c>
      <c r="C5844" s="76" t="s">
        <v>810</v>
      </c>
      <c r="D5844" s="76" t="s">
        <v>902</v>
      </c>
      <c r="E5844" s="79" t="s">
        <v>1062</v>
      </c>
      <c r="F5844" s="79"/>
    </row>
    <row r="5845" spans="1:6">
      <c r="A5845" s="77">
        <f t="shared" ca="1" si="556"/>
        <v>46036</v>
      </c>
      <c r="B5845" s="80">
        <f t="shared" ca="1" si="557"/>
        <v>46036.289057986112</v>
      </c>
      <c r="C5845" s="76" t="s">
        <v>810</v>
      </c>
      <c r="D5845" s="76" t="s">
        <v>902</v>
      </c>
      <c r="E5845" s="79" t="s">
        <v>3224</v>
      </c>
      <c r="F5845" s="79"/>
    </row>
    <row r="5846" spans="1:6">
      <c r="A5846" s="77">
        <f t="shared" ca="1" si="556"/>
        <v>46036</v>
      </c>
      <c r="B5846" s="80">
        <f t="shared" ca="1" si="557"/>
        <v>46036.289484259258</v>
      </c>
      <c r="C5846" s="76" t="s">
        <v>810</v>
      </c>
      <c r="D5846" s="76" t="s">
        <v>902</v>
      </c>
      <c r="E5846" s="79" t="s">
        <v>3225</v>
      </c>
      <c r="F5846" s="79"/>
    </row>
    <row r="5847" spans="1:6">
      <c r="A5847" s="77">
        <f t="shared" ca="1" si="556"/>
        <v>46036</v>
      </c>
      <c r="B5847" s="80">
        <f t="shared" ca="1" si="557"/>
        <v>46036.290338078703</v>
      </c>
      <c r="C5847" s="76" t="s">
        <v>810</v>
      </c>
      <c r="D5847" s="76" t="s">
        <v>902</v>
      </c>
      <c r="E5847" s="79" t="s">
        <v>2991</v>
      </c>
      <c r="F5847" s="79"/>
    </row>
    <row r="5848" spans="1:6">
      <c r="A5848" s="77">
        <f t="shared" ca="1" si="556"/>
        <v>46036</v>
      </c>
      <c r="B5848" s="80">
        <f t="shared" ca="1" si="557"/>
        <v>46036.291854745374</v>
      </c>
      <c r="C5848" s="76" t="s">
        <v>810</v>
      </c>
      <c r="D5848" s="76" t="s">
        <v>902</v>
      </c>
      <c r="E5848" s="79" t="s">
        <v>3225</v>
      </c>
      <c r="F5848" s="79"/>
    </row>
    <row r="5849" spans="1:6">
      <c r="A5849" s="77">
        <f t="shared" ca="1" si="556"/>
        <v>46036</v>
      </c>
      <c r="B5849" s="80">
        <f t="shared" ca="1" si="557"/>
        <v>46036.292834027779</v>
      </c>
      <c r="C5849" s="76" t="s">
        <v>810</v>
      </c>
      <c r="D5849" s="76" t="s">
        <v>902</v>
      </c>
      <c r="E5849" s="79" t="s">
        <v>2991</v>
      </c>
      <c r="F5849" s="79"/>
    </row>
    <row r="5850" spans="1:6">
      <c r="A5850" s="77">
        <f t="shared" ca="1" si="556"/>
        <v>46036</v>
      </c>
      <c r="B5850" s="80">
        <f t="shared" ca="1" si="557"/>
        <v>46036.293742939815</v>
      </c>
      <c r="C5850" s="76" t="s">
        <v>810</v>
      </c>
      <c r="D5850" s="76" t="s">
        <v>902</v>
      </c>
      <c r="E5850" s="79" t="s">
        <v>920</v>
      </c>
      <c r="F5850" s="79"/>
    </row>
    <row r="5851" spans="1:6">
      <c r="A5851" s="77">
        <f t="shared" ca="1" si="556"/>
        <v>46036</v>
      </c>
      <c r="B5851" s="80">
        <f t="shared" ca="1" si="557"/>
        <v>46036.300911226848</v>
      </c>
      <c r="C5851" s="76" t="s">
        <v>810</v>
      </c>
      <c r="D5851" s="76" t="s">
        <v>902</v>
      </c>
      <c r="E5851" s="79" t="s">
        <v>3226</v>
      </c>
      <c r="F5851" s="79"/>
    </row>
    <row r="5852" spans="1:6">
      <c r="A5852" s="77">
        <f t="shared" ca="1" si="556"/>
        <v>46036</v>
      </c>
      <c r="B5852" s="80">
        <f t="shared" ca="1" si="557"/>
        <v>46036.302664583331</v>
      </c>
      <c r="C5852" s="76" t="s">
        <v>810</v>
      </c>
      <c r="D5852" s="76" t="s">
        <v>902</v>
      </c>
      <c r="E5852" s="79" t="s">
        <v>3227</v>
      </c>
      <c r="F5852" s="79"/>
    </row>
    <row r="5853" spans="1:6">
      <c r="A5853" s="77">
        <f t="shared" ca="1" si="556"/>
        <v>46036</v>
      </c>
      <c r="B5853" s="80">
        <f t="shared" ca="1" si="557"/>
        <v>46036.308611111112</v>
      </c>
      <c r="C5853" s="76" t="s">
        <v>810</v>
      </c>
      <c r="D5853" s="76" t="s">
        <v>902</v>
      </c>
      <c r="E5853" s="79" t="s">
        <v>1555</v>
      </c>
      <c r="F5853" s="79"/>
    </row>
    <row r="5854" spans="1:6">
      <c r="A5854" s="77">
        <f t="shared" ca="1" si="556"/>
        <v>46036</v>
      </c>
      <c r="B5854" s="80">
        <f t="shared" ca="1" si="557"/>
        <v>46036.313307986115</v>
      </c>
      <c r="C5854" s="76" t="s">
        <v>810</v>
      </c>
      <c r="D5854" s="150" t="s">
        <v>1007</v>
      </c>
      <c r="E5854" s="79" t="s">
        <v>3228</v>
      </c>
      <c r="F5854" s="79"/>
    </row>
    <row r="5855" spans="1:6">
      <c r="A5855" s="77">
        <f t="shared" ca="1" si="556"/>
        <v>46036</v>
      </c>
      <c r="B5855" s="80">
        <f t="shared" ca="1" si="557"/>
        <v>46036.324958333331</v>
      </c>
      <c r="C5855" s="76" t="s">
        <v>810</v>
      </c>
      <c r="D5855" s="76" t="s">
        <v>902</v>
      </c>
      <c r="E5855" s="79" t="s">
        <v>3229</v>
      </c>
      <c r="F5855" s="79"/>
    </row>
    <row r="5856" spans="1:6">
      <c r="A5856" s="77">
        <f t="shared" ca="1" si="556"/>
        <v>46036</v>
      </c>
      <c r="B5856" s="80">
        <f t="shared" ca="1" si="557"/>
        <v>46036.329146875003</v>
      </c>
      <c r="C5856" s="76" t="s">
        <v>810</v>
      </c>
      <c r="D5856" s="76" t="s">
        <v>902</v>
      </c>
      <c r="E5856" s="79" t="s">
        <v>2489</v>
      </c>
      <c r="F5856" s="79"/>
    </row>
    <row r="5857" spans="1:6">
      <c r="A5857" s="77">
        <f t="shared" ca="1" si="556"/>
        <v>46036</v>
      </c>
      <c r="B5857" s="80">
        <f t="shared" ca="1" si="557"/>
        <v>46036.330541435185</v>
      </c>
      <c r="C5857" s="76" t="s">
        <v>810</v>
      </c>
      <c r="D5857" s="76" t="s">
        <v>902</v>
      </c>
      <c r="E5857" s="79" t="s">
        <v>3230</v>
      </c>
      <c r="F5857" s="79"/>
    </row>
    <row r="5858" spans="1:6">
      <c r="A5858" s="77">
        <f t="shared" ca="1" si="556"/>
        <v>46036</v>
      </c>
      <c r="B5858" s="80">
        <f t="shared" ca="1" si="557"/>
        <v>46036.343111689814</v>
      </c>
      <c r="C5858" s="76" t="s">
        <v>810</v>
      </c>
      <c r="D5858" s="76" t="s">
        <v>902</v>
      </c>
      <c r="E5858" s="79" t="s">
        <v>3231</v>
      </c>
      <c r="F5858" s="79"/>
    </row>
    <row r="5859" spans="1:6">
      <c r="A5859" s="77">
        <f t="shared" ca="1" si="556"/>
        <v>46036</v>
      </c>
      <c r="B5859" s="80">
        <f t="shared" ca="1" si="557"/>
        <v>46036.351091203702</v>
      </c>
      <c r="C5859" s="76" t="s">
        <v>810</v>
      </c>
      <c r="D5859" s="76" t="s">
        <v>902</v>
      </c>
      <c r="E5859" s="79" t="s">
        <v>3232</v>
      </c>
      <c r="F5859" s="79"/>
    </row>
    <row r="5860" spans="1:6">
      <c r="A5860" s="77">
        <f ca="1">IF(C5860&lt;&gt;0,IF(A5860=0,TODAY(),A5860),)</f>
        <v>46036</v>
      </c>
      <c r="B5860" s="80">
        <f t="shared" ca="1" si="557"/>
        <v>46036.393066898148</v>
      </c>
      <c r="C5860" s="76" t="s">
        <v>810</v>
      </c>
      <c r="D5860" s="76" t="s">
        <v>902</v>
      </c>
      <c r="E5860" s="79" t="s">
        <v>3233</v>
      </c>
      <c r="F5860" s="79"/>
    </row>
    <row r="5861" spans="1:6">
      <c r="A5861" s="77">
        <f t="shared" ca="1" si="556"/>
        <v>46036</v>
      </c>
      <c r="B5861" s="80">
        <f t="shared" ca="1" si="557"/>
        <v>46036.39453553241</v>
      </c>
      <c r="C5861" s="76" t="s">
        <v>810</v>
      </c>
      <c r="D5861" s="76" t="s">
        <v>902</v>
      </c>
      <c r="E5861" s="79" t="s">
        <v>1062</v>
      </c>
      <c r="F5861" s="79"/>
    </row>
    <row r="5862" spans="1:6">
      <c r="A5862" s="77">
        <f t="shared" ca="1" si="556"/>
        <v>46036</v>
      </c>
      <c r="B5862" s="80">
        <f t="shared" ca="1" si="557"/>
        <v>46036.394915393517</v>
      </c>
      <c r="C5862" s="76" t="s">
        <v>810</v>
      </c>
      <c r="D5862" s="76" t="s">
        <v>902</v>
      </c>
      <c r="E5862" s="79" t="s">
        <v>1311</v>
      </c>
      <c r="F5862" s="79"/>
    </row>
    <row r="5863" spans="1:6">
      <c r="A5863" s="77">
        <f t="shared" ca="1" si="556"/>
        <v>46036</v>
      </c>
      <c r="B5863" s="80">
        <f t="shared" ca="1" si="557"/>
        <v>46036.400207638886</v>
      </c>
      <c r="C5863" s="76" t="s">
        <v>810</v>
      </c>
      <c r="D5863" s="76" t="s">
        <v>902</v>
      </c>
      <c r="E5863" s="79" t="s">
        <v>3234</v>
      </c>
      <c r="F5863" s="79"/>
    </row>
    <row r="5864" spans="1:6">
      <c r="A5864" s="77">
        <f t="shared" ca="1" si="556"/>
        <v>46036</v>
      </c>
      <c r="B5864" s="80">
        <f t="shared" ca="1" si="557"/>
        <v>46036.407815162034</v>
      </c>
      <c r="C5864" s="76" t="s">
        <v>810</v>
      </c>
      <c r="D5864" s="76" t="s">
        <v>902</v>
      </c>
      <c r="E5864" s="79" t="s">
        <v>3168</v>
      </c>
      <c r="F5864" s="79"/>
    </row>
    <row r="5865" spans="1:6">
      <c r="A5865" s="77">
        <f t="shared" ca="1" si="556"/>
        <v>46036</v>
      </c>
      <c r="B5865" s="80">
        <f t="shared" ca="1" si="557"/>
        <v>46036.410168171293</v>
      </c>
      <c r="C5865" s="76" t="s">
        <v>810</v>
      </c>
      <c r="D5865" s="76" t="s">
        <v>902</v>
      </c>
      <c r="E5865" s="79" t="s">
        <v>3234</v>
      </c>
      <c r="F5865" s="79"/>
    </row>
    <row r="5866" spans="1:6">
      <c r="A5866" s="77">
        <f t="shared" ca="1" si="556"/>
        <v>46036</v>
      </c>
      <c r="B5866" s="80">
        <f t="shared" ca="1" si="557"/>
        <v>46036.410272337962</v>
      </c>
      <c r="C5866" s="76" t="s">
        <v>810</v>
      </c>
      <c r="D5866" s="76" t="s">
        <v>902</v>
      </c>
      <c r="E5866" s="79" t="s">
        <v>3234</v>
      </c>
      <c r="F5866" s="79"/>
    </row>
    <row r="5867" spans="1:6">
      <c r="A5867" s="77">
        <f t="shared" ca="1" si="556"/>
        <v>46036</v>
      </c>
      <c r="B5867" s="80">
        <f t="shared" ca="1" si="557"/>
        <v>46036.415434722221</v>
      </c>
      <c r="C5867" s="76" t="s">
        <v>810</v>
      </c>
      <c r="D5867" s="76" t="s">
        <v>902</v>
      </c>
      <c r="E5867" s="79" t="s">
        <v>1831</v>
      </c>
      <c r="F5867" s="79"/>
    </row>
    <row r="5868" spans="1:6">
      <c r="A5868" s="77">
        <f t="shared" ca="1" si="556"/>
        <v>46036</v>
      </c>
      <c r="B5868" s="80">
        <f t="shared" ca="1" si="557"/>
        <v>46036.422141782408</v>
      </c>
      <c r="C5868" s="76" t="s">
        <v>810</v>
      </c>
      <c r="D5868" s="76" t="s">
        <v>902</v>
      </c>
      <c r="E5868" s="79" t="s">
        <v>3235</v>
      </c>
      <c r="F5868" s="79"/>
    </row>
    <row r="5869" spans="1:6">
      <c r="A5869" s="77">
        <f t="shared" ca="1" si="556"/>
        <v>46036</v>
      </c>
      <c r="B5869" s="80">
        <f t="shared" ca="1" si="557"/>
        <v>46036.433675694447</v>
      </c>
      <c r="C5869" s="76" t="s">
        <v>810</v>
      </c>
      <c r="D5869" s="76" t="s">
        <v>902</v>
      </c>
      <c r="E5869" s="79" t="s">
        <v>3235</v>
      </c>
      <c r="F5869" s="79"/>
    </row>
    <row r="5870" spans="1:6">
      <c r="A5870" s="77">
        <f t="shared" ca="1" si="556"/>
        <v>46036</v>
      </c>
      <c r="B5870" s="80">
        <f t="shared" ca="1" si="557"/>
        <v>46036.435377314818</v>
      </c>
      <c r="C5870" s="76" t="s">
        <v>810</v>
      </c>
      <c r="D5870" s="76" t="s">
        <v>902</v>
      </c>
      <c r="E5870" s="76" t="s">
        <v>3043</v>
      </c>
      <c r="F5870" s="79"/>
    </row>
    <row r="5871" spans="1:6">
      <c r="A5871" s="77">
        <f t="shared" ca="1" si="556"/>
        <v>46036</v>
      </c>
      <c r="B5871" s="80">
        <f t="shared" ca="1" si="557"/>
        <v>46036.437749999997</v>
      </c>
      <c r="C5871" s="76" t="s">
        <v>810</v>
      </c>
      <c r="D5871" s="76" t="s">
        <v>902</v>
      </c>
      <c r="E5871" s="79" t="s">
        <v>3236</v>
      </c>
      <c r="F5871" s="79"/>
    </row>
    <row r="5872" spans="1:6">
      <c r="A5872" s="77">
        <f t="shared" ca="1" si="556"/>
        <v>46036</v>
      </c>
      <c r="B5872" s="80">
        <f t="shared" ca="1" si="557"/>
        <v>46036.438081365741</v>
      </c>
      <c r="C5872" s="76" t="s">
        <v>810</v>
      </c>
      <c r="D5872" s="76" t="s">
        <v>902</v>
      </c>
      <c r="E5872" s="79" t="s">
        <v>3237</v>
      </c>
      <c r="F5872" s="79"/>
    </row>
    <row r="5873" spans="1:6">
      <c r="A5873" s="77">
        <f t="shared" ca="1" si="556"/>
        <v>46036</v>
      </c>
      <c r="B5873" s="80">
        <f t="shared" ca="1" si="557"/>
        <v>46036.440369444441</v>
      </c>
      <c r="C5873" s="76" t="s">
        <v>810</v>
      </c>
      <c r="D5873" s="76" t="s">
        <v>902</v>
      </c>
      <c r="E5873" s="79" t="s">
        <v>1062</v>
      </c>
      <c r="F5873" s="79"/>
    </row>
    <row r="5874" spans="1:6">
      <c r="A5874" s="77">
        <f t="shared" ca="1" si="556"/>
        <v>46036</v>
      </c>
      <c r="B5874" s="80">
        <f t="shared" ca="1" si="557"/>
        <v>46036.440571412037</v>
      </c>
      <c r="C5874" s="76" t="s">
        <v>810</v>
      </c>
      <c r="D5874" s="76" t="s">
        <v>902</v>
      </c>
      <c r="E5874" s="79" t="s">
        <v>3234</v>
      </c>
      <c r="F5874" s="79"/>
    </row>
    <row r="5875" spans="1:6">
      <c r="A5875" s="77">
        <f t="shared" ca="1" si="556"/>
        <v>46036</v>
      </c>
      <c r="B5875" s="80">
        <f t="shared" ca="1" si="557"/>
        <v>46036.442184143518</v>
      </c>
      <c r="C5875" s="76" t="s">
        <v>810</v>
      </c>
      <c r="D5875" s="76" t="s">
        <v>902</v>
      </c>
      <c r="E5875" s="79" t="s">
        <v>3238</v>
      </c>
      <c r="F5875" s="79"/>
    </row>
    <row r="5876" spans="1:6">
      <c r="A5876" s="77">
        <f t="shared" ca="1" si="556"/>
        <v>46036</v>
      </c>
      <c r="B5876" s="80">
        <f t="shared" ca="1" si="557"/>
        <v>46036.44494212963</v>
      </c>
      <c r="C5876" s="76" t="s">
        <v>810</v>
      </c>
      <c r="D5876" s="76" t="s">
        <v>902</v>
      </c>
      <c r="E5876" s="79" t="s">
        <v>920</v>
      </c>
      <c r="F5876" s="79"/>
    </row>
    <row r="5877" spans="1:6">
      <c r="A5877" s="77">
        <f t="shared" ca="1" si="556"/>
        <v>46036</v>
      </c>
      <c r="B5877" s="80">
        <f t="shared" ca="1" si="557"/>
        <v>46036.448118749999</v>
      </c>
      <c r="C5877" s="76" t="s">
        <v>810</v>
      </c>
      <c r="D5877" s="76" t="s">
        <v>902</v>
      </c>
      <c r="E5877" s="79" t="s">
        <v>920</v>
      </c>
      <c r="F5877" s="79"/>
    </row>
    <row r="5878" spans="1:6">
      <c r="A5878" s="77">
        <f t="shared" ca="1" si="556"/>
        <v>46036</v>
      </c>
      <c r="B5878" s="80">
        <f t="shared" ca="1" si="557"/>
        <v>46036.454214583333</v>
      </c>
      <c r="C5878" s="76" t="s">
        <v>810</v>
      </c>
      <c r="D5878" s="76" t="s">
        <v>902</v>
      </c>
      <c r="E5878" s="79" t="s">
        <v>3234</v>
      </c>
      <c r="F5878" s="79"/>
    </row>
    <row r="5879" spans="1:6">
      <c r="A5879" s="77">
        <f t="shared" ca="1" si="556"/>
        <v>46036</v>
      </c>
      <c r="B5879" s="80">
        <f t="shared" ca="1" si="557"/>
        <v>46036.454285416665</v>
      </c>
      <c r="C5879" s="76" t="s">
        <v>810</v>
      </c>
      <c r="D5879" s="76" t="s">
        <v>902</v>
      </c>
      <c r="E5879" s="79" t="s">
        <v>920</v>
      </c>
      <c r="F5879" s="79"/>
    </row>
    <row r="5880" spans="1:6">
      <c r="A5880" s="77">
        <f t="shared" ca="1" si="556"/>
        <v>46036</v>
      </c>
      <c r="B5880" s="80">
        <f t="shared" ca="1" si="557"/>
        <v>46036.464270601849</v>
      </c>
      <c r="C5880" s="76" t="s">
        <v>810</v>
      </c>
      <c r="D5880" s="76" t="s">
        <v>902</v>
      </c>
      <c r="E5880" s="79" t="s">
        <v>3043</v>
      </c>
      <c r="F5880" s="79"/>
    </row>
    <row r="5881" spans="1:6">
      <c r="A5881" s="77">
        <f t="shared" ca="1" si="556"/>
        <v>46036</v>
      </c>
      <c r="B5881" s="80">
        <f t="shared" ca="1" si="557"/>
        <v>46036.46421273148</v>
      </c>
      <c r="C5881" s="76" t="s">
        <v>810</v>
      </c>
      <c r="D5881" s="76" t="s">
        <v>902</v>
      </c>
      <c r="E5881" s="79" t="s">
        <v>920</v>
      </c>
      <c r="F5881" s="79"/>
    </row>
    <row r="5882" spans="1:6">
      <c r="A5882" s="77">
        <f t="shared" ca="1" si="556"/>
        <v>46036</v>
      </c>
      <c r="B5882" s="80">
        <f t="shared" ca="1" si="557"/>
        <v>46036.467808449073</v>
      </c>
      <c r="C5882" s="76" t="s">
        <v>810</v>
      </c>
      <c r="D5882" s="76" t="s">
        <v>902</v>
      </c>
      <c r="E5882" s="79" t="s">
        <v>920</v>
      </c>
      <c r="F5882" s="79"/>
    </row>
    <row r="5883" spans="1:6">
      <c r="A5883" s="77">
        <f t="shared" ca="1" si="556"/>
        <v>46036</v>
      </c>
      <c r="B5883" s="80">
        <f t="shared" ca="1" si="557"/>
        <v>46036.470224189812</v>
      </c>
      <c r="C5883" s="76" t="s">
        <v>810</v>
      </c>
      <c r="D5883" s="76" t="s">
        <v>902</v>
      </c>
      <c r="E5883" s="79" t="s">
        <v>920</v>
      </c>
      <c r="F5883" s="79"/>
    </row>
    <row r="5884" spans="1:6">
      <c r="A5884" s="77">
        <f t="shared" ca="1" si="556"/>
        <v>46036</v>
      </c>
      <c r="B5884" s="80">
        <f t="shared" ca="1" si="557"/>
        <v>46036.470415393516</v>
      </c>
      <c r="C5884" s="76" t="s">
        <v>810</v>
      </c>
      <c r="D5884" s="76" t="s">
        <v>902</v>
      </c>
      <c r="E5884" s="79" t="s">
        <v>3239</v>
      </c>
      <c r="F5884" s="79"/>
    </row>
    <row r="5885" spans="1:6">
      <c r="A5885" s="77">
        <f t="shared" ca="1" si="556"/>
        <v>46036</v>
      </c>
      <c r="B5885" s="80">
        <f t="shared" ca="1" si="557"/>
        <v>46036.473212384262</v>
      </c>
      <c r="C5885" s="76" t="s">
        <v>810</v>
      </c>
      <c r="D5885" s="76" t="s">
        <v>902</v>
      </c>
      <c r="E5885" s="79" t="s">
        <v>920</v>
      </c>
      <c r="F5885" s="79"/>
    </row>
    <row r="5886" spans="1:6">
      <c r="A5886" s="77">
        <f t="shared" ca="1" si="556"/>
        <v>46036</v>
      </c>
      <c r="B5886" s="80">
        <f t="shared" ca="1" si="557"/>
        <v>46036.474094444442</v>
      </c>
      <c r="C5886" s="76" t="s">
        <v>810</v>
      </c>
      <c r="D5886" s="76" t="s">
        <v>902</v>
      </c>
      <c r="E5886" s="79" t="s">
        <v>920</v>
      </c>
      <c r="F5886" s="79"/>
    </row>
    <row r="5887" spans="1:6">
      <c r="A5887" s="77">
        <f t="shared" ca="1" si="556"/>
        <v>46036</v>
      </c>
      <c r="B5887" s="80">
        <f t="shared" ca="1" si="557"/>
        <v>46036.47537349537</v>
      </c>
      <c r="C5887" s="76" t="s">
        <v>810</v>
      </c>
      <c r="D5887" s="76" t="s">
        <v>902</v>
      </c>
      <c r="E5887" s="79" t="s">
        <v>1229</v>
      </c>
      <c r="F5887" s="79"/>
    </row>
    <row r="5888" spans="1:6">
      <c r="A5888" s="77">
        <f t="shared" ca="1" si="556"/>
        <v>46036</v>
      </c>
      <c r="B5888" s="80">
        <f t="shared" ca="1" si="557"/>
        <v>46036.47764247685</v>
      </c>
      <c r="C5888" s="76" t="s">
        <v>810</v>
      </c>
      <c r="D5888" s="76" t="s">
        <v>902</v>
      </c>
      <c r="E5888" s="79" t="s">
        <v>1734</v>
      </c>
      <c r="F5888" s="79"/>
    </row>
    <row r="5889" spans="1:6">
      <c r="A5889" s="77">
        <f t="shared" ca="1" si="556"/>
        <v>46036</v>
      </c>
      <c r="B5889" s="80">
        <f t="shared" ca="1" si="557"/>
        <v>46036.483944560183</v>
      </c>
      <c r="C5889" s="76" t="s">
        <v>810</v>
      </c>
      <c r="D5889" s="210" t="s">
        <v>922</v>
      </c>
      <c r="E5889" s="79"/>
      <c r="F5889" s="79"/>
    </row>
    <row r="5890" spans="1:6">
      <c r="A5890" s="77">
        <f t="shared" ca="1" si="556"/>
        <v>46036</v>
      </c>
      <c r="B5890" s="80">
        <f t="shared" ca="1" si="557"/>
        <v>46036.507231944444</v>
      </c>
      <c r="C5890" s="76" t="s">
        <v>810</v>
      </c>
      <c r="D5890" s="210" t="s">
        <v>1098</v>
      </c>
      <c r="E5890" s="79"/>
      <c r="F5890" s="79"/>
    </row>
    <row r="5891" spans="1:6">
      <c r="A5891" s="77">
        <f t="shared" ca="1" si="556"/>
        <v>46036</v>
      </c>
      <c r="B5891" s="80">
        <f t="shared" ca="1" si="557"/>
        <v>46036.555721759258</v>
      </c>
      <c r="C5891" s="76" t="s">
        <v>810</v>
      </c>
      <c r="D5891" s="76" t="s">
        <v>902</v>
      </c>
      <c r="E5891" s="79" t="s">
        <v>3240</v>
      </c>
      <c r="F5891" s="79"/>
    </row>
    <row r="5892" spans="1:6">
      <c r="A5892" s="77">
        <f t="shared" ca="1" si="556"/>
        <v>46036</v>
      </c>
      <c r="B5892" s="80">
        <f t="shared" ca="1" si="557"/>
        <v>46036.538582638888</v>
      </c>
      <c r="C5892" s="76" t="s">
        <v>814</v>
      </c>
      <c r="D5892" s="210" t="s">
        <v>906</v>
      </c>
      <c r="E5892" s="79"/>
      <c r="F5892" s="79"/>
    </row>
    <row r="5893" spans="1:6">
      <c r="A5893" s="77">
        <f t="shared" ca="1" si="556"/>
        <v>46036</v>
      </c>
      <c r="B5893" s="80">
        <f t="shared" ca="1" si="557"/>
        <v>46036.573380439811</v>
      </c>
      <c r="C5893" s="76" t="s">
        <v>814</v>
      </c>
      <c r="D5893" s="210" t="s">
        <v>909</v>
      </c>
      <c r="E5893" s="79"/>
      <c r="F5893" s="79"/>
    </row>
    <row r="5894" spans="1:6">
      <c r="A5894" s="77">
        <f t="shared" ca="1" si="556"/>
        <v>46036</v>
      </c>
      <c r="B5894" s="80">
        <f t="shared" ca="1" si="557"/>
        <v>46036.576129050925</v>
      </c>
      <c r="C5894" s="76" t="s">
        <v>814</v>
      </c>
      <c r="D5894" s="76" t="s">
        <v>902</v>
      </c>
      <c r="E5894" s="79" t="s">
        <v>3241</v>
      </c>
      <c r="F5894" s="79"/>
    </row>
    <row r="5895" spans="1:6">
      <c r="A5895" s="77">
        <f t="shared" ref="A5895:A5956" ca="1" si="558">IF(C5895&lt;&gt;0,IF(A5895=0,TODAY(),A5895),)</f>
        <v>46036</v>
      </c>
      <c r="B5895" s="80">
        <f t="shared" ref="B5895:B5956" ca="1" si="559">IF(C5895&lt;&gt;0,IF(B5895=0,NOW(),B5895),)</f>
        <v>46036.57804039352</v>
      </c>
      <c r="C5895" s="76" t="s">
        <v>814</v>
      </c>
      <c r="D5895" s="76" t="s">
        <v>902</v>
      </c>
      <c r="E5895" s="79" t="s">
        <v>3242</v>
      </c>
      <c r="F5895" s="79"/>
    </row>
    <row r="5896" spans="1:6">
      <c r="A5896" s="77">
        <f t="shared" ca="1" si="558"/>
        <v>46036</v>
      </c>
      <c r="B5896" s="80">
        <f t="shared" ca="1" si="559"/>
        <v>46036.579108912039</v>
      </c>
      <c r="C5896" s="76" t="s">
        <v>814</v>
      </c>
      <c r="D5896" s="76" t="s">
        <v>902</v>
      </c>
      <c r="E5896" s="79" t="s">
        <v>2489</v>
      </c>
      <c r="F5896" s="79"/>
    </row>
    <row r="5897" spans="1:6">
      <c r="A5897" s="77">
        <f t="shared" ca="1" si="558"/>
        <v>46036</v>
      </c>
      <c r="B5897" s="80">
        <f t="shared" ca="1" si="559"/>
        <v>46036.584393750003</v>
      </c>
      <c r="C5897" s="76" t="s">
        <v>814</v>
      </c>
      <c r="D5897" s="76" t="s">
        <v>902</v>
      </c>
      <c r="E5897" s="79" t="s">
        <v>3243</v>
      </c>
      <c r="F5897" s="79"/>
    </row>
    <row r="5898" spans="1:6">
      <c r="A5898" s="77">
        <f t="shared" ca="1" si="558"/>
        <v>46036</v>
      </c>
      <c r="B5898" s="80">
        <f t="shared" ca="1" si="559"/>
        <v>46036.585390624998</v>
      </c>
      <c r="C5898" s="76" t="s">
        <v>814</v>
      </c>
      <c r="D5898" s="76" t="s">
        <v>902</v>
      </c>
      <c r="E5898" s="79" t="s">
        <v>3244</v>
      </c>
      <c r="F5898" s="79"/>
    </row>
    <row r="5899" spans="1:6">
      <c r="A5899" s="77">
        <f t="shared" ca="1" si="558"/>
        <v>46036</v>
      </c>
      <c r="B5899" s="80">
        <f t="shared" ca="1" si="559"/>
        <v>46036.585591898147</v>
      </c>
      <c r="C5899" s="76" t="s">
        <v>814</v>
      </c>
      <c r="D5899" s="76" t="s">
        <v>902</v>
      </c>
      <c r="E5899" s="79" t="s">
        <v>3243</v>
      </c>
      <c r="F5899" s="79"/>
    </row>
    <row r="5900" spans="1:6">
      <c r="A5900" s="77">
        <f t="shared" ca="1" si="558"/>
        <v>46036</v>
      </c>
      <c r="B5900" s="80">
        <f t="shared" ca="1" si="559"/>
        <v>46036.586800462966</v>
      </c>
      <c r="C5900" s="76" t="s">
        <v>814</v>
      </c>
      <c r="D5900" s="76" t="s">
        <v>902</v>
      </c>
      <c r="E5900" s="79" t="s">
        <v>2489</v>
      </c>
      <c r="F5900" s="79"/>
    </row>
    <row r="5901" spans="1:6">
      <c r="A5901" s="77">
        <f t="shared" ca="1" si="558"/>
        <v>46036</v>
      </c>
      <c r="B5901" s="80">
        <f t="shared" ca="1" si="559"/>
        <v>46036.586941782407</v>
      </c>
      <c r="C5901" s="76" t="s">
        <v>814</v>
      </c>
      <c r="D5901" s="76" t="s">
        <v>902</v>
      </c>
      <c r="E5901" s="79" t="s">
        <v>3245</v>
      </c>
      <c r="F5901" s="79"/>
    </row>
    <row r="5902" spans="1:6">
      <c r="A5902" s="77">
        <f t="shared" ca="1" si="558"/>
        <v>46036</v>
      </c>
      <c r="B5902" s="80">
        <f t="shared" ca="1" si="559"/>
        <v>46036.587659490739</v>
      </c>
      <c r="C5902" s="76" t="s">
        <v>814</v>
      </c>
      <c r="D5902" s="76" t="s">
        <v>902</v>
      </c>
      <c r="E5902" s="79" t="s">
        <v>3043</v>
      </c>
      <c r="F5902" s="79"/>
    </row>
    <row r="5903" spans="1:6">
      <c r="A5903" s="77">
        <f t="shared" ca="1" si="558"/>
        <v>46036</v>
      </c>
      <c r="B5903" s="80">
        <f t="shared" ca="1" si="559"/>
        <v>46036.589860185188</v>
      </c>
      <c r="C5903" s="76" t="s">
        <v>814</v>
      </c>
      <c r="D5903" s="76" t="s">
        <v>902</v>
      </c>
      <c r="E5903" s="79" t="s">
        <v>3246</v>
      </c>
      <c r="F5903" s="79"/>
    </row>
    <row r="5904" spans="1:6">
      <c r="A5904" s="77">
        <f t="shared" ca="1" si="558"/>
        <v>46036</v>
      </c>
      <c r="B5904" s="80">
        <f t="shared" ca="1" si="559"/>
        <v>46036.590186226851</v>
      </c>
      <c r="C5904" s="76" t="s">
        <v>814</v>
      </c>
      <c r="D5904" s="76" t="s">
        <v>902</v>
      </c>
      <c r="E5904" s="79" t="s">
        <v>3043</v>
      </c>
      <c r="F5904" s="79"/>
    </row>
    <row r="5905" spans="1:6">
      <c r="A5905" s="77">
        <f t="shared" ca="1" si="558"/>
        <v>46036</v>
      </c>
      <c r="B5905" s="80">
        <f t="shared" ca="1" si="559"/>
        <v>46036.590814351854</v>
      </c>
      <c r="C5905" s="76" t="s">
        <v>814</v>
      </c>
      <c r="D5905" s="76" t="s">
        <v>902</v>
      </c>
      <c r="E5905" s="79" t="s">
        <v>3245</v>
      </c>
      <c r="F5905" s="79"/>
    </row>
    <row r="5906" spans="1:6">
      <c r="A5906" s="77">
        <f t="shared" ca="1" si="558"/>
        <v>46036</v>
      </c>
      <c r="B5906" s="80">
        <f t="shared" ca="1" si="559"/>
        <v>46036.593361226849</v>
      </c>
      <c r="C5906" s="76" t="s">
        <v>814</v>
      </c>
      <c r="D5906" s="76" t="s">
        <v>902</v>
      </c>
      <c r="E5906" s="79" t="s">
        <v>2489</v>
      </c>
      <c r="F5906" s="79"/>
    </row>
    <row r="5907" spans="1:6">
      <c r="A5907" s="77">
        <f t="shared" ca="1" si="558"/>
        <v>46036</v>
      </c>
      <c r="B5907" s="80">
        <f t="shared" ca="1" si="559"/>
        <v>46036.593724537037</v>
      </c>
      <c r="C5907" s="76" t="s">
        <v>814</v>
      </c>
      <c r="D5907" s="76" t="s">
        <v>902</v>
      </c>
      <c r="E5907" s="79" t="s">
        <v>3247</v>
      </c>
      <c r="F5907" s="79"/>
    </row>
    <row r="5908" spans="1:6">
      <c r="A5908" s="77">
        <f t="shared" ca="1" si="558"/>
        <v>46036</v>
      </c>
      <c r="B5908" s="80">
        <f t="shared" ca="1" si="559"/>
        <v>46036.595632291668</v>
      </c>
      <c r="C5908" s="76" t="s">
        <v>814</v>
      </c>
      <c r="D5908" s="76" t="s">
        <v>902</v>
      </c>
      <c r="E5908" s="79" t="s">
        <v>1063</v>
      </c>
      <c r="F5908" s="79"/>
    </row>
    <row r="5909" spans="1:6">
      <c r="A5909" s="77">
        <f t="shared" ca="1" si="558"/>
        <v>46036</v>
      </c>
      <c r="B5909" s="80">
        <f t="shared" ca="1" si="559"/>
        <v>46036.602569675924</v>
      </c>
      <c r="C5909" s="76" t="s">
        <v>814</v>
      </c>
      <c r="D5909" s="76" t="s">
        <v>902</v>
      </c>
      <c r="E5909" s="79" t="s">
        <v>3247</v>
      </c>
      <c r="F5909" s="79"/>
    </row>
    <row r="5910" spans="1:6">
      <c r="A5910" s="77">
        <f t="shared" ca="1" si="558"/>
        <v>46036</v>
      </c>
      <c r="B5910" s="80">
        <f t="shared" ca="1" si="559"/>
        <v>46036.608311689815</v>
      </c>
      <c r="C5910" s="76" t="s">
        <v>814</v>
      </c>
      <c r="D5910" s="76" t="s">
        <v>902</v>
      </c>
      <c r="E5910" s="79" t="s">
        <v>2489</v>
      </c>
      <c r="F5910" s="79"/>
    </row>
    <row r="5911" spans="1:6">
      <c r="A5911" s="77">
        <f t="shared" ca="1" si="558"/>
        <v>46036</v>
      </c>
      <c r="B5911" s="80">
        <f t="shared" ca="1" si="559"/>
        <v>46036.609083796298</v>
      </c>
      <c r="C5911" s="76" t="s">
        <v>814</v>
      </c>
      <c r="D5911" s="76" t="s">
        <v>902</v>
      </c>
      <c r="E5911" s="79" t="s">
        <v>1063</v>
      </c>
      <c r="F5911" s="79"/>
    </row>
    <row r="5912" spans="1:6">
      <c r="A5912" s="77">
        <f t="shared" ca="1" si="558"/>
        <v>46036</v>
      </c>
      <c r="B5912" s="80">
        <f t="shared" ca="1" si="559"/>
        <v>46036.610928009257</v>
      </c>
      <c r="C5912" s="76" t="s">
        <v>814</v>
      </c>
      <c r="D5912" s="76" t="s">
        <v>902</v>
      </c>
      <c r="E5912" s="79" t="s">
        <v>2489</v>
      </c>
      <c r="F5912" s="79"/>
    </row>
    <row r="5913" spans="1:6">
      <c r="A5913" s="77">
        <f t="shared" ca="1" si="558"/>
        <v>46036</v>
      </c>
      <c r="B5913" s="80">
        <f t="shared" ca="1" si="559"/>
        <v>46036.611222916668</v>
      </c>
      <c r="C5913" s="76" t="s">
        <v>814</v>
      </c>
      <c r="D5913" s="76" t="s">
        <v>902</v>
      </c>
      <c r="E5913" s="79" t="s">
        <v>2914</v>
      </c>
      <c r="F5913" s="79"/>
    </row>
    <row r="5914" spans="1:6">
      <c r="A5914" s="77">
        <f t="shared" ca="1" si="558"/>
        <v>46036</v>
      </c>
      <c r="B5914" s="80">
        <f t="shared" ca="1" si="559"/>
        <v>46036.616828240738</v>
      </c>
      <c r="C5914" s="76" t="s">
        <v>814</v>
      </c>
      <c r="D5914" s="76" t="s">
        <v>902</v>
      </c>
      <c r="E5914" s="79" t="s">
        <v>3248</v>
      </c>
      <c r="F5914" s="79"/>
    </row>
    <row r="5915" spans="1:6">
      <c r="A5915" s="77">
        <f t="shared" ca="1" si="558"/>
        <v>46036</v>
      </c>
      <c r="B5915" s="80">
        <f t="shared" ca="1" si="559"/>
        <v>46036.617161226852</v>
      </c>
      <c r="C5915" s="76" t="s">
        <v>814</v>
      </c>
      <c r="D5915" s="76" t="s">
        <v>902</v>
      </c>
      <c r="E5915" s="79" t="s">
        <v>3249</v>
      </c>
      <c r="F5915" s="79"/>
    </row>
    <row r="5916" spans="1:6">
      <c r="A5916" s="77">
        <f t="shared" ca="1" si="558"/>
        <v>46036</v>
      </c>
      <c r="B5916" s="80">
        <f t="shared" ca="1" si="559"/>
        <v>46036.623025347224</v>
      </c>
      <c r="C5916" s="76" t="s">
        <v>814</v>
      </c>
      <c r="D5916" s="76" t="s">
        <v>902</v>
      </c>
      <c r="E5916" s="79" t="s">
        <v>3250</v>
      </c>
      <c r="F5916" s="79"/>
    </row>
    <row r="5917" spans="1:6">
      <c r="A5917" s="77">
        <f t="shared" ca="1" si="558"/>
        <v>46036</v>
      </c>
      <c r="B5917" s="80">
        <f t="shared" ca="1" si="559"/>
        <v>46036.623860648149</v>
      </c>
      <c r="C5917" s="76" t="s">
        <v>814</v>
      </c>
      <c r="D5917" s="76" t="s">
        <v>902</v>
      </c>
      <c r="E5917" s="79" t="s">
        <v>3250</v>
      </c>
      <c r="F5917" s="79"/>
    </row>
    <row r="5918" spans="1:6">
      <c r="A5918" s="77">
        <f t="shared" ca="1" si="558"/>
        <v>46036</v>
      </c>
      <c r="B5918" s="80">
        <f t="shared" ca="1" si="559"/>
        <v>46036.624537037038</v>
      </c>
      <c r="C5918" s="76" t="s">
        <v>814</v>
      </c>
      <c r="D5918" s="76" t="s">
        <v>902</v>
      </c>
      <c r="E5918" s="79" t="s">
        <v>996</v>
      </c>
      <c r="F5918" s="79"/>
    </row>
    <row r="5919" spans="1:6">
      <c r="A5919" s="77">
        <f t="shared" ca="1" si="558"/>
        <v>46036</v>
      </c>
      <c r="B5919" s="80">
        <f t="shared" ca="1" si="559"/>
        <v>46036.624718171297</v>
      </c>
      <c r="C5919" s="76" t="s">
        <v>814</v>
      </c>
      <c r="D5919" s="76" t="s">
        <v>902</v>
      </c>
      <c r="E5919" s="79" t="s">
        <v>3251</v>
      </c>
      <c r="F5919" s="79"/>
    </row>
    <row r="5920" spans="1:6">
      <c r="A5920" s="77">
        <f t="shared" ca="1" si="558"/>
        <v>46036</v>
      </c>
      <c r="B5920" s="80">
        <f t="shared" ca="1" si="559"/>
        <v>46036.62577337963</v>
      </c>
      <c r="C5920" s="76" t="s">
        <v>814</v>
      </c>
      <c r="D5920" s="76" t="s">
        <v>902</v>
      </c>
      <c r="E5920" s="79" t="s">
        <v>3252</v>
      </c>
      <c r="F5920" s="79"/>
    </row>
    <row r="5921" spans="1:6">
      <c r="A5921" s="77">
        <f t="shared" ca="1" si="558"/>
        <v>46036</v>
      </c>
      <c r="B5921" s="80">
        <f t="shared" ca="1" si="559"/>
        <v>46036.627891087963</v>
      </c>
      <c r="C5921" s="76" t="s">
        <v>814</v>
      </c>
      <c r="D5921" s="76" t="s">
        <v>902</v>
      </c>
      <c r="E5921" s="79" t="s">
        <v>3253</v>
      </c>
      <c r="F5921" s="79"/>
    </row>
    <row r="5922" spans="1:6">
      <c r="A5922" s="77">
        <f t="shared" ca="1" si="558"/>
        <v>46036</v>
      </c>
      <c r="B5922" s="80">
        <f t="shared" ca="1" si="559"/>
        <v>46036.628159375003</v>
      </c>
      <c r="C5922" s="76" t="s">
        <v>814</v>
      </c>
      <c r="D5922" s="76" t="s">
        <v>902</v>
      </c>
      <c r="E5922" s="79" t="s">
        <v>3254</v>
      </c>
      <c r="F5922" s="79"/>
    </row>
    <row r="5923" spans="1:6">
      <c r="A5923" s="77">
        <f t="shared" ca="1" si="558"/>
        <v>46036</v>
      </c>
      <c r="B5923" s="80">
        <f t="shared" ca="1" si="559"/>
        <v>46036.63077314815</v>
      </c>
      <c r="C5923" s="76" t="s">
        <v>814</v>
      </c>
      <c r="D5923" s="76" t="s">
        <v>902</v>
      </c>
      <c r="E5923" s="79" t="s">
        <v>3251</v>
      </c>
      <c r="F5923" s="79"/>
    </row>
    <row r="5924" spans="1:6">
      <c r="A5924" s="77">
        <f t="shared" ca="1" si="558"/>
        <v>46036</v>
      </c>
      <c r="B5924" s="80">
        <f t="shared" ca="1" si="559"/>
        <v>46036.631413541669</v>
      </c>
      <c r="C5924" s="76" t="s">
        <v>814</v>
      </c>
      <c r="D5924" s="76" t="s">
        <v>902</v>
      </c>
      <c r="E5924" s="79" t="s">
        <v>3250</v>
      </c>
      <c r="F5924" s="79"/>
    </row>
    <row r="5925" spans="1:6">
      <c r="A5925" s="77">
        <f t="shared" ca="1" si="558"/>
        <v>46036</v>
      </c>
      <c r="B5925" s="80">
        <f t="shared" ca="1" si="559"/>
        <v>46036.633015509258</v>
      </c>
      <c r="C5925" s="76" t="s">
        <v>814</v>
      </c>
      <c r="D5925" s="76" t="s">
        <v>902</v>
      </c>
      <c r="E5925" s="79" t="s">
        <v>3255</v>
      </c>
      <c r="F5925" s="79"/>
    </row>
    <row r="5926" spans="1:6">
      <c r="A5926" s="77">
        <f t="shared" ca="1" si="558"/>
        <v>46036</v>
      </c>
      <c r="B5926" s="80">
        <f t="shared" ca="1" si="559"/>
        <v>46036.637882986113</v>
      </c>
      <c r="C5926" s="76" t="s">
        <v>814</v>
      </c>
      <c r="D5926" s="150" t="s">
        <v>1007</v>
      </c>
      <c r="E5926" s="79" t="s">
        <v>2489</v>
      </c>
      <c r="F5926" s="79"/>
    </row>
    <row r="5927" spans="1:6">
      <c r="A5927" s="77">
        <f t="shared" ca="1" si="558"/>
        <v>46036</v>
      </c>
      <c r="B5927" s="80">
        <f t="shared" ca="1" si="559"/>
        <v>46036.644886226852</v>
      </c>
      <c r="C5927" s="76" t="s">
        <v>814</v>
      </c>
      <c r="D5927" s="76" t="s">
        <v>902</v>
      </c>
      <c r="E5927" s="79" t="s">
        <v>996</v>
      </c>
      <c r="F5927" s="79"/>
    </row>
    <row r="5928" spans="1:6">
      <c r="A5928" s="77">
        <f t="shared" ca="1" si="558"/>
        <v>46036</v>
      </c>
      <c r="B5928" s="80">
        <f t="shared" ca="1" si="559"/>
        <v>46036.647926273145</v>
      </c>
      <c r="C5928" s="76" t="s">
        <v>814</v>
      </c>
      <c r="D5928" s="76" t="s">
        <v>902</v>
      </c>
      <c r="E5928" s="79" t="s">
        <v>3256</v>
      </c>
      <c r="F5928" s="79"/>
    </row>
    <row r="5929" spans="1:6">
      <c r="A5929" s="77">
        <f t="shared" ca="1" si="558"/>
        <v>46036</v>
      </c>
      <c r="B5929" s="80">
        <f t="shared" ca="1" si="559"/>
        <v>46036.650606597221</v>
      </c>
      <c r="C5929" s="76" t="s">
        <v>814</v>
      </c>
      <c r="D5929" s="76" t="s">
        <v>902</v>
      </c>
      <c r="E5929" s="79" t="s">
        <v>2427</v>
      </c>
      <c r="F5929" s="79"/>
    </row>
    <row r="5930" spans="1:6">
      <c r="A5930" s="77">
        <f t="shared" ca="1" si="558"/>
        <v>46036</v>
      </c>
      <c r="B5930" s="80">
        <f t="shared" ca="1" si="559"/>
        <v>46036.652921064815</v>
      </c>
      <c r="C5930" s="76" t="s">
        <v>814</v>
      </c>
      <c r="D5930" s="76" t="s">
        <v>902</v>
      </c>
      <c r="E5930" s="79" t="s">
        <v>3254</v>
      </c>
      <c r="F5930" s="79"/>
    </row>
    <row r="5931" spans="1:6">
      <c r="A5931" s="77">
        <f t="shared" ca="1" si="558"/>
        <v>46036</v>
      </c>
      <c r="B5931" s="80">
        <f t="shared" ca="1" si="559"/>
        <v>46036.659715162037</v>
      </c>
      <c r="C5931" s="76" t="s">
        <v>814</v>
      </c>
      <c r="D5931" s="76" t="s">
        <v>902</v>
      </c>
      <c r="E5931" s="79" t="s">
        <v>1555</v>
      </c>
      <c r="F5931" s="79"/>
    </row>
    <row r="5932" spans="1:6">
      <c r="A5932" s="77">
        <f t="shared" ca="1" si="558"/>
        <v>46036</v>
      </c>
      <c r="B5932" s="80">
        <f t="shared" ca="1" si="559"/>
        <v>46036.664602893521</v>
      </c>
      <c r="C5932" s="76" t="s">
        <v>814</v>
      </c>
      <c r="D5932" s="76" t="s">
        <v>902</v>
      </c>
      <c r="E5932" s="76" t="s">
        <v>3038</v>
      </c>
      <c r="F5932" s="79"/>
    </row>
    <row r="5933" spans="1:6">
      <c r="A5933" s="77">
        <f t="shared" ca="1" si="558"/>
        <v>46036</v>
      </c>
      <c r="B5933" s="80">
        <f t="shared" ca="1" si="559"/>
        <v>46036.667670717594</v>
      </c>
      <c r="C5933" s="76" t="s">
        <v>814</v>
      </c>
      <c r="D5933" s="150" t="s">
        <v>1007</v>
      </c>
      <c r="E5933" s="79" t="s">
        <v>3257</v>
      </c>
      <c r="F5933" s="79"/>
    </row>
    <row r="5934" spans="1:6">
      <c r="A5934" s="77">
        <f t="shared" ca="1" si="558"/>
        <v>46036</v>
      </c>
      <c r="B5934" s="80">
        <f t="shared" ca="1" si="559"/>
        <v>46036.682794444445</v>
      </c>
      <c r="C5934" s="76" t="s">
        <v>814</v>
      </c>
      <c r="D5934" s="76" t="s">
        <v>902</v>
      </c>
      <c r="E5934" s="79" t="s">
        <v>1719</v>
      </c>
      <c r="F5934" s="79"/>
    </row>
    <row r="5935" spans="1:6">
      <c r="A5935" s="77">
        <f t="shared" ca="1" si="558"/>
        <v>46036</v>
      </c>
      <c r="B5935" s="80">
        <f t="shared" ca="1" si="559"/>
        <v>46036.702999189816</v>
      </c>
      <c r="C5935" s="76" t="s">
        <v>814</v>
      </c>
      <c r="D5935" s="76" t="s">
        <v>902</v>
      </c>
      <c r="E5935" s="79" t="s">
        <v>3258</v>
      </c>
      <c r="F5935" s="79"/>
    </row>
    <row r="5936" spans="1:6">
      <c r="A5936" s="77">
        <f t="shared" ca="1" si="558"/>
        <v>46036</v>
      </c>
      <c r="B5936" s="80">
        <f t="shared" ca="1" si="559"/>
        <v>46036.704399074071</v>
      </c>
      <c r="C5936" s="76" t="s">
        <v>814</v>
      </c>
      <c r="D5936" s="76" t="s">
        <v>902</v>
      </c>
      <c r="E5936" s="79" t="s">
        <v>3043</v>
      </c>
      <c r="F5936" s="79"/>
    </row>
    <row r="5937" spans="1:6">
      <c r="A5937" s="77">
        <f t="shared" ca="1" si="558"/>
        <v>46036</v>
      </c>
      <c r="B5937" s="80">
        <f t="shared" ca="1" si="559"/>
        <v>46036.715294560185</v>
      </c>
      <c r="C5937" s="76" t="s">
        <v>814</v>
      </c>
      <c r="D5937" s="76" t="s">
        <v>902</v>
      </c>
      <c r="E5937" s="79" t="s">
        <v>3246</v>
      </c>
      <c r="F5937" s="79"/>
    </row>
    <row r="5938" spans="1:6">
      <c r="A5938" s="77">
        <f t="shared" ca="1" si="558"/>
        <v>46036</v>
      </c>
      <c r="B5938" s="80">
        <f t="shared" ca="1" si="559"/>
        <v>46036.718781944444</v>
      </c>
      <c r="C5938" s="76" t="s">
        <v>814</v>
      </c>
      <c r="D5938" s="76" t="s">
        <v>902</v>
      </c>
      <c r="E5938" s="79" t="s">
        <v>3259</v>
      </c>
      <c r="F5938" s="79"/>
    </row>
    <row r="5939" spans="1:6">
      <c r="A5939" s="77">
        <f t="shared" ca="1" si="558"/>
        <v>46036</v>
      </c>
      <c r="B5939" s="80">
        <f t="shared" ca="1" si="559"/>
        <v>46036.725803356479</v>
      </c>
      <c r="C5939" s="76" t="s">
        <v>814</v>
      </c>
      <c r="D5939" s="76" t="s">
        <v>902</v>
      </c>
      <c r="E5939" s="79" t="s">
        <v>3254</v>
      </c>
      <c r="F5939" s="79"/>
    </row>
    <row r="5940" spans="1:6">
      <c r="A5940" s="77">
        <f t="shared" ca="1" si="558"/>
        <v>46036</v>
      </c>
      <c r="B5940" s="80">
        <f t="shared" ca="1" si="559"/>
        <v>46036.72760046296</v>
      </c>
      <c r="C5940" s="76" t="s">
        <v>814</v>
      </c>
      <c r="D5940" s="210" t="s">
        <v>922</v>
      </c>
      <c r="E5940" s="79"/>
      <c r="F5940" s="79"/>
    </row>
    <row r="5941" spans="1:6">
      <c r="A5941" s="77">
        <f t="shared" ca="1" si="558"/>
        <v>46036</v>
      </c>
      <c r="B5941" s="87">
        <f t="shared" ca="1" si="559"/>
        <v>46036.753962037037</v>
      </c>
      <c r="C5941" s="76" t="s">
        <v>814</v>
      </c>
      <c r="D5941" s="210" t="s">
        <v>1098</v>
      </c>
      <c r="E5941" s="79"/>
      <c r="F5941" s="79"/>
    </row>
    <row r="5942" spans="1:6">
      <c r="A5942" s="77">
        <f t="shared" ca="1" si="558"/>
        <v>46036</v>
      </c>
      <c r="B5942" s="80">
        <f t="shared" ca="1" si="559"/>
        <v>46036.809150925925</v>
      </c>
      <c r="C5942" s="76" t="s">
        <v>818</v>
      </c>
      <c r="D5942" s="210" t="s">
        <v>906</v>
      </c>
      <c r="E5942" s="79"/>
      <c r="F5942" s="79"/>
    </row>
    <row r="5943" spans="1:6">
      <c r="A5943" s="77">
        <f t="shared" ca="1" si="558"/>
        <v>46036</v>
      </c>
      <c r="B5943" s="80">
        <f t="shared" ca="1" si="559"/>
        <v>46036.851353472222</v>
      </c>
      <c r="C5943" s="76" t="s">
        <v>818</v>
      </c>
      <c r="D5943" s="210" t="s">
        <v>909</v>
      </c>
      <c r="E5943" s="79"/>
      <c r="F5943" s="79"/>
    </row>
    <row r="5944" spans="1:6">
      <c r="A5944" s="77">
        <f t="shared" ca="1" si="558"/>
        <v>46036</v>
      </c>
      <c r="B5944" s="80">
        <f t="shared" ca="1" si="559"/>
        <v>46036.852275347221</v>
      </c>
      <c r="C5944" s="76" t="s">
        <v>818</v>
      </c>
      <c r="D5944" s="76" t="s">
        <v>902</v>
      </c>
      <c r="E5944" s="79" t="s">
        <v>2487</v>
      </c>
      <c r="F5944" s="79"/>
    </row>
    <row r="5945" spans="1:6">
      <c r="A5945" s="77">
        <f t="shared" ca="1" si="558"/>
        <v>46036</v>
      </c>
      <c r="B5945" s="80">
        <f t="shared" ca="1" si="559"/>
        <v>46036.853887847225</v>
      </c>
      <c r="C5945" s="76" t="s">
        <v>818</v>
      </c>
      <c r="D5945" s="76" t="s">
        <v>902</v>
      </c>
      <c r="E5945" s="79" t="s">
        <v>3005</v>
      </c>
      <c r="F5945" s="79"/>
    </row>
    <row r="5946" spans="1:6">
      <c r="A5946" s="77">
        <f t="shared" ca="1" si="558"/>
        <v>46036</v>
      </c>
      <c r="B5946" s="80">
        <f t="shared" ca="1" si="559"/>
        <v>46036.858711226851</v>
      </c>
      <c r="C5946" s="76" t="s">
        <v>818</v>
      </c>
      <c r="D5946" s="76" t="s">
        <v>902</v>
      </c>
      <c r="E5946" s="79" t="s">
        <v>2487</v>
      </c>
      <c r="F5946" s="79"/>
    </row>
    <row r="5947" spans="1:6">
      <c r="A5947" s="77">
        <f t="shared" ca="1" si="558"/>
        <v>46036</v>
      </c>
      <c r="B5947" s="80">
        <f t="shared" ca="1" si="559"/>
        <v>46036.859922222226</v>
      </c>
      <c r="C5947" s="76" t="s">
        <v>818</v>
      </c>
      <c r="D5947" s="76" t="s">
        <v>902</v>
      </c>
      <c r="E5947" s="79" t="s">
        <v>3260</v>
      </c>
      <c r="F5947" s="79"/>
    </row>
    <row r="5948" spans="1:6">
      <c r="A5948" s="77">
        <f t="shared" ca="1" si="558"/>
        <v>46036</v>
      </c>
      <c r="B5948" s="80">
        <f t="shared" ca="1" si="559"/>
        <v>46036.862678472222</v>
      </c>
      <c r="C5948" s="76" t="s">
        <v>818</v>
      </c>
      <c r="D5948" s="76" t="s">
        <v>902</v>
      </c>
      <c r="E5948" s="79" t="s">
        <v>2487</v>
      </c>
      <c r="F5948" s="79"/>
    </row>
    <row r="5949" spans="1:6">
      <c r="A5949" s="77">
        <f t="shared" ca="1" si="558"/>
        <v>46036</v>
      </c>
      <c r="B5949" s="80">
        <f t="shared" ca="1" si="559"/>
        <v>46036.865421527778</v>
      </c>
      <c r="C5949" s="76" t="s">
        <v>818</v>
      </c>
      <c r="D5949" s="76" t="s">
        <v>902</v>
      </c>
      <c r="E5949" s="79" t="s">
        <v>2487</v>
      </c>
      <c r="F5949" s="79"/>
    </row>
    <row r="5950" spans="1:6">
      <c r="A5950" s="77">
        <f t="shared" ca="1" si="558"/>
        <v>46036</v>
      </c>
      <c r="B5950" s="80">
        <f t="shared" ca="1" si="559"/>
        <v>46036.869898032404</v>
      </c>
      <c r="C5950" s="76" t="s">
        <v>818</v>
      </c>
      <c r="D5950" s="76" t="s">
        <v>902</v>
      </c>
      <c r="E5950" s="79" t="s">
        <v>3261</v>
      </c>
      <c r="F5950" s="79"/>
    </row>
    <row r="5951" spans="1:6">
      <c r="A5951" s="77">
        <f t="shared" ca="1" si="558"/>
        <v>46036</v>
      </c>
      <c r="B5951" s="80">
        <f t="shared" ca="1" si="559"/>
        <v>46036.873420601849</v>
      </c>
      <c r="C5951" s="76" t="s">
        <v>818</v>
      </c>
      <c r="D5951" s="76" t="s">
        <v>902</v>
      </c>
      <c r="E5951" s="79" t="s">
        <v>3262</v>
      </c>
      <c r="F5951" s="79"/>
    </row>
    <row r="5952" spans="1:6">
      <c r="A5952" s="77">
        <f t="shared" ca="1" si="558"/>
        <v>46036</v>
      </c>
      <c r="B5952" s="80">
        <f t="shared" ca="1" si="559"/>
        <v>46036.874224074076</v>
      </c>
      <c r="C5952" s="76" t="s">
        <v>818</v>
      </c>
      <c r="D5952" s="76" t="s">
        <v>902</v>
      </c>
      <c r="E5952" s="79" t="s">
        <v>1504</v>
      </c>
      <c r="F5952" s="79"/>
    </row>
    <row r="5953" spans="1:6">
      <c r="A5953" s="77">
        <f t="shared" ca="1" si="558"/>
        <v>46036</v>
      </c>
      <c r="B5953" s="80">
        <f t="shared" ca="1" si="559"/>
        <v>46036.878155902778</v>
      </c>
      <c r="C5953" s="76" t="s">
        <v>818</v>
      </c>
      <c r="D5953" s="76" t="s">
        <v>902</v>
      </c>
      <c r="E5953" s="79" t="s">
        <v>1504</v>
      </c>
      <c r="F5953" s="79"/>
    </row>
    <row r="5954" spans="1:6">
      <c r="A5954" s="77">
        <f t="shared" ca="1" si="558"/>
        <v>46036</v>
      </c>
      <c r="B5954" s="80">
        <f t="shared" ca="1" si="559"/>
        <v>46036.878759722225</v>
      </c>
      <c r="C5954" s="76" t="s">
        <v>818</v>
      </c>
      <c r="D5954" s="76" t="s">
        <v>902</v>
      </c>
      <c r="E5954" s="79" t="s">
        <v>2487</v>
      </c>
      <c r="F5954" s="79"/>
    </row>
    <row r="5955" spans="1:6">
      <c r="A5955" s="77">
        <f t="shared" ca="1" si="558"/>
        <v>46036</v>
      </c>
      <c r="B5955" s="80">
        <f t="shared" ca="1" si="559"/>
        <v>46036.882542361112</v>
      </c>
      <c r="C5955" s="76" t="s">
        <v>818</v>
      </c>
      <c r="D5955" s="76" t="s">
        <v>902</v>
      </c>
      <c r="E5955" s="79" t="s">
        <v>1504</v>
      </c>
      <c r="F5955" s="79"/>
    </row>
    <row r="5956" spans="1:6">
      <c r="A5956" s="77">
        <f t="shared" ca="1" si="558"/>
        <v>46036</v>
      </c>
      <c r="B5956" s="80">
        <f t="shared" ca="1" si="559"/>
        <v>46036.883240162038</v>
      </c>
      <c r="C5956" s="76" t="s">
        <v>818</v>
      </c>
      <c r="D5956" s="76" t="s">
        <v>902</v>
      </c>
      <c r="E5956" s="79" t="s">
        <v>2487</v>
      </c>
      <c r="F5956" s="79"/>
    </row>
    <row r="5957" spans="1:6">
      <c r="A5957" s="77">
        <f t="shared" ref="A5957:A6020" ca="1" si="560">IF(C5957&lt;&gt;0,IF(A5957=0,TODAY(),A5957),)</f>
        <v>46036</v>
      </c>
      <c r="B5957" s="80">
        <f t="shared" ref="B5957:B6020" ca="1" si="561">IF(C5957&lt;&gt;0,IF(B5957=0,NOW(),B5957),)</f>
        <v>46036.885012037033</v>
      </c>
      <c r="C5957" s="76" t="s">
        <v>818</v>
      </c>
      <c r="D5957" s="76" t="s">
        <v>902</v>
      </c>
      <c r="E5957" s="79" t="s">
        <v>2487</v>
      </c>
      <c r="F5957" s="79"/>
    </row>
    <row r="5958" spans="1:6">
      <c r="A5958" s="77">
        <f t="shared" ca="1" si="560"/>
        <v>46036</v>
      </c>
      <c r="B5958" s="80">
        <f t="shared" ca="1" si="561"/>
        <v>46036.885085648151</v>
      </c>
      <c r="C5958" s="76" t="s">
        <v>818</v>
      </c>
      <c r="D5958" s="76" t="s">
        <v>902</v>
      </c>
      <c r="E5958" s="79" t="s">
        <v>2487</v>
      </c>
      <c r="F5958" s="79"/>
    </row>
    <row r="5959" spans="1:6">
      <c r="A5959" s="77">
        <f t="shared" ca="1" si="560"/>
        <v>46036</v>
      </c>
      <c r="B5959" s="80">
        <f t="shared" ca="1" si="561"/>
        <v>46036.885132870368</v>
      </c>
      <c r="C5959" s="76" t="s">
        <v>818</v>
      </c>
      <c r="D5959" s="76" t="s">
        <v>902</v>
      </c>
      <c r="E5959" s="79" t="s">
        <v>1324</v>
      </c>
      <c r="F5959" s="79"/>
    </row>
    <row r="5960" spans="1:6">
      <c r="A5960" s="77">
        <f t="shared" ca="1" si="560"/>
        <v>46036</v>
      </c>
      <c r="B5960" s="80">
        <f t="shared" ca="1" si="561"/>
        <v>46036.885361921297</v>
      </c>
      <c r="C5960" s="76" t="s">
        <v>818</v>
      </c>
      <c r="D5960" s="76" t="s">
        <v>902</v>
      </c>
      <c r="E5960" s="79" t="s">
        <v>2487</v>
      </c>
      <c r="F5960" s="79"/>
    </row>
    <row r="5961" spans="1:6">
      <c r="A5961" s="77">
        <f t="shared" ca="1" si="560"/>
        <v>46036</v>
      </c>
      <c r="B5961" s="80">
        <f t="shared" ca="1" si="561"/>
        <v>46036.885375347221</v>
      </c>
      <c r="C5961" s="76" t="s">
        <v>818</v>
      </c>
      <c r="D5961" s="76" t="s">
        <v>902</v>
      </c>
      <c r="E5961" s="79" t="s">
        <v>2487</v>
      </c>
      <c r="F5961" s="79"/>
    </row>
    <row r="5962" spans="1:6">
      <c r="A5962" s="77">
        <f t="shared" ca="1" si="560"/>
        <v>46036</v>
      </c>
      <c r="B5962" s="80">
        <f t="shared" ca="1" si="561"/>
        <v>46036.885477314812</v>
      </c>
      <c r="C5962" s="76" t="s">
        <v>818</v>
      </c>
      <c r="D5962" s="76" t="s">
        <v>902</v>
      </c>
      <c r="E5962" s="79" t="s">
        <v>2487</v>
      </c>
      <c r="F5962" s="79"/>
    </row>
    <row r="5963" spans="1:6">
      <c r="A5963" s="77">
        <f t="shared" ca="1" si="560"/>
        <v>46036</v>
      </c>
      <c r="B5963" s="80">
        <f t="shared" ca="1" si="561"/>
        <v>46036.886072685185</v>
      </c>
      <c r="C5963" s="76" t="s">
        <v>818</v>
      </c>
      <c r="D5963" s="76" t="s">
        <v>902</v>
      </c>
      <c r="E5963" s="79" t="s">
        <v>1324</v>
      </c>
      <c r="F5963" s="79"/>
    </row>
    <row r="5964" spans="1:6">
      <c r="A5964" s="77">
        <f t="shared" ca="1" si="560"/>
        <v>46036</v>
      </c>
      <c r="B5964" s="80">
        <f t="shared" ca="1" si="561"/>
        <v>46036.886168750003</v>
      </c>
      <c r="C5964" s="76" t="s">
        <v>818</v>
      </c>
      <c r="D5964" s="76" t="s">
        <v>902</v>
      </c>
      <c r="E5964" s="79" t="s">
        <v>2487</v>
      </c>
      <c r="F5964" s="79"/>
    </row>
    <row r="5965" spans="1:6">
      <c r="A5965" s="77">
        <f t="shared" ca="1" si="560"/>
        <v>46036</v>
      </c>
      <c r="B5965" s="80">
        <f t="shared" ca="1" si="561"/>
        <v>46036.886427199075</v>
      </c>
      <c r="C5965" s="76" t="s">
        <v>818</v>
      </c>
      <c r="D5965" s="76" t="s">
        <v>902</v>
      </c>
      <c r="E5965" s="79" t="s">
        <v>2487</v>
      </c>
      <c r="F5965" s="79"/>
    </row>
    <row r="5966" spans="1:6">
      <c r="A5966" s="77">
        <f t="shared" ca="1" si="560"/>
        <v>46036</v>
      </c>
      <c r="B5966" s="80">
        <f t="shared" ca="1" si="561"/>
        <v>46036.886525000002</v>
      </c>
      <c r="C5966" s="76" t="s">
        <v>818</v>
      </c>
      <c r="D5966" s="76" t="s">
        <v>902</v>
      </c>
      <c r="E5966" s="79" t="s">
        <v>2487</v>
      </c>
      <c r="F5966" s="79"/>
    </row>
    <row r="5967" spans="1:6">
      <c r="A5967" s="77">
        <f t="shared" ca="1" si="560"/>
        <v>46036</v>
      </c>
      <c r="B5967" s="80">
        <f t="shared" ca="1" si="561"/>
        <v>46036.886567824076</v>
      </c>
      <c r="C5967" s="76" t="s">
        <v>818</v>
      </c>
      <c r="D5967" s="76" t="s">
        <v>902</v>
      </c>
      <c r="E5967" s="79" t="s">
        <v>2487</v>
      </c>
      <c r="F5967" s="79"/>
    </row>
    <row r="5968" spans="1:6">
      <c r="A5968" s="77">
        <f t="shared" ca="1" si="560"/>
        <v>46036</v>
      </c>
      <c r="B5968" s="80">
        <f t="shared" ca="1" si="561"/>
        <v>46036.887226157407</v>
      </c>
      <c r="C5968" s="76" t="s">
        <v>818</v>
      </c>
      <c r="D5968" s="76" t="s">
        <v>902</v>
      </c>
      <c r="E5968" s="79" t="s">
        <v>2487</v>
      </c>
      <c r="F5968" s="79"/>
    </row>
    <row r="5969" spans="1:6">
      <c r="A5969" s="77">
        <f t="shared" ca="1" si="560"/>
        <v>46036</v>
      </c>
      <c r="B5969" s="80">
        <f t="shared" ca="1" si="561"/>
        <v>46036.887246759259</v>
      </c>
      <c r="C5969" s="76" t="s">
        <v>818</v>
      </c>
      <c r="D5969" s="76" t="s">
        <v>902</v>
      </c>
      <c r="E5969" s="79" t="s">
        <v>2487</v>
      </c>
      <c r="F5969" s="79"/>
    </row>
    <row r="5970" spans="1:6">
      <c r="A5970" s="77">
        <f t="shared" ca="1" si="560"/>
        <v>46036</v>
      </c>
      <c r="B5970" s="80">
        <f t="shared" ca="1" si="561"/>
        <v>46036.887378935186</v>
      </c>
      <c r="C5970" s="76" t="s">
        <v>818</v>
      </c>
      <c r="D5970" s="76" t="s">
        <v>902</v>
      </c>
      <c r="E5970" s="79" t="s">
        <v>2487</v>
      </c>
      <c r="F5970" s="79"/>
    </row>
    <row r="5971" spans="1:6">
      <c r="A5971" s="77">
        <f t="shared" ca="1" si="560"/>
        <v>46036</v>
      </c>
      <c r="B5971" s="80">
        <f t="shared" ca="1" si="561"/>
        <v>46036.887390856478</v>
      </c>
      <c r="C5971" s="76" t="s">
        <v>818</v>
      </c>
      <c r="D5971" s="76" t="s">
        <v>902</v>
      </c>
      <c r="E5971" s="79" t="s">
        <v>2487</v>
      </c>
      <c r="F5971" s="79"/>
    </row>
    <row r="5972" spans="1:6">
      <c r="A5972" s="77">
        <f t="shared" ca="1" si="560"/>
        <v>46036</v>
      </c>
      <c r="B5972" s="80">
        <f t="shared" ca="1" si="561"/>
        <v>46036.887404976849</v>
      </c>
      <c r="C5972" s="76" t="s">
        <v>818</v>
      </c>
      <c r="D5972" s="76" t="s">
        <v>902</v>
      </c>
      <c r="E5972" s="79" t="s">
        <v>2487</v>
      </c>
      <c r="F5972" s="79"/>
    </row>
    <row r="5973" spans="1:6">
      <c r="A5973" s="77">
        <f t="shared" ca="1" si="560"/>
        <v>46036</v>
      </c>
      <c r="B5973" s="80">
        <f t="shared" ca="1" si="561"/>
        <v>46036.887577546295</v>
      </c>
      <c r="C5973" s="76" t="s">
        <v>818</v>
      </c>
      <c r="D5973" s="76" t="s">
        <v>902</v>
      </c>
      <c r="E5973" s="79" t="s">
        <v>1173</v>
      </c>
      <c r="F5973" s="79"/>
    </row>
    <row r="5974" spans="1:6">
      <c r="A5974" s="77">
        <f t="shared" ca="1" si="560"/>
        <v>46036</v>
      </c>
      <c r="B5974" s="80">
        <f t="shared" ca="1" si="561"/>
        <v>46036.887750578702</v>
      </c>
      <c r="C5974" s="76" t="s">
        <v>818</v>
      </c>
      <c r="D5974" s="76" t="s">
        <v>902</v>
      </c>
      <c r="E5974" s="79" t="s">
        <v>2487</v>
      </c>
      <c r="F5974" s="79"/>
    </row>
    <row r="5975" spans="1:6">
      <c r="A5975" s="77">
        <f t="shared" ca="1" si="560"/>
        <v>46036</v>
      </c>
      <c r="B5975" s="80">
        <f t="shared" ca="1" si="561"/>
        <v>46036.887834837966</v>
      </c>
      <c r="C5975" s="76" t="s">
        <v>818</v>
      </c>
      <c r="D5975" s="76" t="s">
        <v>902</v>
      </c>
      <c r="E5975" s="79" t="s">
        <v>1324</v>
      </c>
      <c r="F5975" s="79"/>
    </row>
    <row r="5976" spans="1:6">
      <c r="A5976" s="77">
        <f t="shared" ca="1" si="560"/>
        <v>46036</v>
      </c>
      <c r="B5976" s="80">
        <f t="shared" ca="1" si="561"/>
        <v>46036.887849652776</v>
      </c>
      <c r="C5976" s="76" t="s">
        <v>818</v>
      </c>
      <c r="D5976" s="76" t="s">
        <v>902</v>
      </c>
      <c r="E5976" s="79" t="s">
        <v>1324</v>
      </c>
      <c r="F5976" s="79"/>
    </row>
    <row r="5977" spans="1:6">
      <c r="A5977" s="77">
        <f t="shared" ca="1" si="560"/>
        <v>46036</v>
      </c>
      <c r="B5977" s="80">
        <f t="shared" ca="1" si="561"/>
        <v>46036.887860532406</v>
      </c>
      <c r="C5977" s="76" t="s">
        <v>818</v>
      </c>
      <c r="D5977" s="76" t="s">
        <v>902</v>
      </c>
      <c r="E5977" s="79" t="s">
        <v>2487</v>
      </c>
      <c r="F5977" s="79"/>
    </row>
    <row r="5978" spans="1:6">
      <c r="A5978" s="77">
        <f t="shared" ca="1" si="560"/>
        <v>46036</v>
      </c>
      <c r="B5978" s="80">
        <f t="shared" ca="1" si="561"/>
        <v>46036.887947685187</v>
      </c>
      <c r="C5978" s="76" t="s">
        <v>818</v>
      </c>
      <c r="D5978" s="76" t="s">
        <v>902</v>
      </c>
      <c r="E5978" s="79" t="s">
        <v>2487</v>
      </c>
      <c r="F5978" s="79"/>
    </row>
    <row r="5979" spans="1:6">
      <c r="A5979" s="77">
        <f t="shared" ca="1" si="560"/>
        <v>46036</v>
      </c>
      <c r="B5979" s="80">
        <f t="shared" ca="1" si="561"/>
        <v>46036.888910532405</v>
      </c>
      <c r="C5979" s="76" t="s">
        <v>818</v>
      </c>
      <c r="D5979" s="76" t="s">
        <v>902</v>
      </c>
      <c r="E5979" s="79" t="s">
        <v>1311</v>
      </c>
      <c r="F5979" s="79"/>
    </row>
    <row r="5980" spans="1:6">
      <c r="A5980" s="77">
        <f t="shared" ca="1" si="560"/>
        <v>46036</v>
      </c>
      <c r="B5980" s="80">
        <f t="shared" ca="1" si="561"/>
        <v>46036.889057523149</v>
      </c>
      <c r="C5980" s="76" t="s">
        <v>818</v>
      </c>
      <c r="D5980" s="76" t="s">
        <v>902</v>
      </c>
      <c r="E5980" s="79" t="s">
        <v>3263</v>
      </c>
      <c r="F5980" s="79"/>
    </row>
    <row r="5981" spans="1:6">
      <c r="A5981" s="77">
        <f t="shared" ca="1" si="560"/>
        <v>46036</v>
      </c>
      <c r="B5981" s="80">
        <f t="shared" ca="1" si="561"/>
        <v>46036.889191319446</v>
      </c>
      <c r="C5981" s="76" t="s">
        <v>818</v>
      </c>
      <c r="D5981" s="76" t="s">
        <v>902</v>
      </c>
      <c r="E5981" s="79" t="s">
        <v>2487</v>
      </c>
      <c r="F5981" s="79"/>
    </row>
    <row r="5982" spans="1:6">
      <c r="A5982" s="77">
        <f t="shared" ca="1" si="560"/>
        <v>46036</v>
      </c>
      <c r="B5982" s="80">
        <f t="shared" ca="1" si="561"/>
        <v>46036.889200231482</v>
      </c>
      <c r="C5982" s="76" t="s">
        <v>818</v>
      </c>
      <c r="D5982" s="76" t="s">
        <v>902</v>
      </c>
      <c r="E5982" s="79" t="s">
        <v>2487</v>
      </c>
      <c r="F5982" s="79"/>
    </row>
    <row r="5983" spans="1:6">
      <c r="A5983" s="77">
        <f t="shared" ca="1" si="560"/>
        <v>46036</v>
      </c>
      <c r="B5983" s="80">
        <f t="shared" ca="1" si="561"/>
        <v>46036.889303124997</v>
      </c>
      <c r="C5983" s="76" t="s">
        <v>818</v>
      </c>
      <c r="D5983" s="76" t="s">
        <v>902</v>
      </c>
      <c r="E5983" s="79" t="s">
        <v>2487</v>
      </c>
      <c r="F5983" s="79"/>
    </row>
    <row r="5984" spans="1:6">
      <c r="A5984" s="77">
        <f t="shared" ca="1" si="560"/>
        <v>46036</v>
      </c>
      <c r="B5984" s="80">
        <f t="shared" ca="1" si="561"/>
        <v>46036.889322337964</v>
      </c>
      <c r="C5984" s="76" t="s">
        <v>818</v>
      </c>
      <c r="D5984" s="76" t="s">
        <v>902</v>
      </c>
      <c r="E5984" s="79" t="s">
        <v>2487</v>
      </c>
      <c r="F5984" s="79"/>
    </row>
    <row r="5985" spans="1:6">
      <c r="A5985" s="77">
        <f t="shared" ca="1" si="560"/>
        <v>46036</v>
      </c>
      <c r="B5985" s="80">
        <f t="shared" ca="1" si="561"/>
        <v>46036.88964872685</v>
      </c>
      <c r="C5985" s="76" t="s">
        <v>818</v>
      </c>
      <c r="D5985" s="76" t="s">
        <v>902</v>
      </c>
      <c r="E5985" s="79" t="s">
        <v>3264</v>
      </c>
      <c r="F5985" s="79"/>
    </row>
    <row r="5986" spans="1:6">
      <c r="A5986" s="77">
        <f t="shared" ca="1" si="560"/>
        <v>46036</v>
      </c>
      <c r="B5986" s="80">
        <f t="shared" ca="1" si="561"/>
        <v>46036.889833680558</v>
      </c>
      <c r="C5986" s="76" t="s">
        <v>818</v>
      </c>
      <c r="D5986" s="76" t="s">
        <v>902</v>
      </c>
      <c r="E5986" s="79" t="s">
        <v>1324</v>
      </c>
      <c r="F5986" s="79"/>
    </row>
    <row r="5987" spans="1:6">
      <c r="A5987" s="77">
        <f t="shared" ca="1" si="560"/>
        <v>46036</v>
      </c>
      <c r="B5987" s="80">
        <f t="shared" ca="1" si="561"/>
        <v>46036.889938310182</v>
      </c>
      <c r="C5987" s="76" t="s">
        <v>818</v>
      </c>
      <c r="D5987" s="76" t="s">
        <v>902</v>
      </c>
      <c r="E5987" s="79" t="s">
        <v>1324</v>
      </c>
      <c r="F5987" s="79"/>
    </row>
    <row r="5988" spans="1:6">
      <c r="A5988" s="77">
        <f t="shared" ca="1" si="560"/>
        <v>46036</v>
      </c>
      <c r="B5988" s="80">
        <f t="shared" ca="1" si="561"/>
        <v>46036.890095601855</v>
      </c>
      <c r="C5988" s="76" t="s">
        <v>818</v>
      </c>
      <c r="D5988" s="76" t="s">
        <v>902</v>
      </c>
      <c r="E5988" s="79" t="s">
        <v>1324</v>
      </c>
      <c r="F5988" s="79"/>
    </row>
    <row r="5989" spans="1:6">
      <c r="A5989" s="77">
        <f t="shared" ca="1" si="560"/>
        <v>46036</v>
      </c>
      <c r="B5989" s="80">
        <f t="shared" ca="1" si="561"/>
        <v>46036.89043634259</v>
      </c>
      <c r="C5989" s="76" t="s">
        <v>818</v>
      </c>
      <c r="D5989" s="76" t="s">
        <v>902</v>
      </c>
      <c r="E5989" s="79" t="s">
        <v>2487</v>
      </c>
      <c r="F5989" s="79"/>
    </row>
    <row r="5990" spans="1:6">
      <c r="A5990" s="77">
        <f t="shared" ca="1" si="560"/>
        <v>46036</v>
      </c>
      <c r="B5990" s="80">
        <f t="shared" ca="1" si="561"/>
        <v>46036.890577893515</v>
      </c>
      <c r="C5990" s="76" t="s">
        <v>818</v>
      </c>
      <c r="D5990" s="76" t="s">
        <v>902</v>
      </c>
      <c r="E5990" s="79" t="s">
        <v>1311</v>
      </c>
      <c r="F5990" s="79"/>
    </row>
    <row r="5991" spans="1:6">
      <c r="A5991" s="77">
        <f t="shared" ca="1" si="560"/>
        <v>46036</v>
      </c>
      <c r="B5991" s="80">
        <f t="shared" ca="1" si="561"/>
        <v>46036.891121875</v>
      </c>
      <c r="C5991" s="76" t="s">
        <v>818</v>
      </c>
      <c r="D5991" s="76" t="s">
        <v>902</v>
      </c>
      <c r="E5991" s="79" t="s">
        <v>1311</v>
      </c>
      <c r="F5991" s="79"/>
    </row>
    <row r="5992" spans="1:6">
      <c r="A5992" s="77">
        <f t="shared" ca="1" si="560"/>
        <v>46036</v>
      </c>
      <c r="B5992" s="80">
        <f t="shared" ca="1" si="561"/>
        <v>46036.893101504633</v>
      </c>
      <c r="C5992" s="76" t="s">
        <v>818</v>
      </c>
      <c r="D5992" s="76" t="s">
        <v>902</v>
      </c>
      <c r="E5992" s="79" t="s">
        <v>1311</v>
      </c>
      <c r="F5992" s="79"/>
    </row>
    <row r="5993" spans="1:6">
      <c r="A5993" s="77">
        <f t="shared" ca="1" si="560"/>
        <v>46036</v>
      </c>
      <c r="B5993" s="80">
        <f t="shared" ca="1" si="561"/>
        <v>46036.895459375002</v>
      </c>
      <c r="C5993" s="76" t="s">
        <v>818</v>
      </c>
      <c r="D5993" s="76" t="s">
        <v>902</v>
      </c>
      <c r="E5993" s="79" t="s">
        <v>1311</v>
      </c>
      <c r="F5993" s="79"/>
    </row>
    <row r="5994" spans="1:6">
      <c r="A5994" s="77">
        <f t="shared" ca="1" si="560"/>
        <v>46036</v>
      </c>
      <c r="B5994" s="80">
        <f t="shared" ca="1" si="561"/>
        <v>46036.895667013887</v>
      </c>
      <c r="C5994" s="76" t="s">
        <v>818</v>
      </c>
      <c r="D5994" s="76" t="s">
        <v>902</v>
      </c>
      <c r="E5994" s="79" t="s">
        <v>3265</v>
      </c>
      <c r="F5994" s="79"/>
    </row>
    <row r="5995" spans="1:6">
      <c r="A5995" s="77">
        <f t="shared" ca="1" si="560"/>
        <v>46036</v>
      </c>
      <c r="B5995" s="80">
        <f t="shared" ca="1" si="561"/>
        <v>46036.896431597219</v>
      </c>
      <c r="C5995" s="76" t="s">
        <v>818</v>
      </c>
      <c r="D5995" s="76" t="s">
        <v>902</v>
      </c>
      <c r="E5995" s="79" t="s">
        <v>3265</v>
      </c>
      <c r="F5995" s="79"/>
    </row>
    <row r="5996" spans="1:6">
      <c r="A5996" s="77">
        <f t="shared" ca="1" si="560"/>
        <v>46036</v>
      </c>
      <c r="B5996" s="80">
        <f t="shared" ca="1" si="561"/>
        <v>46036.897568749999</v>
      </c>
      <c r="C5996" s="76" t="s">
        <v>818</v>
      </c>
      <c r="D5996" s="76" t="s">
        <v>902</v>
      </c>
      <c r="E5996" s="79" t="s">
        <v>1324</v>
      </c>
      <c r="F5996" s="79"/>
    </row>
    <row r="5997" spans="1:6">
      <c r="A5997" s="77">
        <f t="shared" ca="1" si="560"/>
        <v>46036</v>
      </c>
      <c r="B5997" s="80">
        <f t="shared" ca="1" si="561"/>
        <v>46036.897595717594</v>
      </c>
      <c r="C5997" s="76" t="s">
        <v>818</v>
      </c>
      <c r="D5997" s="76" t="s">
        <v>902</v>
      </c>
      <c r="E5997" s="79" t="s">
        <v>2487</v>
      </c>
      <c r="F5997" s="79"/>
    </row>
    <row r="5998" spans="1:6">
      <c r="A5998" s="77">
        <f t="shared" ca="1" si="560"/>
        <v>46036</v>
      </c>
      <c r="B5998" s="80">
        <f t="shared" ca="1" si="561"/>
        <v>46036.897732407408</v>
      </c>
      <c r="C5998" s="76" t="s">
        <v>818</v>
      </c>
      <c r="D5998" s="76" t="s">
        <v>902</v>
      </c>
      <c r="E5998" s="79" t="s">
        <v>2068</v>
      </c>
      <c r="F5998" s="79"/>
    </row>
    <row r="5999" spans="1:6">
      <c r="A5999" s="77">
        <f t="shared" ca="1" si="560"/>
        <v>46036</v>
      </c>
      <c r="B5999" s="80">
        <f t="shared" ca="1" si="561"/>
        <v>46036.898049074072</v>
      </c>
      <c r="C5999" s="76" t="s">
        <v>818</v>
      </c>
      <c r="D5999" s="76" t="s">
        <v>902</v>
      </c>
      <c r="E5999" s="79" t="s">
        <v>1324</v>
      </c>
      <c r="F5999" s="79"/>
    </row>
    <row r="6000" spans="1:6">
      <c r="A6000" s="77">
        <f t="shared" ca="1" si="560"/>
        <v>46036</v>
      </c>
      <c r="B6000" s="80">
        <f t="shared" ca="1" si="561"/>
        <v>46036.898175000002</v>
      </c>
      <c r="C6000" s="76" t="s">
        <v>818</v>
      </c>
      <c r="D6000" s="76" t="s">
        <v>902</v>
      </c>
      <c r="E6000" s="79" t="s">
        <v>1324</v>
      </c>
      <c r="F6000" s="79"/>
    </row>
    <row r="6001" spans="1:6">
      <c r="A6001" s="77">
        <f t="shared" ca="1" si="560"/>
        <v>46036</v>
      </c>
      <c r="B6001" s="80">
        <f t="shared" ca="1" si="561"/>
        <v>46036.89832615741</v>
      </c>
      <c r="C6001" s="76" t="s">
        <v>818</v>
      </c>
      <c r="D6001" s="76" t="s">
        <v>902</v>
      </c>
      <c r="E6001" s="79" t="s">
        <v>1311</v>
      </c>
      <c r="F6001" s="79"/>
    </row>
    <row r="6002" spans="1:6">
      <c r="A6002" s="77">
        <f t="shared" ca="1" si="560"/>
        <v>46036</v>
      </c>
      <c r="B6002" s="80">
        <f t="shared" ca="1" si="561"/>
        <v>46036.901746296295</v>
      </c>
      <c r="C6002" s="76" t="s">
        <v>818</v>
      </c>
      <c r="D6002" s="76" t="s">
        <v>902</v>
      </c>
      <c r="E6002" s="79" t="s">
        <v>1062</v>
      </c>
      <c r="F6002" s="79"/>
    </row>
    <row r="6003" spans="1:6">
      <c r="A6003" s="77">
        <f t="shared" ca="1" si="560"/>
        <v>46036</v>
      </c>
      <c r="B6003" s="80">
        <f t="shared" ca="1" si="561"/>
        <v>46036.901881597223</v>
      </c>
      <c r="C6003" s="76" t="s">
        <v>818</v>
      </c>
      <c r="D6003" s="76" t="s">
        <v>902</v>
      </c>
      <c r="E6003" s="79" t="s">
        <v>1062</v>
      </c>
      <c r="F6003" s="79"/>
    </row>
    <row r="6004" spans="1:6">
      <c r="A6004" s="77">
        <f t="shared" ca="1" si="560"/>
        <v>46036</v>
      </c>
      <c r="B6004" s="80">
        <f t="shared" ca="1" si="561"/>
        <v>46036.902676736114</v>
      </c>
      <c r="C6004" s="76" t="s">
        <v>818</v>
      </c>
      <c r="D6004" s="76" t="s">
        <v>902</v>
      </c>
      <c r="E6004" s="79" t="s">
        <v>1311</v>
      </c>
      <c r="F6004" s="79"/>
    </row>
    <row r="6005" spans="1:6">
      <c r="A6005" s="77">
        <f t="shared" ca="1" si="560"/>
        <v>46036</v>
      </c>
      <c r="B6005" s="80">
        <f t="shared" ca="1" si="561"/>
        <v>46036.903044560182</v>
      </c>
      <c r="C6005" s="76" t="s">
        <v>818</v>
      </c>
      <c r="D6005" s="76" t="s">
        <v>902</v>
      </c>
      <c r="E6005" s="79" t="s">
        <v>1324</v>
      </c>
      <c r="F6005" s="79"/>
    </row>
    <row r="6006" spans="1:6">
      <c r="A6006" s="77">
        <f t="shared" ca="1" si="560"/>
        <v>46036</v>
      </c>
      <c r="B6006" s="80">
        <f t="shared" ca="1" si="561"/>
        <v>46036.90411851852</v>
      </c>
      <c r="C6006" s="76" t="s">
        <v>818</v>
      </c>
      <c r="D6006" s="76" t="s">
        <v>902</v>
      </c>
      <c r="E6006" s="79" t="s">
        <v>1324</v>
      </c>
      <c r="F6006" s="79"/>
    </row>
    <row r="6007" spans="1:6">
      <c r="A6007" s="77">
        <f t="shared" ca="1" si="560"/>
        <v>46036</v>
      </c>
      <c r="B6007" s="80">
        <f t="shared" ca="1" si="561"/>
        <v>46036.904128472219</v>
      </c>
      <c r="C6007" s="76" t="s">
        <v>818</v>
      </c>
      <c r="D6007" s="76" t="s">
        <v>902</v>
      </c>
      <c r="E6007" s="79" t="s">
        <v>1324</v>
      </c>
      <c r="F6007" s="79"/>
    </row>
    <row r="6008" spans="1:6">
      <c r="A6008" s="77">
        <f t="shared" ca="1" si="560"/>
        <v>46036</v>
      </c>
      <c r="B6008" s="80">
        <f t="shared" ca="1" si="561"/>
        <v>46036.904151620372</v>
      </c>
      <c r="C6008" s="76" t="s">
        <v>818</v>
      </c>
      <c r="D6008" s="76" t="s">
        <v>902</v>
      </c>
      <c r="E6008" s="79" t="s">
        <v>2692</v>
      </c>
      <c r="F6008" s="79"/>
    </row>
    <row r="6009" spans="1:6">
      <c r="A6009" s="77">
        <f t="shared" ca="1" si="560"/>
        <v>46036</v>
      </c>
      <c r="B6009" s="80">
        <f t="shared" ca="1" si="561"/>
        <v>46036.90579675926</v>
      </c>
      <c r="C6009" s="76" t="s">
        <v>818</v>
      </c>
      <c r="D6009" s="76" t="s">
        <v>902</v>
      </c>
      <c r="E6009" s="79" t="s">
        <v>1062</v>
      </c>
      <c r="F6009" s="79"/>
    </row>
    <row r="6010" spans="1:6">
      <c r="A6010" s="77">
        <f t="shared" ca="1" si="560"/>
        <v>46036</v>
      </c>
      <c r="B6010" s="80">
        <f t="shared" ca="1" si="561"/>
        <v>46036.909906250003</v>
      </c>
      <c r="C6010" s="76" t="s">
        <v>818</v>
      </c>
      <c r="D6010" s="76" t="s">
        <v>902</v>
      </c>
      <c r="E6010" s="79" t="s">
        <v>1697</v>
      </c>
      <c r="F6010" s="79"/>
    </row>
    <row r="6011" spans="1:6">
      <c r="A6011" s="77">
        <f t="shared" ca="1" si="560"/>
        <v>46036</v>
      </c>
      <c r="B6011" s="80">
        <f t="shared" ca="1" si="561"/>
        <v>46036.910217592595</v>
      </c>
      <c r="C6011" s="76" t="s">
        <v>818</v>
      </c>
      <c r="D6011" s="76" t="s">
        <v>902</v>
      </c>
      <c r="E6011" s="79" t="s">
        <v>1311</v>
      </c>
      <c r="F6011" s="79"/>
    </row>
    <row r="6012" spans="1:6">
      <c r="A6012" s="77">
        <f t="shared" ca="1" si="560"/>
        <v>46036</v>
      </c>
      <c r="B6012" s="80">
        <f t="shared" ca="1" si="561"/>
        <v>46036.911450115738</v>
      </c>
      <c r="C6012" s="76" t="s">
        <v>818</v>
      </c>
      <c r="D6012" s="210" t="s">
        <v>922</v>
      </c>
      <c r="E6012" s="79"/>
      <c r="F6012" s="79"/>
    </row>
    <row r="6013" spans="1:6">
      <c r="A6013" s="77">
        <f t="shared" ca="1" si="560"/>
        <v>46036</v>
      </c>
      <c r="B6013" s="80">
        <f t="shared" ca="1" si="561"/>
        <v>46036.934629976851</v>
      </c>
      <c r="C6013" s="76" t="s">
        <v>818</v>
      </c>
      <c r="D6013" s="210" t="s">
        <v>1098</v>
      </c>
      <c r="E6013" s="79"/>
      <c r="F6013" s="79"/>
    </row>
    <row r="6014" spans="1:6">
      <c r="A6014" s="77">
        <f t="shared" ca="1" si="560"/>
        <v>46036</v>
      </c>
      <c r="B6014" s="80">
        <f t="shared" ca="1" si="561"/>
        <v>46036.989138194447</v>
      </c>
      <c r="C6014" s="76" t="s">
        <v>822</v>
      </c>
      <c r="D6014" s="210" t="s">
        <v>906</v>
      </c>
      <c r="E6014" s="79"/>
      <c r="F6014" s="79"/>
    </row>
    <row r="6015" spans="1:6">
      <c r="A6015" s="77">
        <f t="shared" ca="1" si="560"/>
        <v>46037</v>
      </c>
      <c r="B6015" s="80">
        <f t="shared" ca="1" si="561"/>
        <v>46037.034664699073</v>
      </c>
      <c r="C6015" s="76" t="s">
        <v>822</v>
      </c>
      <c r="D6015" s="210" t="s">
        <v>909</v>
      </c>
      <c r="E6015" s="79"/>
      <c r="F6015" s="79"/>
    </row>
    <row r="6016" spans="1:6">
      <c r="A6016" s="77">
        <f t="shared" ca="1" si="560"/>
        <v>46037</v>
      </c>
      <c r="B6016" s="80">
        <f t="shared" ca="1" si="561"/>
        <v>46037.03567060185</v>
      </c>
      <c r="C6016" s="76" t="s">
        <v>822</v>
      </c>
      <c r="D6016" s="76" t="s">
        <v>902</v>
      </c>
      <c r="E6016" s="79" t="s">
        <v>2487</v>
      </c>
      <c r="F6016" s="79"/>
    </row>
    <row r="6017" spans="1:6">
      <c r="A6017" s="77">
        <f t="shared" ca="1" si="560"/>
        <v>46037</v>
      </c>
      <c r="B6017" s="80">
        <f t="shared" ca="1" si="561"/>
        <v>46037.049690740743</v>
      </c>
      <c r="C6017" s="76" t="s">
        <v>822</v>
      </c>
      <c r="D6017" s="76" t="s">
        <v>902</v>
      </c>
      <c r="E6017" s="79" t="s">
        <v>2487</v>
      </c>
      <c r="F6017" s="79"/>
    </row>
    <row r="6018" spans="1:6">
      <c r="A6018" s="77">
        <f t="shared" ca="1" si="560"/>
        <v>46037</v>
      </c>
      <c r="B6018" s="80">
        <f t="shared" ca="1" si="561"/>
        <v>46037.051540509259</v>
      </c>
      <c r="C6018" s="76" t="s">
        <v>822</v>
      </c>
      <c r="D6018" s="76" t="s">
        <v>902</v>
      </c>
      <c r="E6018" s="79" t="s">
        <v>2487</v>
      </c>
      <c r="F6018" s="79"/>
    </row>
    <row r="6019" spans="1:6">
      <c r="A6019" s="77">
        <f t="shared" ca="1" si="560"/>
        <v>46037</v>
      </c>
      <c r="B6019" s="80">
        <f t="shared" ca="1" si="561"/>
        <v>46037.055560300927</v>
      </c>
      <c r="C6019" s="76" t="s">
        <v>822</v>
      </c>
      <c r="D6019" s="76" t="s">
        <v>902</v>
      </c>
      <c r="E6019" s="79" t="s">
        <v>1697</v>
      </c>
      <c r="F6019" s="79"/>
    </row>
    <row r="6020" spans="1:6">
      <c r="A6020" s="77">
        <f t="shared" ca="1" si="560"/>
        <v>46037</v>
      </c>
      <c r="B6020" s="80">
        <f t="shared" ca="1" si="561"/>
        <v>46037.059277083332</v>
      </c>
      <c r="C6020" s="76" t="s">
        <v>822</v>
      </c>
      <c r="D6020" s="76" t="s">
        <v>902</v>
      </c>
      <c r="E6020" s="79" t="s">
        <v>932</v>
      </c>
      <c r="F6020" s="79"/>
    </row>
    <row r="6021" spans="1:6">
      <c r="A6021" s="77">
        <f t="shared" ref="A6021:A6084" ca="1" si="562">IF(C6021&lt;&gt;0,IF(A6021=0,TODAY(),A6021),)</f>
        <v>46037</v>
      </c>
      <c r="B6021" s="80">
        <f t="shared" ref="B6021:B6084" ca="1" si="563">IF(C6021&lt;&gt;0,IF(B6021=0,NOW(),B6021),)</f>
        <v>46037.060139930552</v>
      </c>
      <c r="C6021" s="76" t="s">
        <v>822</v>
      </c>
      <c r="D6021" s="76" t="s">
        <v>902</v>
      </c>
      <c r="E6021" s="79" t="s">
        <v>942</v>
      </c>
      <c r="F6021" s="79"/>
    </row>
    <row r="6022" spans="1:6">
      <c r="A6022" s="77">
        <f t="shared" ca="1" si="562"/>
        <v>46037</v>
      </c>
      <c r="B6022" s="80">
        <f t="shared" ca="1" si="563"/>
        <v>46037.064367013889</v>
      </c>
      <c r="C6022" s="76" t="s">
        <v>822</v>
      </c>
      <c r="D6022" s="76" t="s">
        <v>902</v>
      </c>
      <c r="E6022" s="79" t="s">
        <v>932</v>
      </c>
      <c r="F6022" s="79"/>
    </row>
    <row r="6023" spans="1:6">
      <c r="A6023" s="77">
        <f t="shared" ca="1" si="562"/>
        <v>46037</v>
      </c>
      <c r="B6023" s="80">
        <f t="shared" ca="1" si="563"/>
        <v>46037.069277314811</v>
      </c>
      <c r="C6023" s="76" t="s">
        <v>822</v>
      </c>
      <c r="D6023" s="76" t="s">
        <v>902</v>
      </c>
      <c r="E6023" s="79" t="s">
        <v>1697</v>
      </c>
      <c r="F6023" s="79"/>
    </row>
    <row r="6024" spans="1:6">
      <c r="A6024" s="77">
        <f t="shared" ca="1" si="562"/>
        <v>46037</v>
      </c>
      <c r="B6024" s="80">
        <f t="shared" ca="1" si="563"/>
        <v>46037.069300462965</v>
      </c>
      <c r="C6024" s="76" t="s">
        <v>822</v>
      </c>
      <c r="D6024" s="76" t="s">
        <v>902</v>
      </c>
      <c r="E6024" s="79" t="s">
        <v>3141</v>
      </c>
      <c r="F6024" s="79"/>
    </row>
    <row r="6025" spans="1:6">
      <c r="A6025" s="77">
        <f t="shared" ca="1" si="562"/>
        <v>46037</v>
      </c>
      <c r="B6025" s="80">
        <f t="shared" ca="1" si="563"/>
        <v>46037.073309143518</v>
      </c>
      <c r="C6025" s="76" t="s">
        <v>822</v>
      </c>
      <c r="D6025" s="76" t="s">
        <v>902</v>
      </c>
      <c r="E6025" s="79" t="s">
        <v>3266</v>
      </c>
      <c r="F6025" s="79"/>
    </row>
    <row r="6026" spans="1:6">
      <c r="A6026" s="77">
        <f t="shared" ca="1" si="562"/>
        <v>46037</v>
      </c>
      <c r="B6026" s="80">
        <f t="shared" ca="1" si="563"/>
        <v>46037.082340277775</v>
      </c>
      <c r="C6026" s="76" t="s">
        <v>822</v>
      </c>
      <c r="D6026" s="76" t="s">
        <v>902</v>
      </c>
      <c r="E6026" s="79" t="s">
        <v>1062</v>
      </c>
      <c r="F6026" s="79"/>
    </row>
    <row r="6027" spans="1:6">
      <c r="A6027" s="77">
        <f t="shared" ca="1" si="562"/>
        <v>46037</v>
      </c>
      <c r="B6027" s="80">
        <f t="shared" ca="1" si="563"/>
        <v>46037.088054513886</v>
      </c>
      <c r="C6027" s="76" t="s">
        <v>822</v>
      </c>
      <c r="D6027" s="76" t="s">
        <v>902</v>
      </c>
      <c r="E6027" s="79" t="s">
        <v>1062</v>
      </c>
      <c r="F6027" s="79"/>
    </row>
    <row r="6028" spans="1:6">
      <c r="A6028" s="77">
        <f t="shared" ca="1" si="562"/>
        <v>46037</v>
      </c>
      <c r="B6028" s="80">
        <f t="shared" ca="1" si="563"/>
        <v>46037.088529745371</v>
      </c>
      <c r="C6028" s="76" t="s">
        <v>822</v>
      </c>
      <c r="D6028" s="76" t="s">
        <v>902</v>
      </c>
      <c r="E6028" s="79" t="s">
        <v>2932</v>
      </c>
      <c r="F6028" s="79"/>
    </row>
    <row r="6029" spans="1:6">
      <c r="A6029" s="77">
        <f t="shared" ca="1" si="562"/>
        <v>46037</v>
      </c>
      <c r="B6029" s="80">
        <f t="shared" ca="1" si="563"/>
        <v>46037.088766435183</v>
      </c>
      <c r="C6029" s="76" t="s">
        <v>822</v>
      </c>
      <c r="D6029" s="76" t="s">
        <v>902</v>
      </c>
      <c r="E6029" s="79" t="s">
        <v>2487</v>
      </c>
      <c r="F6029" s="79"/>
    </row>
    <row r="6030" spans="1:6">
      <c r="A6030" s="77">
        <f t="shared" ca="1" si="562"/>
        <v>46037</v>
      </c>
      <c r="B6030" s="80">
        <f t="shared" ca="1" si="563"/>
        <v>46037.089020023152</v>
      </c>
      <c r="C6030" s="76" t="s">
        <v>822</v>
      </c>
      <c r="D6030" s="76" t="s">
        <v>902</v>
      </c>
      <c r="E6030" s="79" t="s">
        <v>1062</v>
      </c>
      <c r="F6030" s="79"/>
    </row>
    <row r="6031" spans="1:6">
      <c r="A6031" s="77">
        <f t="shared" ca="1" si="562"/>
        <v>46037</v>
      </c>
      <c r="B6031" s="80">
        <f t="shared" ca="1" si="563"/>
        <v>46037.089194907407</v>
      </c>
      <c r="C6031" s="76" t="s">
        <v>822</v>
      </c>
      <c r="D6031" s="76" t="s">
        <v>902</v>
      </c>
      <c r="E6031" s="79" t="s">
        <v>2487</v>
      </c>
      <c r="F6031" s="79"/>
    </row>
    <row r="6032" spans="1:6">
      <c r="A6032" s="77">
        <f t="shared" ca="1" si="562"/>
        <v>46037</v>
      </c>
      <c r="B6032" s="80">
        <f t="shared" ca="1" si="563"/>
        <v>46037.09061655093</v>
      </c>
      <c r="C6032" s="76" t="s">
        <v>822</v>
      </c>
      <c r="D6032" s="76" t="s">
        <v>902</v>
      </c>
      <c r="E6032" s="79" t="s">
        <v>3267</v>
      </c>
      <c r="F6032" s="79"/>
    </row>
    <row r="6033" spans="1:6">
      <c r="A6033" s="77">
        <f t="shared" ca="1" si="562"/>
        <v>46037</v>
      </c>
      <c r="B6033" s="80">
        <f t="shared" ca="1" si="563"/>
        <v>46037.091833449071</v>
      </c>
      <c r="C6033" s="76" t="s">
        <v>822</v>
      </c>
      <c r="D6033" s="76" t="s">
        <v>902</v>
      </c>
      <c r="E6033" s="79" t="s">
        <v>3268</v>
      </c>
      <c r="F6033" s="79"/>
    </row>
    <row r="6034" spans="1:6">
      <c r="A6034" s="77">
        <f t="shared" ca="1" si="562"/>
        <v>46037</v>
      </c>
      <c r="B6034" s="80">
        <f t="shared" ca="1" si="563"/>
        <v>46037.093168634259</v>
      </c>
      <c r="C6034" s="76" t="s">
        <v>822</v>
      </c>
      <c r="D6034" s="76" t="s">
        <v>902</v>
      </c>
      <c r="E6034" s="79" t="s">
        <v>3269</v>
      </c>
      <c r="F6034" s="79"/>
    </row>
    <row r="6035" spans="1:6">
      <c r="A6035" s="77">
        <f t="shared" ca="1" si="562"/>
        <v>46037</v>
      </c>
      <c r="B6035" s="80">
        <f t="shared" ca="1" si="563"/>
        <v>46037.096200694446</v>
      </c>
      <c r="C6035" s="76" t="s">
        <v>822</v>
      </c>
      <c r="D6035" s="76" t="s">
        <v>902</v>
      </c>
      <c r="E6035" s="79" t="s">
        <v>1504</v>
      </c>
      <c r="F6035" s="79"/>
    </row>
    <row r="6036" spans="1:6">
      <c r="A6036" s="77">
        <f t="shared" ca="1" si="562"/>
        <v>46037</v>
      </c>
      <c r="B6036" s="80">
        <f t="shared" ca="1" si="563"/>
        <v>46037.096607638887</v>
      </c>
      <c r="C6036" s="76" t="s">
        <v>822</v>
      </c>
      <c r="D6036" s="76" t="s">
        <v>902</v>
      </c>
      <c r="E6036" s="79" t="s">
        <v>1063</v>
      </c>
      <c r="F6036" s="79"/>
    </row>
    <row r="6037" spans="1:6">
      <c r="A6037" s="77">
        <f t="shared" ca="1" si="562"/>
        <v>46037</v>
      </c>
      <c r="B6037" s="80">
        <f t="shared" ca="1" si="563"/>
        <v>46037.097001388887</v>
      </c>
      <c r="C6037" s="76" t="s">
        <v>822</v>
      </c>
      <c r="D6037" s="76" t="s">
        <v>902</v>
      </c>
      <c r="E6037" s="79" t="s">
        <v>3270</v>
      </c>
      <c r="F6037" s="79"/>
    </row>
    <row r="6038" spans="1:6">
      <c r="A6038" s="77">
        <f t="shared" ca="1" si="562"/>
        <v>46037</v>
      </c>
      <c r="B6038" s="80">
        <f t="shared" ca="1" si="563"/>
        <v>46037.099151620372</v>
      </c>
      <c r="C6038" s="76" t="s">
        <v>822</v>
      </c>
      <c r="D6038" s="76" t="s">
        <v>902</v>
      </c>
      <c r="E6038" s="79" t="s">
        <v>3271</v>
      </c>
      <c r="F6038" s="79"/>
    </row>
    <row r="6039" spans="1:6">
      <c r="A6039" s="77">
        <f t="shared" ca="1" si="562"/>
        <v>46037</v>
      </c>
      <c r="B6039" s="80">
        <f t="shared" ca="1" si="563"/>
        <v>46037.09974085648</v>
      </c>
      <c r="C6039" s="76" t="s">
        <v>822</v>
      </c>
      <c r="D6039" s="76" t="s">
        <v>902</v>
      </c>
      <c r="E6039" s="79" t="s">
        <v>1504</v>
      </c>
      <c r="F6039" s="79"/>
    </row>
    <row r="6040" spans="1:6">
      <c r="A6040" s="77">
        <f t="shared" ca="1" si="562"/>
        <v>46037</v>
      </c>
      <c r="B6040" s="80">
        <f t="shared" ca="1" si="563"/>
        <v>46037.099784375001</v>
      </c>
      <c r="C6040" s="76" t="s">
        <v>822</v>
      </c>
      <c r="D6040" s="76" t="s">
        <v>902</v>
      </c>
      <c r="E6040" s="79" t="s">
        <v>1504</v>
      </c>
      <c r="F6040" s="79"/>
    </row>
    <row r="6041" spans="1:6">
      <c r="A6041" s="77">
        <f t="shared" ca="1" si="562"/>
        <v>46037</v>
      </c>
      <c r="B6041" s="80">
        <f t="shared" ca="1" si="563"/>
        <v>46037.100070717592</v>
      </c>
      <c r="C6041" s="76" t="s">
        <v>822</v>
      </c>
      <c r="D6041" s="76" t="s">
        <v>902</v>
      </c>
      <c r="E6041" s="79" t="s">
        <v>2487</v>
      </c>
      <c r="F6041" s="79"/>
    </row>
    <row r="6042" spans="1:6">
      <c r="A6042" s="77">
        <f t="shared" ca="1" si="562"/>
        <v>46037</v>
      </c>
      <c r="B6042" s="80">
        <f t="shared" ca="1" si="563"/>
        <v>46037.10017233796</v>
      </c>
      <c r="C6042" s="76" t="s">
        <v>822</v>
      </c>
      <c r="D6042" s="76" t="s">
        <v>902</v>
      </c>
      <c r="E6042" s="79" t="s">
        <v>2487</v>
      </c>
      <c r="F6042" s="79"/>
    </row>
    <row r="6043" spans="1:6">
      <c r="A6043" s="77">
        <f t="shared" ca="1" si="562"/>
        <v>46037</v>
      </c>
      <c r="B6043" s="80">
        <f t="shared" ca="1" si="563"/>
        <v>46037.100751388891</v>
      </c>
      <c r="C6043" s="76" t="s">
        <v>822</v>
      </c>
      <c r="D6043" s="76" t="s">
        <v>902</v>
      </c>
      <c r="E6043" s="79" t="s">
        <v>3272</v>
      </c>
      <c r="F6043" s="79"/>
    </row>
    <row r="6044" spans="1:6">
      <c r="A6044" s="77">
        <f t="shared" ca="1" si="562"/>
        <v>46037</v>
      </c>
      <c r="B6044" s="80">
        <f t="shared" ca="1" si="563"/>
        <v>46037.101704976849</v>
      </c>
      <c r="C6044" s="76" t="s">
        <v>822</v>
      </c>
      <c r="D6044" s="76" t="s">
        <v>902</v>
      </c>
      <c r="E6044" s="79"/>
      <c r="F6044" s="79" t="s">
        <v>3273</v>
      </c>
    </row>
    <row r="6045" spans="1:6">
      <c r="A6045" s="77">
        <f t="shared" ca="1" si="562"/>
        <v>46037</v>
      </c>
      <c r="B6045" s="80">
        <f t="shared" ca="1" si="563"/>
        <v>46037.103727546295</v>
      </c>
      <c r="C6045" s="76" t="s">
        <v>822</v>
      </c>
      <c r="D6045" s="76" t="s">
        <v>902</v>
      </c>
      <c r="E6045" s="79" t="s">
        <v>1064</v>
      </c>
      <c r="F6045" s="79"/>
    </row>
    <row r="6046" spans="1:6">
      <c r="A6046" s="77">
        <f t="shared" ca="1" si="562"/>
        <v>46037</v>
      </c>
      <c r="B6046" s="80">
        <f t="shared" ca="1" si="563"/>
        <v>46037.104427430553</v>
      </c>
      <c r="C6046" s="76" t="s">
        <v>822</v>
      </c>
      <c r="D6046" s="76" t="s">
        <v>902</v>
      </c>
      <c r="E6046" s="79" t="s">
        <v>3274</v>
      </c>
      <c r="F6046" s="79"/>
    </row>
    <row r="6047" spans="1:6">
      <c r="A6047" s="77">
        <f t="shared" ca="1" si="562"/>
        <v>46037</v>
      </c>
      <c r="B6047" s="80">
        <f t="shared" ca="1" si="563"/>
        <v>46037.104682638892</v>
      </c>
      <c r="C6047" s="76" t="s">
        <v>822</v>
      </c>
      <c r="D6047" s="76" t="s">
        <v>902</v>
      </c>
      <c r="E6047" s="79" t="s">
        <v>3275</v>
      </c>
      <c r="F6047" s="79" t="s">
        <v>1272</v>
      </c>
    </row>
    <row r="6048" spans="1:6">
      <c r="A6048" s="77">
        <f t="shared" ca="1" si="562"/>
        <v>46037</v>
      </c>
      <c r="B6048" s="80">
        <f t="shared" ca="1" si="563"/>
        <v>46037.105001620374</v>
      </c>
      <c r="C6048" s="76" t="s">
        <v>822</v>
      </c>
      <c r="D6048" s="76" t="s">
        <v>902</v>
      </c>
      <c r="E6048" s="79" t="s">
        <v>1504</v>
      </c>
      <c r="F6048" s="79"/>
    </row>
    <row r="6049" spans="1:6">
      <c r="A6049" s="77">
        <f t="shared" ca="1" si="562"/>
        <v>46037</v>
      </c>
      <c r="B6049" s="80">
        <f t="shared" ca="1" si="563"/>
        <v>46037.105163310189</v>
      </c>
      <c r="C6049" s="76" t="s">
        <v>822</v>
      </c>
      <c r="D6049" s="76" t="s">
        <v>902</v>
      </c>
      <c r="E6049" s="79" t="s">
        <v>1295</v>
      </c>
      <c r="F6049" s="79" t="s">
        <v>1213</v>
      </c>
    </row>
    <row r="6050" spans="1:6">
      <c r="A6050" s="77">
        <f t="shared" ca="1" si="562"/>
        <v>46037</v>
      </c>
      <c r="B6050" s="80">
        <f t="shared" ca="1" si="563"/>
        <v>46037.105243634258</v>
      </c>
      <c r="C6050" s="76" t="s">
        <v>822</v>
      </c>
      <c r="D6050" s="76" t="s">
        <v>902</v>
      </c>
      <c r="E6050" s="79" t="s">
        <v>2072</v>
      </c>
      <c r="F6050" s="79"/>
    </row>
    <row r="6051" spans="1:6">
      <c r="A6051" s="77">
        <f t="shared" ca="1" si="562"/>
        <v>46037</v>
      </c>
      <c r="B6051" s="80">
        <f t="shared" ca="1" si="563"/>
        <v>46037.105722337961</v>
      </c>
      <c r="C6051" s="76" t="s">
        <v>822</v>
      </c>
      <c r="D6051" s="76" t="s">
        <v>902</v>
      </c>
      <c r="E6051" s="79" t="s">
        <v>3276</v>
      </c>
      <c r="F6051" s="79"/>
    </row>
    <row r="6052" spans="1:6">
      <c r="A6052" s="77">
        <f t="shared" ca="1" si="562"/>
        <v>46037</v>
      </c>
      <c r="B6052" s="80">
        <f t="shared" ca="1" si="563"/>
        <v>46037.106316898149</v>
      </c>
      <c r="C6052" s="76" t="s">
        <v>822</v>
      </c>
      <c r="D6052" s="76" t="s">
        <v>902</v>
      </c>
      <c r="E6052" s="79" t="s">
        <v>1285</v>
      </c>
      <c r="F6052" s="79" t="s">
        <v>1272</v>
      </c>
    </row>
    <row r="6053" spans="1:6">
      <c r="A6053" s="77">
        <f t="shared" ca="1" si="562"/>
        <v>46037</v>
      </c>
      <c r="B6053" s="80">
        <f t="shared" ca="1" si="563"/>
        <v>46037.106377546297</v>
      </c>
      <c r="C6053" s="76" t="s">
        <v>822</v>
      </c>
      <c r="D6053" s="76" t="s">
        <v>902</v>
      </c>
      <c r="E6053" s="79" t="s">
        <v>3277</v>
      </c>
      <c r="F6053" s="79" t="s">
        <v>1010</v>
      </c>
    </row>
    <row r="6054" spans="1:6">
      <c r="A6054" s="77">
        <f t="shared" ca="1" si="562"/>
        <v>46037</v>
      </c>
      <c r="B6054" s="80">
        <f t="shared" ca="1" si="563"/>
        <v>46037.106611921299</v>
      </c>
      <c r="C6054" s="76" t="s">
        <v>822</v>
      </c>
      <c r="D6054" s="76" t="s">
        <v>902</v>
      </c>
      <c r="E6054" s="79" t="s">
        <v>1567</v>
      </c>
      <c r="F6054" s="79"/>
    </row>
    <row r="6055" spans="1:6">
      <c r="A6055" s="77">
        <f t="shared" ca="1" si="562"/>
        <v>46037</v>
      </c>
      <c r="B6055" s="80">
        <f t="shared" ca="1" si="563"/>
        <v>46037.108559953704</v>
      </c>
      <c r="C6055" s="76" t="s">
        <v>822</v>
      </c>
      <c r="D6055" s="76" t="s">
        <v>902</v>
      </c>
      <c r="E6055" s="79" t="s">
        <v>1062</v>
      </c>
      <c r="F6055" s="79"/>
    </row>
    <row r="6056" spans="1:6">
      <c r="A6056" s="77">
        <f t="shared" ca="1" si="562"/>
        <v>46037</v>
      </c>
      <c r="B6056" s="80">
        <f t="shared" ca="1" si="563"/>
        <v>46037.10932476852</v>
      </c>
      <c r="C6056" s="76" t="s">
        <v>822</v>
      </c>
      <c r="D6056" s="76" t="s">
        <v>902</v>
      </c>
      <c r="E6056" s="79" t="s">
        <v>3278</v>
      </c>
      <c r="F6056" s="79" t="s">
        <v>1280</v>
      </c>
    </row>
    <row r="6057" spans="1:6">
      <c r="A6057" s="77">
        <f t="shared" ca="1" si="562"/>
        <v>46037</v>
      </c>
      <c r="B6057" s="80">
        <f t="shared" ca="1" si="563"/>
        <v>46037.110014699072</v>
      </c>
      <c r="C6057" s="76" t="s">
        <v>822</v>
      </c>
      <c r="D6057" s="76" t="s">
        <v>902</v>
      </c>
      <c r="E6057" s="79" t="s">
        <v>2932</v>
      </c>
      <c r="F6057" s="79"/>
    </row>
    <row r="6058" spans="1:6">
      <c r="A6058" s="77">
        <f t="shared" ca="1" si="562"/>
        <v>46037</v>
      </c>
      <c r="B6058" s="80">
        <f t="shared" ca="1" si="563"/>
        <v>46037.110568518518</v>
      </c>
      <c r="C6058" s="76" t="s">
        <v>822</v>
      </c>
      <c r="D6058" s="76" t="s">
        <v>902</v>
      </c>
      <c r="E6058" s="79" t="s">
        <v>3279</v>
      </c>
      <c r="F6058" s="79"/>
    </row>
    <row r="6059" spans="1:6">
      <c r="A6059" s="77">
        <f t="shared" ca="1" si="562"/>
        <v>46037</v>
      </c>
      <c r="B6059" s="80">
        <f t="shared" ca="1" si="563"/>
        <v>46037.110700810183</v>
      </c>
      <c r="C6059" s="76" t="s">
        <v>822</v>
      </c>
      <c r="D6059" s="76" t="s">
        <v>902</v>
      </c>
      <c r="E6059" s="79" t="s">
        <v>3280</v>
      </c>
      <c r="F6059" s="79" t="s">
        <v>1280</v>
      </c>
    </row>
    <row r="6060" spans="1:6">
      <c r="A6060" s="77">
        <f t="shared" ca="1" si="562"/>
        <v>46037</v>
      </c>
      <c r="B6060" s="80">
        <f t="shared" ca="1" si="563"/>
        <v>46037.111256944445</v>
      </c>
      <c r="C6060" s="76" t="s">
        <v>822</v>
      </c>
      <c r="D6060" s="76" t="s">
        <v>902</v>
      </c>
      <c r="E6060" s="79" t="s">
        <v>3281</v>
      </c>
      <c r="F6060" s="79"/>
    </row>
    <row r="6061" spans="1:6">
      <c r="A6061" s="77">
        <f t="shared" ca="1" si="562"/>
        <v>46037</v>
      </c>
      <c r="B6061" s="80">
        <f t="shared" ca="1" si="563"/>
        <v>46037.112493055552</v>
      </c>
      <c r="C6061" s="76" t="s">
        <v>822</v>
      </c>
      <c r="D6061" s="76" t="s">
        <v>902</v>
      </c>
      <c r="E6061" s="79" t="s">
        <v>3280</v>
      </c>
      <c r="F6061" s="79"/>
    </row>
    <row r="6062" spans="1:6">
      <c r="A6062" s="77">
        <f t="shared" ca="1" si="562"/>
        <v>46037</v>
      </c>
      <c r="B6062" s="80">
        <f t="shared" ca="1" si="563"/>
        <v>46037.11278599537</v>
      </c>
      <c r="C6062" s="76" t="s">
        <v>822</v>
      </c>
      <c r="D6062" s="76" t="s">
        <v>902</v>
      </c>
      <c r="E6062" s="79" t="s">
        <v>3282</v>
      </c>
      <c r="F6062" s="79" t="s">
        <v>1213</v>
      </c>
    </row>
    <row r="6063" spans="1:6">
      <c r="A6063" s="77">
        <f t="shared" ca="1" si="562"/>
        <v>46037</v>
      </c>
      <c r="B6063" s="80">
        <f t="shared" ca="1" si="563"/>
        <v>46037.114133333336</v>
      </c>
      <c r="C6063" s="76" t="s">
        <v>822</v>
      </c>
      <c r="D6063" s="76" t="s">
        <v>902</v>
      </c>
      <c r="E6063" s="79" t="s">
        <v>1004</v>
      </c>
      <c r="F6063" s="79" t="s">
        <v>1280</v>
      </c>
    </row>
    <row r="6064" spans="1:6">
      <c r="A6064" s="77">
        <f t="shared" ca="1" si="562"/>
        <v>46037</v>
      </c>
      <c r="B6064" s="80">
        <f t="shared" ca="1" si="563"/>
        <v>46037.114683449072</v>
      </c>
      <c r="C6064" s="76" t="s">
        <v>822</v>
      </c>
      <c r="D6064" s="76" t="s">
        <v>902</v>
      </c>
      <c r="E6064" s="79" t="s">
        <v>1173</v>
      </c>
      <c r="F6064" s="79"/>
    </row>
    <row r="6065" spans="1:6">
      <c r="A6065" s="77">
        <f t="shared" ca="1" si="562"/>
        <v>46037</v>
      </c>
      <c r="B6065" s="80">
        <f t="shared" ca="1" si="563"/>
        <v>46037.117306481479</v>
      </c>
      <c r="C6065" s="76" t="s">
        <v>822</v>
      </c>
      <c r="D6065" s="76" t="s">
        <v>902</v>
      </c>
      <c r="E6065" s="79" t="s">
        <v>1311</v>
      </c>
      <c r="F6065" s="79"/>
    </row>
    <row r="6066" spans="1:6">
      <c r="A6066" s="77">
        <f t="shared" ca="1" si="562"/>
        <v>46037</v>
      </c>
      <c r="B6066" s="80">
        <f t="shared" ca="1" si="563"/>
        <v>46037.118204976854</v>
      </c>
      <c r="C6066" s="76" t="s">
        <v>822</v>
      </c>
      <c r="D6066" s="76" t="s">
        <v>902</v>
      </c>
      <c r="E6066" s="79" t="s">
        <v>1063</v>
      </c>
      <c r="F6066" s="79"/>
    </row>
    <row r="6067" spans="1:6">
      <c r="A6067" s="77">
        <f t="shared" ca="1" si="562"/>
        <v>46037</v>
      </c>
      <c r="B6067" s="80">
        <f t="shared" ca="1" si="563"/>
        <v>46037.119089467589</v>
      </c>
      <c r="C6067" s="76" t="s">
        <v>822</v>
      </c>
      <c r="D6067" s="76" t="s">
        <v>902</v>
      </c>
      <c r="E6067" s="79" t="s">
        <v>1063</v>
      </c>
      <c r="F6067" s="79"/>
    </row>
    <row r="6068" spans="1:6">
      <c r="A6068" s="77">
        <f t="shared" ca="1" si="562"/>
        <v>46037</v>
      </c>
      <c r="B6068" s="80">
        <f t="shared" ca="1" si="563"/>
        <v>46037.119249421296</v>
      </c>
      <c r="C6068" s="76" t="s">
        <v>822</v>
      </c>
      <c r="D6068" s="76" t="s">
        <v>902</v>
      </c>
      <c r="E6068" s="79" t="s">
        <v>3283</v>
      </c>
      <c r="F6068" s="79" t="s">
        <v>1014</v>
      </c>
    </row>
    <row r="6069" spans="1:6">
      <c r="A6069" s="77">
        <f t="shared" ca="1" si="562"/>
        <v>46037</v>
      </c>
      <c r="B6069" s="80">
        <f t="shared" ca="1" si="563"/>
        <v>46037.11989224537</v>
      </c>
      <c r="C6069" s="76" t="s">
        <v>822</v>
      </c>
      <c r="D6069" s="76" t="s">
        <v>902</v>
      </c>
      <c r="E6069" s="79" t="s">
        <v>2837</v>
      </c>
      <c r="F6069" s="79"/>
    </row>
    <row r="6070" spans="1:6">
      <c r="A6070" s="77">
        <f t="shared" ca="1" si="562"/>
        <v>46037</v>
      </c>
      <c r="B6070" s="80">
        <f t="shared" ca="1" si="563"/>
        <v>46037.120788310189</v>
      </c>
      <c r="C6070" s="76" t="s">
        <v>822</v>
      </c>
      <c r="D6070" s="76" t="s">
        <v>902</v>
      </c>
      <c r="E6070" s="79" t="s">
        <v>2692</v>
      </c>
      <c r="F6070" s="79"/>
    </row>
    <row r="6071" spans="1:6">
      <c r="A6071" s="77">
        <f t="shared" ca="1" si="562"/>
        <v>46037</v>
      </c>
      <c r="B6071" s="80">
        <f t="shared" ca="1" si="563"/>
        <v>46037.125857291663</v>
      </c>
      <c r="C6071" s="76" t="s">
        <v>822</v>
      </c>
      <c r="D6071" s="76" t="s">
        <v>902</v>
      </c>
      <c r="E6071" s="79" t="s">
        <v>1199</v>
      </c>
      <c r="F6071" s="79"/>
    </row>
    <row r="6072" spans="1:6">
      <c r="A6072" s="77">
        <f t="shared" ca="1" si="562"/>
        <v>46037</v>
      </c>
      <c r="B6072" s="80">
        <f t="shared" ca="1" si="563"/>
        <v>46037.126173032404</v>
      </c>
      <c r="C6072" s="76" t="s">
        <v>822</v>
      </c>
      <c r="D6072" s="76" t="s">
        <v>902</v>
      </c>
      <c r="E6072" s="79" t="s">
        <v>3284</v>
      </c>
      <c r="F6072" s="79"/>
    </row>
    <row r="6073" spans="1:6">
      <c r="A6073" s="77">
        <f t="shared" ca="1" si="562"/>
        <v>46037</v>
      </c>
      <c r="B6073" s="80">
        <f t="shared" ca="1" si="563"/>
        <v>46037.135941203705</v>
      </c>
      <c r="C6073" s="76" t="s">
        <v>822</v>
      </c>
      <c r="D6073" s="150" t="s">
        <v>1007</v>
      </c>
      <c r="E6073" s="79" t="s">
        <v>3285</v>
      </c>
      <c r="F6073" s="79"/>
    </row>
    <row r="6074" spans="1:6">
      <c r="A6074" s="77">
        <f t="shared" ca="1" si="562"/>
        <v>46037</v>
      </c>
      <c r="B6074" s="80">
        <f t="shared" ca="1" si="563"/>
        <v>46037.136690856481</v>
      </c>
      <c r="C6074" s="76" t="s">
        <v>822</v>
      </c>
      <c r="D6074" s="76" t="s">
        <v>902</v>
      </c>
      <c r="E6074" s="79" t="s">
        <v>3286</v>
      </c>
      <c r="F6074" s="79"/>
    </row>
    <row r="6075" spans="1:6">
      <c r="A6075" s="77">
        <f t="shared" ca="1" si="562"/>
        <v>46037</v>
      </c>
      <c r="B6075" s="80">
        <v>0.138125</v>
      </c>
      <c r="C6075" s="76" t="s">
        <v>822</v>
      </c>
      <c r="D6075" s="76" t="s">
        <v>902</v>
      </c>
      <c r="E6075" s="79" t="s">
        <v>1422</v>
      </c>
      <c r="F6075" s="79" t="s">
        <v>1224</v>
      </c>
    </row>
    <row r="6076" spans="1:6">
      <c r="A6076" s="77">
        <f t="shared" ca="1" si="562"/>
        <v>46037</v>
      </c>
      <c r="B6076" s="80">
        <f t="shared" ca="1" si="563"/>
        <v>46037.141295717593</v>
      </c>
      <c r="C6076" s="76" t="s">
        <v>822</v>
      </c>
      <c r="D6076" s="76" t="s">
        <v>902</v>
      </c>
      <c r="E6076" s="79" t="s">
        <v>3287</v>
      </c>
      <c r="F6076" s="79"/>
    </row>
    <row r="6077" spans="1:6">
      <c r="A6077" s="77">
        <f t="shared" ca="1" si="562"/>
        <v>46037</v>
      </c>
      <c r="B6077" s="80">
        <f t="shared" ca="1" si="563"/>
        <v>46037.143024999998</v>
      </c>
      <c r="C6077" s="76" t="s">
        <v>822</v>
      </c>
      <c r="D6077" s="76" t="s">
        <v>902</v>
      </c>
      <c r="E6077" s="79" t="s">
        <v>955</v>
      </c>
      <c r="F6077" s="79"/>
    </row>
    <row r="6078" spans="1:6">
      <c r="A6078" s="77">
        <f t="shared" ca="1" si="562"/>
        <v>46037</v>
      </c>
      <c r="B6078" s="80">
        <f t="shared" ca="1" si="563"/>
        <v>46037.147698263892</v>
      </c>
      <c r="C6078" s="76" t="s">
        <v>822</v>
      </c>
      <c r="D6078" s="76" t="s">
        <v>902</v>
      </c>
      <c r="E6078" s="79" t="s">
        <v>2413</v>
      </c>
      <c r="F6078" s="79"/>
    </row>
    <row r="6079" spans="1:6">
      <c r="A6079" s="77">
        <f t="shared" ca="1" si="562"/>
        <v>46037</v>
      </c>
      <c r="B6079" s="80">
        <f t="shared" ca="1" si="563"/>
        <v>46037.150963425927</v>
      </c>
      <c r="C6079" s="76" t="s">
        <v>822</v>
      </c>
      <c r="D6079" s="76" t="s">
        <v>902</v>
      </c>
      <c r="E6079" s="79" t="s">
        <v>955</v>
      </c>
      <c r="F6079" s="79"/>
    </row>
    <row r="6080" spans="1:6">
      <c r="A6080" s="77">
        <f t="shared" ca="1" si="562"/>
        <v>46037</v>
      </c>
      <c r="B6080" s="80">
        <f t="shared" ca="1" si="563"/>
        <v>46037.151303240738</v>
      </c>
      <c r="C6080" s="76" t="s">
        <v>822</v>
      </c>
      <c r="D6080" s="76" t="s">
        <v>902</v>
      </c>
      <c r="E6080" s="79" t="s">
        <v>1285</v>
      </c>
      <c r="F6080" s="79" t="s">
        <v>1272</v>
      </c>
    </row>
    <row r="6081" spans="1:6">
      <c r="A6081" s="77">
        <f t="shared" ca="1" si="562"/>
        <v>46037</v>
      </c>
      <c r="B6081" s="80">
        <f t="shared" ca="1" si="563"/>
        <v>46037.151560185186</v>
      </c>
      <c r="C6081" s="76" t="s">
        <v>822</v>
      </c>
      <c r="D6081" s="76" t="s">
        <v>902</v>
      </c>
      <c r="E6081" s="79" t="s">
        <v>3288</v>
      </c>
      <c r="F6081" s="79" t="s">
        <v>1280</v>
      </c>
    </row>
    <row r="6082" spans="1:6">
      <c r="A6082" s="77">
        <f t="shared" ca="1" si="562"/>
        <v>46037</v>
      </c>
      <c r="B6082" s="80">
        <f t="shared" ca="1" si="563"/>
        <v>46037.152575347223</v>
      </c>
      <c r="C6082" s="76" t="s">
        <v>822</v>
      </c>
      <c r="D6082" s="76" t="s">
        <v>902</v>
      </c>
      <c r="E6082" s="79" t="s">
        <v>3289</v>
      </c>
      <c r="F6082" s="79"/>
    </row>
    <row r="6083" spans="1:6">
      <c r="A6083" s="77">
        <f t="shared" ca="1" si="562"/>
        <v>46037</v>
      </c>
      <c r="B6083" s="80">
        <f t="shared" ca="1" si="563"/>
        <v>46037.152999074075</v>
      </c>
      <c r="C6083" s="76" t="s">
        <v>822</v>
      </c>
      <c r="D6083" s="76" t="s">
        <v>902</v>
      </c>
      <c r="E6083" s="79" t="s">
        <v>1422</v>
      </c>
      <c r="F6083" s="79" t="s">
        <v>1224</v>
      </c>
    </row>
    <row r="6084" spans="1:6">
      <c r="A6084" s="77">
        <f t="shared" ca="1" si="562"/>
        <v>46037</v>
      </c>
      <c r="B6084" s="80">
        <f t="shared" ca="1" si="563"/>
        <v>46037.153630324072</v>
      </c>
      <c r="C6084" s="76" t="s">
        <v>822</v>
      </c>
      <c r="D6084" s="76" t="s">
        <v>902</v>
      </c>
      <c r="E6084" s="79" t="s">
        <v>3271</v>
      </c>
      <c r="F6084" s="79"/>
    </row>
    <row r="6085" spans="1:6">
      <c r="A6085" s="77">
        <f t="shared" ref="A6085:A6130" ca="1" si="564">IF(C6085&lt;&gt;0,IF(A6085=0,TODAY(),A6085),)</f>
        <v>46037</v>
      </c>
      <c r="B6085" s="80">
        <f t="shared" ref="B6085:B6130" ca="1" si="565">IF(C6085&lt;&gt;0,IF(B6085=0,NOW(),B6085),)</f>
        <v>46037.154485648149</v>
      </c>
      <c r="C6085" s="76" t="s">
        <v>822</v>
      </c>
      <c r="D6085" s="76" t="s">
        <v>902</v>
      </c>
      <c r="E6085" s="79" t="s">
        <v>3290</v>
      </c>
      <c r="F6085" s="79" t="s">
        <v>1280</v>
      </c>
    </row>
    <row r="6086" spans="1:6">
      <c r="A6086" s="77">
        <f t="shared" ca="1" si="564"/>
        <v>46037</v>
      </c>
      <c r="B6086" s="80">
        <f t="shared" ca="1" si="565"/>
        <v>46037.154572453706</v>
      </c>
      <c r="C6086" s="76" t="s">
        <v>822</v>
      </c>
      <c r="D6086" s="76" t="s">
        <v>902</v>
      </c>
      <c r="E6086" s="79" t="s">
        <v>3290</v>
      </c>
      <c r="F6086" s="79" t="s">
        <v>1224</v>
      </c>
    </row>
    <row r="6087" spans="1:6">
      <c r="A6087" s="77">
        <f t="shared" ca="1" si="564"/>
        <v>46037</v>
      </c>
      <c r="B6087" s="80">
        <f t="shared" ca="1" si="565"/>
        <v>46037.155151157407</v>
      </c>
      <c r="C6087" s="76" t="s">
        <v>822</v>
      </c>
      <c r="D6087" s="76" t="s">
        <v>902</v>
      </c>
      <c r="E6087" s="79" t="s">
        <v>3290</v>
      </c>
      <c r="F6087" s="79" t="s">
        <v>1280</v>
      </c>
    </row>
    <row r="6088" spans="1:6">
      <c r="A6088" s="77">
        <f t="shared" ca="1" si="564"/>
        <v>46037</v>
      </c>
      <c r="B6088" s="80">
        <f t="shared" ca="1" si="565"/>
        <v>46037.156140393519</v>
      </c>
      <c r="C6088" s="76" t="s">
        <v>822</v>
      </c>
      <c r="D6088" s="76" t="s">
        <v>902</v>
      </c>
      <c r="E6088" s="79" t="s">
        <v>3291</v>
      </c>
      <c r="F6088" s="79" t="s">
        <v>3292</v>
      </c>
    </row>
    <row r="6089" spans="1:6">
      <c r="A6089" s="77">
        <f t="shared" ca="1" si="564"/>
        <v>46037</v>
      </c>
      <c r="B6089" s="80">
        <f t="shared" ca="1" si="565"/>
        <v>46037.156193634262</v>
      </c>
      <c r="C6089" s="76" t="s">
        <v>822</v>
      </c>
      <c r="D6089" s="76" t="s">
        <v>902</v>
      </c>
      <c r="E6089" s="79" t="s">
        <v>3293</v>
      </c>
      <c r="F6089" s="79"/>
    </row>
    <row r="6090" spans="1:6">
      <c r="A6090" s="77">
        <f t="shared" ca="1" si="564"/>
        <v>46037</v>
      </c>
      <c r="B6090" s="80">
        <f t="shared" ca="1" si="565"/>
        <v>46037.156553472225</v>
      </c>
      <c r="C6090" s="76" t="s">
        <v>822</v>
      </c>
      <c r="D6090" s="76" t="s">
        <v>902</v>
      </c>
      <c r="E6090" s="79" t="s">
        <v>3294</v>
      </c>
      <c r="F6090" s="79"/>
    </row>
    <row r="6091" spans="1:6">
      <c r="A6091" s="77">
        <f t="shared" ca="1" si="564"/>
        <v>46037</v>
      </c>
      <c r="B6091" s="80">
        <f t="shared" ca="1" si="565"/>
        <v>46037.158813425929</v>
      </c>
      <c r="C6091" s="76" t="s">
        <v>822</v>
      </c>
      <c r="D6091" s="150" t="s">
        <v>1007</v>
      </c>
      <c r="E6091" s="79" t="s">
        <v>3295</v>
      </c>
      <c r="F6091" s="79"/>
    </row>
    <row r="6092" spans="1:6">
      <c r="A6092" s="77">
        <f t="shared" ca="1" si="564"/>
        <v>46037</v>
      </c>
      <c r="B6092" s="80">
        <f t="shared" ca="1" si="565"/>
        <v>46037.158992476849</v>
      </c>
      <c r="C6092" s="76" t="s">
        <v>822</v>
      </c>
      <c r="D6092" s="76" t="s">
        <v>902</v>
      </c>
      <c r="E6092" s="79" t="s">
        <v>2932</v>
      </c>
      <c r="F6092" s="79"/>
    </row>
    <row r="6093" spans="1:6">
      <c r="A6093" s="77">
        <f t="shared" ca="1" si="564"/>
        <v>46037</v>
      </c>
      <c r="B6093" s="80">
        <f t="shared" ca="1" si="565"/>
        <v>46037.162213194446</v>
      </c>
      <c r="C6093" s="76" t="s">
        <v>822</v>
      </c>
      <c r="D6093" s="76" t="s">
        <v>902</v>
      </c>
      <c r="E6093" s="79" t="s">
        <v>1422</v>
      </c>
      <c r="F6093" s="79" t="s">
        <v>1224</v>
      </c>
    </row>
    <row r="6094" spans="1:6">
      <c r="A6094" s="77">
        <f t="shared" ca="1" si="564"/>
        <v>46037</v>
      </c>
      <c r="B6094" s="80">
        <f t="shared" ca="1" si="565"/>
        <v>46037.165689930553</v>
      </c>
      <c r="C6094" s="76" t="s">
        <v>822</v>
      </c>
      <c r="D6094" s="76" t="s">
        <v>902</v>
      </c>
      <c r="E6094" s="79" t="s">
        <v>931</v>
      </c>
      <c r="F6094" s="79" t="s">
        <v>1435</v>
      </c>
    </row>
    <row r="6095" spans="1:6">
      <c r="A6095" s="77">
        <f t="shared" ca="1" si="564"/>
        <v>46037</v>
      </c>
      <c r="B6095" s="80">
        <f t="shared" ca="1" si="565"/>
        <v>46037.165738310185</v>
      </c>
      <c r="C6095" s="76" t="s">
        <v>822</v>
      </c>
      <c r="D6095" s="76" t="s">
        <v>902</v>
      </c>
      <c r="E6095" s="79" t="s">
        <v>2487</v>
      </c>
      <c r="F6095" s="79"/>
    </row>
    <row r="6096" spans="1:6">
      <c r="A6096" s="77">
        <f t="shared" ca="1" si="564"/>
        <v>46037</v>
      </c>
      <c r="B6096" s="80">
        <f t="shared" ca="1" si="565"/>
        <v>46037.166775925929</v>
      </c>
      <c r="C6096" s="76" t="s">
        <v>822</v>
      </c>
      <c r="D6096" s="76" t="s">
        <v>902</v>
      </c>
      <c r="E6096" s="79" t="s">
        <v>931</v>
      </c>
      <c r="F6096" s="79" t="s">
        <v>1435</v>
      </c>
    </row>
    <row r="6097" spans="1:6">
      <c r="A6097" s="77">
        <f t="shared" ca="1" si="564"/>
        <v>46037</v>
      </c>
      <c r="B6097" s="80">
        <f t="shared" ca="1" si="565"/>
        <v>46037.175509259258</v>
      </c>
      <c r="C6097" s="76" t="s">
        <v>822</v>
      </c>
      <c r="D6097" s="76" t="s">
        <v>902</v>
      </c>
      <c r="E6097" s="79" t="s">
        <v>931</v>
      </c>
      <c r="F6097" s="79" t="s">
        <v>1435</v>
      </c>
    </row>
    <row r="6098" spans="1:6">
      <c r="A6098" s="77">
        <f t="shared" ca="1" si="564"/>
        <v>46037</v>
      </c>
      <c r="B6098" s="80">
        <f t="shared" ca="1" si="565"/>
        <v>46037.177646643519</v>
      </c>
      <c r="C6098" s="76" t="s">
        <v>822</v>
      </c>
      <c r="D6098" s="76" t="s">
        <v>902</v>
      </c>
      <c r="E6098" s="79" t="s">
        <v>955</v>
      </c>
      <c r="F6098" s="79"/>
    </row>
    <row r="6099" spans="1:6">
      <c r="A6099" s="77">
        <f t="shared" ca="1" si="564"/>
        <v>46037</v>
      </c>
      <c r="B6099" s="80">
        <f t="shared" ca="1" si="565"/>
        <v>46037.177977083331</v>
      </c>
      <c r="C6099" s="76" t="s">
        <v>822</v>
      </c>
      <c r="D6099" s="76" t="s">
        <v>902</v>
      </c>
      <c r="E6099" s="79" t="s">
        <v>1062</v>
      </c>
      <c r="F6099" s="79"/>
    </row>
    <row r="6100" spans="1:6">
      <c r="A6100" s="77">
        <f t="shared" ca="1" si="564"/>
        <v>46037</v>
      </c>
      <c r="B6100" s="80">
        <v>0.17923611111111112</v>
      </c>
      <c r="C6100" s="76" t="s">
        <v>822</v>
      </c>
      <c r="D6100" s="150" t="s">
        <v>1007</v>
      </c>
      <c r="E6100" s="79" t="s">
        <v>1464</v>
      </c>
      <c r="F6100" s="79"/>
    </row>
    <row r="6101" spans="1:6">
      <c r="A6101" s="77">
        <f t="shared" ca="1" si="564"/>
        <v>46037</v>
      </c>
      <c r="B6101" s="80">
        <f t="shared" ca="1" si="565"/>
        <v>46037.186692939817</v>
      </c>
      <c r="C6101" s="76" t="s">
        <v>822</v>
      </c>
      <c r="D6101" s="210" t="s">
        <v>922</v>
      </c>
      <c r="E6101" s="79"/>
      <c r="F6101" s="79"/>
    </row>
    <row r="6102" spans="1:6">
      <c r="A6102" s="77">
        <f t="shared" ca="1" si="564"/>
        <v>46037</v>
      </c>
      <c r="B6102" s="80">
        <f t="shared" ca="1" si="565"/>
        <v>46037.208729745369</v>
      </c>
      <c r="C6102" s="76" t="s">
        <v>822</v>
      </c>
      <c r="D6102" s="210" t="s">
        <v>1098</v>
      </c>
      <c r="E6102" s="79"/>
      <c r="F6102" s="79"/>
    </row>
    <row r="6103" spans="1:6">
      <c r="A6103" s="77">
        <f t="shared" ca="1" si="564"/>
        <v>46037</v>
      </c>
      <c r="B6103" s="80">
        <v>0.2540972222222222</v>
      </c>
      <c r="C6103" s="76" t="s">
        <v>826</v>
      </c>
      <c r="D6103" s="210" t="s">
        <v>906</v>
      </c>
      <c r="E6103" s="79"/>
      <c r="F6103" s="79"/>
    </row>
    <row r="6104" spans="1:6">
      <c r="A6104" s="77">
        <f t="shared" ca="1" si="564"/>
        <v>46037</v>
      </c>
      <c r="B6104" s="80">
        <f t="shared" ca="1" si="565"/>
        <v>46037.295183449074</v>
      </c>
      <c r="C6104" s="76" t="s">
        <v>826</v>
      </c>
      <c r="D6104" s="210" t="s">
        <v>909</v>
      </c>
      <c r="E6104" s="79"/>
      <c r="F6104" s="79"/>
    </row>
    <row r="6105" spans="1:6">
      <c r="A6105" s="77">
        <f t="shared" ca="1" si="564"/>
        <v>46037</v>
      </c>
      <c r="B6105" s="80">
        <f t="shared" ca="1" si="565"/>
        <v>46037.302995949074</v>
      </c>
      <c r="C6105" s="76" t="s">
        <v>826</v>
      </c>
      <c r="D6105" s="76" t="s">
        <v>902</v>
      </c>
      <c r="E6105" s="79" t="s">
        <v>2489</v>
      </c>
      <c r="F6105" s="79"/>
    </row>
    <row r="6106" spans="1:6">
      <c r="A6106" s="77">
        <f t="shared" ca="1" si="564"/>
        <v>46037</v>
      </c>
      <c r="B6106" s="80">
        <f t="shared" ca="1" si="565"/>
        <v>46037.307695254633</v>
      </c>
      <c r="C6106" s="76" t="s">
        <v>826</v>
      </c>
      <c r="D6106" s="76" t="s">
        <v>902</v>
      </c>
      <c r="E6106" s="79" t="s">
        <v>3296</v>
      </c>
      <c r="F6106" s="79"/>
    </row>
    <row r="6107" spans="1:6">
      <c r="A6107" s="77">
        <f t="shared" ca="1" si="564"/>
        <v>46037</v>
      </c>
      <c r="B6107" s="80">
        <f t="shared" ca="1" si="565"/>
        <v>46037.310901620367</v>
      </c>
      <c r="C6107" s="76" t="s">
        <v>826</v>
      </c>
      <c r="D6107" s="76" t="s">
        <v>902</v>
      </c>
      <c r="E6107" s="79" t="s">
        <v>3297</v>
      </c>
      <c r="F6107" s="79"/>
    </row>
    <row r="6108" spans="1:6">
      <c r="A6108" s="77">
        <f t="shared" ca="1" si="564"/>
        <v>46037</v>
      </c>
      <c r="B6108" s="80">
        <f t="shared" ca="1" si="565"/>
        <v>46037.314736111111</v>
      </c>
      <c r="C6108" s="76" t="s">
        <v>826</v>
      </c>
      <c r="D6108" s="76" t="s">
        <v>902</v>
      </c>
      <c r="E6108" s="79" t="s">
        <v>2489</v>
      </c>
      <c r="F6108" s="79"/>
    </row>
    <row r="6109" spans="1:6">
      <c r="A6109" s="77">
        <f t="shared" ca="1" si="564"/>
        <v>46037</v>
      </c>
      <c r="B6109" s="80">
        <f t="shared" ca="1" si="565"/>
        <v>46037.320015972226</v>
      </c>
      <c r="C6109" s="76" t="s">
        <v>826</v>
      </c>
      <c r="D6109" s="76" t="s">
        <v>902</v>
      </c>
      <c r="E6109" s="79" t="s">
        <v>1063</v>
      </c>
      <c r="F6109" s="79"/>
    </row>
    <row r="6110" spans="1:6">
      <c r="A6110" s="77">
        <f t="shared" ca="1" si="564"/>
        <v>46037</v>
      </c>
      <c r="B6110" s="80">
        <f t="shared" ca="1" si="565"/>
        <v>46037.32221770833</v>
      </c>
      <c r="C6110" s="76" t="s">
        <v>826</v>
      </c>
      <c r="D6110" s="76" t="s">
        <v>902</v>
      </c>
      <c r="E6110" s="79" t="s">
        <v>2489</v>
      </c>
      <c r="F6110" s="79"/>
    </row>
    <row r="6111" spans="1:6">
      <c r="A6111" s="77">
        <f t="shared" ca="1" si="564"/>
        <v>46037</v>
      </c>
      <c r="B6111" s="80">
        <f t="shared" ca="1" si="565"/>
        <v>46037.325772222219</v>
      </c>
      <c r="C6111" s="76" t="s">
        <v>826</v>
      </c>
      <c r="D6111" s="76" t="s">
        <v>902</v>
      </c>
      <c r="E6111" s="79" t="s">
        <v>2914</v>
      </c>
      <c r="F6111" s="79"/>
    </row>
    <row r="6112" spans="1:6">
      <c r="A6112" s="77">
        <f t="shared" ca="1" si="564"/>
        <v>46037</v>
      </c>
      <c r="B6112" s="80">
        <f t="shared" ca="1" si="565"/>
        <v>46037.326396180557</v>
      </c>
      <c r="C6112" s="76" t="s">
        <v>826</v>
      </c>
      <c r="D6112" s="76" t="s">
        <v>902</v>
      </c>
      <c r="E6112" s="79" t="s">
        <v>3298</v>
      </c>
      <c r="F6112" s="79"/>
    </row>
    <row r="6113" spans="1:6">
      <c r="A6113" s="77">
        <f t="shared" ca="1" si="564"/>
        <v>46037</v>
      </c>
      <c r="B6113" s="80">
        <f t="shared" ca="1" si="565"/>
        <v>46037.326671296294</v>
      </c>
      <c r="C6113" s="76" t="s">
        <v>826</v>
      </c>
      <c r="D6113" s="76" t="s">
        <v>902</v>
      </c>
      <c r="E6113" s="79" t="s">
        <v>3299</v>
      </c>
      <c r="F6113" s="79"/>
    </row>
    <row r="6114" spans="1:6">
      <c r="A6114" s="77">
        <f t="shared" ca="1" si="564"/>
        <v>46037</v>
      </c>
      <c r="B6114" s="80">
        <f t="shared" ca="1" si="565"/>
        <v>46037.327228472219</v>
      </c>
      <c r="C6114" s="76" t="s">
        <v>826</v>
      </c>
      <c r="D6114" s="76" t="s">
        <v>902</v>
      </c>
      <c r="E6114" s="79" t="s">
        <v>3113</v>
      </c>
      <c r="F6114" s="79"/>
    </row>
    <row r="6115" spans="1:6">
      <c r="A6115" s="77">
        <f t="shared" ca="1" si="564"/>
        <v>46037</v>
      </c>
      <c r="B6115" s="80">
        <f t="shared" ca="1" si="565"/>
        <v>46037.331789699077</v>
      </c>
      <c r="C6115" s="76" t="s">
        <v>826</v>
      </c>
      <c r="D6115" s="76" t="s">
        <v>902</v>
      </c>
      <c r="E6115" s="79" t="s">
        <v>1063</v>
      </c>
      <c r="F6115" s="79"/>
    </row>
    <row r="6116" spans="1:6">
      <c r="A6116" s="77">
        <f t="shared" ca="1" si="564"/>
        <v>46037</v>
      </c>
      <c r="B6116" s="80">
        <f t="shared" ca="1" si="565"/>
        <v>46037.336869560182</v>
      </c>
      <c r="C6116" s="76" t="s">
        <v>826</v>
      </c>
      <c r="D6116" s="76" t="s">
        <v>902</v>
      </c>
      <c r="E6116" s="79" t="s">
        <v>2489</v>
      </c>
      <c r="F6116" s="79"/>
    </row>
    <row r="6117" spans="1:6">
      <c r="A6117" s="77">
        <f t="shared" ca="1" si="564"/>
        <v>46037</v>
      </c>
      <c r="B6117" s="80">
        <f t="shared" ca="1" si="565"/>
        <v>46037.340489814815</v>
      </c>
      <c r="C6117" s="76" t="s">
        <v>826</v>
      </c>
      <c r="D6117" s="76" t="s">
        <v>902</v>
      </c>
      <c r="E6117" s="79" t="s">
        <v>2489</v>
      </c>
      <c r="F6117" s="79"/>
    </row>
    <row r="6118" spans="1:6">
      <c r="A6118" s="77">
        <f t="shared" ca="1" si="564"/>
        <v>46037</v>
      </c>
      <c r="B6118" s="80">
        <f t="shared" ca="1" si="565"/>
        <v>46037.340554050927</v>
      </c>
      <c r="C6118" s="76" t="s">
        <v>826</v>
      </c>
      <c r="D6118" s="76" t="s">
        <v>902</v>
      </c>
      <c r="E6118" s="79" t="s">
        <v>3297</v>
      </c>
      <c r="F6118" s="79"/>
    </row>
    <row r="6119" spans="1:6">
      <c r="A6119" s="77">
        <f t="shared" ca="1" si="564"/>
        <v>46037</v>
      </c>
      <c r="B6119" s="80">
        <f t="shared" ca="1" si="565"/>
        <v>46037.341783101852</v>
      </c>
      <c r="C6119" s="76" t="s">
        <v>826</v>
      </c>
      <c r="D6119" s="76" t="s">
        <v>902</v>
      </c>
      <c r="E6119" s="79" t="s">
        <v>2914</v>
      </c>
      <c r="F6119" s="79"/>
    </row>
    <row r="6120" spans="1:6">
      <c r="A6120" s="77">
        <f t="shared" ca="1" si="564"/>
        <v>46037</v>
      </c>
      <c r="B6120" s="80">
        <f t="shared" ca="1" si="565"/>
        <v>46037.341828472221</v>
      </c>
      <c r="C6120" s="76" t="s">
        <v>826</v>
      </c>
      <c r="D6120" s="76" t="s">
        <v>902</v>
      </c>
      <c r="E6120" s="79" t="s">
        <v>2489</v>
      </c>
      <c r="F6120" s="79"/>
    </row>
    <row r="6121" spans="1:6">
      <c r="A6121" s="77">
        <f t="shared" ca="1" si="564"/>
        <v>46037</v>
      </c>
      <c r="B6121" s="80">
        <f t="shared" ca="1" si="565"/>
        <v>46037.342811805553</v>
      </c>
      <c r="C6121" s="76" t="s">
        <v>826</v>
      </c>
      <c r="D6121" s="76" t="s">
        <v>902</v>
      </c>
      <c r="E6121" s="79" t="s">
        <v>1063</v>
      </c>
      <c r="F6121" s="79"/>
    </row>
    <row r="6122" spans="1:6">
      <c r="A6122" s="77">
        <f t="shared" ca="1" si="564"/>
        <v>46037</v>
      </c>
      <c r="B6122" s="80">
        <f t="shared" ca="1" si="565"/>
        <v>46037.344446759256</v>
      </c>
      <c r="C6122" s="76" t="s">
        <v>826</v>
      </c>
      <c r="D6122" s="76" t="s">
        <v>902</v>
      </c>
      <c r="E6122" s="79" t="s">
        <v>3300</v>
      </c>
      <c r="F6122" s="79"/>
    </row>
    <row r="6123" spans="1:6">
      <c r="A6123" s="77">
        <f t="shared" ca="1" si="564"/>
        <v>46037</v>
      </c>
      <c r="B6123" s="80">
        <f t="shared" ca="1" si="565"/>
        <v>46037.346111689818</v>
      </c>
      <c r="C6123" s="76" t="s">
        <v>826</v>
      </c>
      <c r="D6123" s="76" t="s">
        <v>902</v>
      </c>
      <c r="E6123" s="79" t="s">
        <v>2489</v>
      </c>
      <c r="F6123" s="79"/>
    </row>
    <row r="6124" spans="1:6">
      <c r="A6124" s="77">
        <f t="shared" ca="1" si="564"/>
        <v>46037</v>
      </c>
      <c r="B6124" s="80">
        <f t="shared" ca="1" si="565"/>
        <v>46037.347764351849</v>
      </c>
      <c r="C6124" s="76" t="s">
        <v>826</v>
      </c>
      <c r="D6124" s="76" t="s">
        <v>902</v>
      </c>
      <c r="E6124" s="79" t="s">
        <v>3300</v>
      </c>
      <c r="F6124" s="79"/>
    </row>
    <row r="6125" spans="1:6">
      <c r="A6125" s="77">
        <f t="shared" ca="1" si="564"/>
        <v>46037</v>
      </c>
      <c r="B6125" s="80">
        <f t="shared" ca="1" si="565"/>
        <v>46037.350269444447</v>
      </c>
      <c r="C6125" s="76" t="s">
        <v>826</v>
      </c>
      <c r="D6125" s="76" t="s">
        <v>902</v>
      </c>
      <c r="E6125" s="79" t="s">
        <v>3301</v>
      </c>
      <c r="F6125" s="79"/>
    </row>
    <row r="6126" spans="1:6">
      <c r="A6126" s="77">
        <f t="shared" ca="1" si="564"/>
        <v>46037</v>
      </c>
      <c r="B6126" s="80">
        <f t="shared" ca="1" si="565"/>
        <v>46037.35374027778</v>
      </c>
      <c r="C6126" s="76" t="s">
        <v>826</v>
      </c>
      <c r="D6126" s="76" t="s">
        <v>902</v>
      </c>
      <c r="E6126" s="79" t="s">
        <v>1063</v>
      </c>
      <c r="F6126" s="79"/>
    </row>
    <row r="6127" spans="1:6">
      <c r="A6127" s="77">
        <f t="shared" ca="1" si="564"/>
        <v>46037</v>
      </c>
      <c r="B6127" s="80">
        <f t="shared" ca="1" si="565"/>
        <v>46037.360312731478</v>
      </c>
      <c r="C6127" s="76" t="s">
        <v>826</v>
      </c>
      <c r="D6127" s="76" t="s">
        <v>902</v>
      </c>
      <c r="E6127" s="79" t="s">
        <v>3302</v>
      </c>
      <c r="F6127" s="79"/>
    </row>
    <row r="6128" spans="1:6">
      <c r="A6128" s="77">
        <f t="shared" ca="1" si="564"/>
        <v>46037</v>
      </c>
      <c r="B6128" s="80">
        <f t="shared" ca="1" si="565"/>
        <v>46037.360312731478</v>
      </c>
      <c r="C6128" s="76" t="s">
        <v>826</v>
      </c>
      <c r="D6128" s="76" t="s">
        <v>902</v>
      </c>
      <c r="E6128" s="79" t="s">
        <v>1063</v>
      </c>
      <c r="F6128" s="79"/>
    </row>
    <row r="6129" spans="1:7">
      <c r="A6129" s="77">
        <f ca="1">IF(C6129&lt;&gt;0,IF(A6129=0,TODAY(),A6129),)</f>
        <v>46037</v>
      </c>
      <c r="B6129" s="80">
        <f t="shared" ca="1" si="565"/>
        <v>46037.36227662037</v>
      </c>
      <c r="C6129" s="76" t="s">
        <v>826</v>
      </c>
      <c r="D6129" s="76" t="s">
        <v>902</v>
      </c>
      <c r="E6129" s="79" t="s">
        <v>1063</v>
      </c>
      <c r="F6129" s="79"/>
    </row>
    <row r="6130" spans="1:7">
      <c r="A6130" s="77">
        <f t="shared" ca="1" si="564"/>
        <v>46037</v>
      </c>
      <c r="B6130" s="80">
        <f t="shared" ca="1" si="565"/>
        <v>46037.365485185182</v>
      </c>
      <c r="C6130" s="76" t="s">
        <v>826</v>
      </c>
      <c r="D6130" s="76" t="s">
        <v>902</v>
      </c>
      <c r="E6130" s="79" t="s">
        <v>1063</v>
      </c>
      <c r="F6130" s="79"/>
    </row>
    <row r="6131" spans="1:7">
      <c r="A6131" s="77">
        <f t="shared" ref="A6131:A6166" ca="1" si="566">IF(C6131&lt;&gt;0,IF(A6131=0,TODAY(),A6131),)</f>
        <v>46037</v>
      </c>
      <c r="B6131" s="80">
        <f t="shared" ref="B6131:B6192" ca="1" si="567">IF(C6131&lt;&gt;0,IF(B6131=0,NOW(),B6131),)</f>
        <v>46037.365616087962</v>
      </c>
      <c r="C6131" s="76" t="s">
        <v>826</v>
      </c>
      <c r="D6131" s="76" t="s">
        <v>902</v>
      </c>
      <c r="E6131" s="76" t="s">
        <v>1535</v>
      </c>
      <c r="F6131" s="76"/>
    </row>
    <row r="6132" spans="1:7">
      <c r="A6132" s="167">
        <f t="shared" ca="1" si="566"/>
        <v>46037</v>
      </c>
      <c r="B6132" s="168">
        <f t="shared" ca="1" si="567"/>
        <v>46037.366442592589</v>
      </c>
      <c r="C6132" s="76" t="s">
        <v>826</v>
      </c>
      <c r="D6132" s="76" t="s">
        <v>902</v>
      </c>
      <c r="E6132" s="79" t="s">
        <v>1063</v>
      </c>
      <c r="F6132" s="169"/>
      <c r="G6132" s="169"/>
    </row>
    <row r="6133" spans="1:7">
      <c r="A6133" s="167">
        <f t="shared" ca="1" si="566"/>
        <v>46037</v>
      </c>
      <c r="B6133" s="168">
        <f t="shared" ca="1" si="567"/>
        <v>46037.366470370369</v>
      </c>
      <c r="C6133" s="76" t="s">
        <v>826</v>
      </c>
      <c r="D6133" s="76" t="s">
        <v>902</v>
      </c>
      <c r="E6133" s="79" t="s">
        <v>1063</v>
      </c>
      <c r="F6133" s="169"/>
      <c r="G6133" s="169"/>
    </row>
    <row r="6134" spans="1:7">
      <c r="A6134" s="167">
        <f t="shared" ca="1" si="566"/>
        <v>46037</v>
      </c>
      <c r="B6134" s="168">
        <f t="shared" ca="1" si="567"/>
        <v>46037.366576736109</v>
      </c>
      <c r="C6134" s="76" t="s">
        <v>826</v>
      </c>
      <c r="D6134" s="76" t="s">
        <v>902</v>
      </c>
      <c r="E6134" s="76" t="s">
        <v>1535</v>
      </c>
      <c r="F6134" s="169"/>
      <c r="G6134" s="169"/>
    </row>
    <row r="6135" spans="1:7">
      <c r="A6135" s="167">
        <f t="shared" ca="1" si="566"/>
        <v>46037</v>
      </c>
      <c r="B6135" s="168">
        <f t="shared" ca="1" si="567"/>
        <v>46037.369104166668</v>
      </c>
      <c r="C6135" s="76" t="s">
        <v>826</v>
      </c>
      <c r="D6135" s="76" t="s">
        <v>902</v>
      </c>
      <c r="E6135" s="76" t="s">
        <v>1535</v>
      </c>
      <c r="F6135" s="169"/>
      <c r="G6135" s="169"/>
    </row>
    <row r="6136" spans="1:7">
      <c r="A6136" s="167">
        <f t="shared" ca="1" si="566"/>
        <v>46037</v>
      </c>
      <c r="B6136" s="168">
        <f t="shared" ca="1" si="567"/>
        <v>46037.375759143521</v>
      </c>
      <c r="C6136" s="76" t="s">
        <v>826</v>
      </c>
      <c r="D6136" s="76" t="s">
        <v>902</v>
      </c>
      <c r="E6136" s="76" t="s">
        <v>1535</v>
      </c>
      <c r="F6136" s="169"/>
      <c r="G6136" s="169"/>
    </row>
    <row r="6137" spans="1:7">
      <c r="A6137" s="167">
        <f t="shared" ca="1" si="566"/>
        <v>46037</v>
      </c>
      <c r="B6137" s="168">
        <f t="shared" ca="1" si="567"/>
        <v>46037.382964814817</v>
      </c>
      <c r="C6137" s="76" t="s">
        <v>826</v>
      </c>
      <c r="D6137" s="76" t="s">
        <v>902</v>
      </c>
      <c r="E6137" s="79" t="s">
        <v>1063</v>
      </c>
      <c r="F6137" s="169"/>
      <c r="G6137" s="169"/>
    </row>
    <row r="6138" spans="1:7">
      <c r="A6138" s="167">
        <f t="shared" ca="1" si="566"/>
        <v>46037</v>
      </c>
      <c r="B6138" s="168">
        <f t="shared" ca="1" si="567"/>
        <v>46037.389337615743</v>
      </c>
      <c r="C6138" s="76" t="s">
        <v>826</v>
      </c>
      <c r="D6138" s="76" t="s">
        <v>902</v>
      </c>
      <c r="E6138" s="169" t="s">
        <v>3303</v>
      </c>
      <c r="F6138" s="169"/>
      <c r="G6138" s="169"/>
    </row>
    <row r="6139" spans="1:7">
      <c r="A6139" s="167">
        <f t="shared" ca="1" si="566"/>
        <v>46037</v>
      </c>
      <c r="B6139" s="168">
        <f t="shared" ca="1" si="567"/>
        <v>46037.389512152775</v>
      </c>
      <c r="C6139" s="76" t="s">
        <v>826</v>
      </c>
      <c r="D6139" s="76" t="s">
        <v>902</v>
      </c>
      <c r="E6139" s="169" t="s">
        <v>1311</v>
      </c>
      <c r="F6139" s="169"/>
      <c r="G6139" s="169"/>
    </row>
    <row r="6140" spans="1:7">
      <c r="A6140" s="167">
        <f t="shared" ca="1" si="566"/>
        <v>46037</v>
      </c>
      <c r="B6140" s="168">
        <f t="shared" ca="1" si="567"/>
        <v>46037.39784085648</v>
      </c>
      <c r="C6140" s="76" t="s">
        <v>826</v>
      </c>
      <c r="D6140" s="76" t="s">
        <v>902</v>
      </c>
      <c r="E6140" s="79" t="s">
        <v>1063</v>
      </c>
      <c r="F6140" s="169"/>
      <c r="G6140" s="169"/>
    </row>
    <row r="6141" spans="1:7">
      <c r="A6141" s="167">
        <f t="shared" ca="1" si="566"/>
        <v>46037</v>
      </c>
      <c r="B6141" s="168">
        <f t="shared" ca="1" si="567"/>
        <v>46037.39790358796</v>
      </c>
      <c r="C6141" s="76" t="s">
        <v>826</v>
      </c>
      <c r="D6141" s="76" t="s">
        <v>902</v>
      </c>
      <c r="E6141" s="169" t="s">
        <v>1311</v>
      </c>
      <c r="F6141" s="169"/>
      <c r="G6141" s="169"/>
    </row>
    <row r="6142" spans="1:7">
      <c r="A6142" s="167">
        <f t="shared" ca="1" si="566"/>
        <v>46037</v>
      </c>
      <c r="B6142" s="168">
        <f t="shared" ca="1" si="567"/>
        <v>46037.400114583332</v>
      </c>
      <c r="C6142" s="76" t="s">
        <v>826</v>
      </c>
      <c r="D6142" s="76" t="s">
        <v>902</v>
      </c>
      <c r="E6142" s="169" t="s">
        <v>1504</v>
      </c>
      <c r="F6142" s="169"/>
      <c r="G6142" s="169"/>
    </row>
    <row r="6143" spans="1:7">
      <c r="A6143" s="167">
        <f t="shared" ca="1" si="566"/>
        <v>46037</v>
      </c>
      <c r="B6143" s="168">
        <f t="shared" ca="1" si="567"/>
        <v>46037.401041435187</v>
      </c>
      <c r="C6143" s="76" t="s">
        <v>826</v>
      </c>
      <c r="D6143" s="210" t="s">
        <v>922</v>
      </c>
      <c r="E6143" s="169"/>
      <c r="F6143" s="169"/>
      <c r="G6143" s="169"/>
    </row>
    <row r="6144" spans="1:7">
      <c r="A6144" s="167">
        <f t="shared" ca="1" si="566"/>
        <v>46037</v>
      </c>
      <c r="B6144" s="168">
        <f t="shared" ca="1" si="567"/>
        <v>46037.425865972225</v>
      </c>
      <c r="C6144" s="76" t="s">
        <v>826</v>
      </c>
      <c r="D6144" s="210" t="s">
        <v>1098</v>
      </c>
      <c r="E6144" s="169"/>
      <c r="F6144" s="169"/>
      <c r="G6144" s="169"/>
    </row>
    <row r="6145" spans="1:7">
      <c r="A6145" s="167">
        <f t="shared" ca="1" si="566"/>
        <v>46037</v>
      </c>
      <c r="B6145" s="168">
        <f t="shared" ca="1" si="567"/>
        <v>46037.47006226852</v>
      </c>
      <c r="C6145" s="76" t="s">
        <v>830</v>
      </c>
      <c r="D6145" s="210" t="s">
        <v>906</v>
      </c>
      <c r="E6145" s="169"/>
      <c r="F6145" s="169"/>
      <c r="G6145" s="169"/>
    </row>
    <row r="6146" spans="1:7">
      <c r="A6146" s="167">
        <f t="shared" ca="1" si="566"/>
        <v>46037</v>
      </c>
      <c r="B6146" s="168">
        <f t="shared" ca="1" si="567"/>
        <v>46037.498489814818</v>
      </c>
      <c r="C6146" s="76" t="s">
        <v>830</v>
      </c>
      <c r="D6146" s="76" t="s">
        <v>902</v>
      </c>
      <c r="E6146" s="169" t="s">
        <v>3304</v>
      </c>
      <c r="F6146" s="169"/>
      <c r="G6146" s="169"/>
    </row>
    <row r="6147" spans="1:7">
      <c r="A6147" s="167">
        <f t="shared" ca="1" si="566"/>
        <v>46037</v>
      </c>
      <c r="B6147" s="168">
        <f t="shared" ca="1" si="567"/>
        <v>46037.498859490741</v>
      </c>
      <c r="C6147" s="76" t="s">
        <v>830</v>
      </c>
      <c r="D6147" s="210" t="s">
        <v>906</v>
      </c>
      <c r="E6147" s="169"/>
      <c r="F6147" s="169"/>
      <c r="G6147" s="169"/>
    </row>
    <row r="6148" spans="1:7">
      <c r="A6148" s="167">
        <f t="shared" ca="1" si="566"/>
        <v>46037</v>
      </c>
      <c r="B6148" s="168">
        <f t="shared" ca="1" si="567"/>
        <v>46037.514908449077</v>
      </c>
      <c r="C6148" s="76" t="s">
        <v>830</v>
      </c>
      <c r="D6148" s="210" t="s">
        <v>909</v>
      </c>
      <c r="E6148" s="169"/>
      <c r="F6148" s="169"/>
      <c r="G6148" s="169"/>
    </row>
    <row r="6149" spans="1:7">
      <c r="A6149" s="167">
        <f t="shared" ca="1" si="566"/>
        <v>46037</v>
      </c>
      <c r="B6149" s="168">
        <f t="shared" ca="1" si="567"/>
        <v>46037.516587847225</v>
      </c>
      <c r="C6149" s="76" t="s">
        <v>830</v>
      </c>
      <c r="D6149" s="76" t="s">
        <v>902</v>
      </c>
      <c r="E6149" s="169" t="s">
        <v>2489</v>
      </c>
      <c r="F6149" s="169"/>
      <c r="G6149" s="169"/>
    </row>
    <row r="6150" spans="1:7">
      <c r="A6150" s="167">
        <f t="shared" ca="1" si="566"/>
        <v>46037</v>
      </c>
      <c r="B6150" s="168">
        <f t="shared" ca="1" si="567"/>
        <v>46037.517843055553</v>
      </c>
      <c r="C6150" s="76" t="s">
        <v>830</v>
      </c>
      <c r="D6150" s="76" t="s">
        <v>902</v>
      </c>
      <c r="E6150" s="169" t="s">
        <v>3305</v>
      </c>
      <c r="F6150" s="169"/>
      <c r="G6150" s="169"/>
    </row>
    <row r="6151" spans="1:7">
      <c r="A6151" s="167">
        <f t="shared" ca="1" si="566"/>
        <v>46037</v>
      </c>
      <c r="B6151" s="168">
        <f t="shared" ca="1" si="567"/>
        <v>46037.527719907404</v>
      </c>
      <c r="C6151" s="76" t="s">
        <v>830</v>
      </c>
      <c r="D6151" s="76" t="s">
        <v>902</v>
      </c>
      <c r="E6151" s="169" t="s">
        <v>955</v>
      </c>
      <c r="F6151" s="169"/>
      <c r="G6151" s="169"/>
    </row>
    <row r="6152" spans="1:7">
      <c r="A6152" s="167">
        <f t="shared" ca="1" si="566"/>
        <v>46037</v>
      </c>
      <c r="B6152" s="168">
        <f t="shared" ca="1" si="567"/>
        <v>46037.530499189816</v>
      </c>
      <c r="C6152" s="76" t="s">
        <v>830</v>
      </c>
      <c r="D6152" s="76" t="s">
        <v>902</v>
      </c>
      <c r="E6152" s="169" t="s">
        <v>3306</v>
      </c>
      <c r="F6152" s="169"/>
      <c r="G6152" s="169"/>
    </row>
    <row r="6153" spans="1:7">
      <c r="A6153" s="167">
        <f t="shared" ca="1" si="566"/>
        <v>46037</v>
      </c>
      <c r="B6153" s="168">
        <f t="shared" ca="1" si="567"/>
        <v>46037.534187384263</v>
      </c>
      <c r="C6153" s="76" t="s">
        <v>830</v>
      </c>
      <c r="D6153" s="76" t="s">
        <v>902</v>
      </c>
      <c r="E6153" s="169" t="s">
        <v>1831</v>
      </c>
      <c r="F6153" s="169"/>
      <c r="G6153" s="169"/>
    </row>
    <row r="6154" spans="1:7">
      <c r="A6154" s="167">
        <f t="shared" ca="1" si="566"/>
        <v>46037</v>
      </c>
      <c r="B6154" s="168">
        <f t="shared" ca="1" si="567"/>
        <v>46037.535958564818</v>
      </c>
      <c r="C6154" s="76" t="s">
        <v>830</v>
      </c>
      <c r="D6154" s="76" t="s">
        <v>902</v>
      </c>
      <c r="E6154" s="169" t="s">
        <v>3042</v>
      </c>
      <c r="F6154" s="169"/>
      <c r="G6154" s="169"/>
    </row>
    <row r="6155" spans="1:7">
      <c r="A6155" s="167">
        <f t="shared" ca="1" si="566"/>
        <v>46037</v>
      </c>
      <c r="B6155" s="168">
        <f t="shared" ca="1" si="567"/>
        <v>46037.54005127315</v>
      </c>
      <c r="C6155" s="76" t="s">
        <v>830</v>
      </c>
      <c r="D6155" s="76" t="s">
        <v>902</v>
      </c>
      <c r="E6155" s="169" t="s">
        <v>920</v>
      </c>
      <c r="F6155" s="169"/>
      <c r="G6155" s="169"/>
    </row>
    <row r="6156" spans="1:7">
      <c r="A6156" s="167">
        <f t="shared" ca="1" si="566"/>
        <v>46037</v>
      </c>
      <c r="B6156" s="168">
        <f t="shared" ca="1" si="567"/>
        <v>46037.540660069448</v>
      </c>
      <c r="C6156" s="76" t="s">
        <v>830</v>
      </c>
      <c r="D6156" s="76" t="s">
        <v>902</v>
      </c>
      <c r="E6156" s="169" t="s">
        <v>1831</v>
      </c>
      <c r="F6156" s="169"/>
      <c r="G6156" s="169"/>
    </row>
    <row r="6157" spans="1:7">
      <c r="A6157" s="167">
        <f t="shared" ca="1" si="566"/>
        <v>46037</v>
      </c>
      <c r="B6157" s="168">
        <f t="shared" ca="1" si="567"/>
        <v>46037.541947106482</v>
      </c>
      <c r="C6157" s="76" t="s">
        <v>830</v>
      </c>
      <c r="D6157" s="76" t="s">
        <v>902</v>
      </c>
      <c r="E6157" s="169" t="s">
        <v>2489</v>
      </c>
      <c r="F6157" s="169"/>
      <c r="G6157" s="169"/>
    </row>
    <row r="6158" spans="1:7">
      <c r="A6158" s="167">
        <f t="shared" ca="1" si="566"/>
        <v>46037</v>
      </c>
      <c r="B6158" s="168">
        <f t="shared" ca="1" si="567"/>
        <v>46037.542060532411</v>
      </c>
      <c r="C6158" s="76" t="s">
        <v>830</v>
      </c>
      <c r="D6158" s="76" t="s">
        <v>902</v>
      </c>
      <c r="E6158" s="169" t="s">
        <v>3307</v>
      </c>
      <c r="F6158" s="169"/>
      <c r="G6158" s="169"/>
    </row>
    <row r="6159" spans="1:7">
      <c r="A6159" s="167">
        <f t="shared" ca="1" si="566"/>
        <v>46037</v>
      </c>
      <c r="B6159" s="168">
        <f t="shared" ca="1" si="567"/>
        <v>46037.54334236111</v>
      </c>
      <c r="C6159" s="76" t="s">
        <v>830</v>
      </c>
      <c r="D6159" s="76" t="s">
        <v>902</v>
      </c>
      <c r="E6159" s="169" t="s">
        <v>3308</v>
      </c>
      <c r="F6159" s="169"/>
      <c r="G6159" s="169"/>
    </row>
    <row r="6160" spans="1:7">
      <c r="A6160" s="167">
        <f t="shared" ca="1" si="566"/>
        <v>46037</v>
      </c>
      <c r="B6160" s="168">
        <f t="shared" ca="1" si="567"/>
        <v>46037.547232870369</v>
      </c>
      <c r="C6160" s="76" t="s">
        <v>830</v>
      </c>
      <c r="D6160" s="76" t="s">
        <v>902</v>
      </c>
      <c r="E6160" s="169" t="s">
        <v>955</v>
      </c>
      <c r="F6160" s="169"/>
      <c r="G6160" s="169"/>
    </row>
    <row r="6161" spans="1:7">
      <c r="A6161" s="167">
        <f t="shared" ca="1" si="566"/>
        <v>46037</v>
      </c>
      <c r="B6161" s="168">
        <f t="shared" ca="1" si="567"/>
        <v>46037.547872569441</v>
      </c>
      <c r="C6161" s="76" t="s">
        <v>830</v>
      </c>
      <c r="D6161" s="76" t="s">
        <v>902</v>
      </c>
      <c r="E6161" s="169" t="s">
        <v>3309</v>
      </c>
      <c r="F6161" s="169"/>
      <c r="G6161" s="169"/>
    </row>
    <row r="6162" spans="1:7">
      <c r="A6162" s="167">
        <f t="shared" ca="1" si="566"/>
        <v>46037</v>
      </c>
      <c r="B6162" s="168">
        <f t="shared" ca="1" si="567"/>
        <v>46037.550031828701</v>
      </c>
      <c r="C6162" s="76" t="s">
        <v>830</v>
      </c>
      <c r="D6162" s="76" t="s">
        <v>902</v>
      </c>
      <c r="E6162" s="169" t="s">
        <v>3310</v>
      </c>
      <c r="F6162" s="169"/>
      <c r="G6162" s="169"/>
    </row>
    <row r="6163" spans="1:7">
      <c r="A6163" s="167">
        <f t="shared" ca="1" si="566"/>
        <v>46037</v>
      </c>
      <c r="B6163" s="168">
        <f t="shared" ca="1" si="567"/>
        <v>46037.550907638892</v>
      </c>
      <c r="C6163" s="76" t="s">
        <v>830</v>
      </c>
      <c r="D6163" s="76" t="s">
        <v>902</v>
      </c>
      <c r="E6163" s="169" t="s">
        <v>2489</v>
      </c>
      <c r="F6163" s="169"/>
      <c r="G6163" s="169"/>
    </row>
    <row r="6164" spans="1:7">
      <c r="A6164" s="167">
        <f t="shared" ca="1" si="566"/>
        <v>46037</v>
      </c>
      <c r="B6164" s="168">
        <f t="shared" ca="1" si="567"/>
        <v>46037.557532175924</v>
      </c>
      <c r="C6164" s="76" t="s">
        <v>830</v>
      </c>
      <c r="D6164" s="76" t="s">
        <v>902</v>
      </c>
      <c r="E6164" s="169" t="s">
        <v>3311</v>
      </c>
      <c r="F6164" s="169"/>
      <c r="G6164" s="169"/>
    </row>
    <row r="6165" spans="1:7">
      <c r="A6165" s="167">
        <f t="shared" ca="1" si="566"/>
        <v>46037</v>
      </c>
      <c r="B6165" s="168">
        <f t="shared" ca="1" si="567"/>
        <v>46037.563469444445</v>
      </c>
      <c r="C6165" s="76" t="s">
        <v>830</v>
      </c>
      <c r="D6165" s="76" t="s">
        <v>902</v>
      </c>
      <c r="E6165" s="169" t="s">
        <v>3311</v>
      </c>
      <c r="F6165" s="169"/>
      <c r="G6165" s="169"/>
    </row>
    <row r="6166" spans="1:7">
      <c r="A6166" s="167">
        <f t="shared" ca="1" si="566"/>
        <v>46037</v>
      </c>
      <c r="B6166" s="168">
        <f t="shared" ca="1" si="567"/>
        <v>46037.564621527781</v>
      </c>
      <c r="C6166" s="76" t="s">
        <v>830</v>
      </c>
      <c r="D6166" s="76" t="s">
        <v>902</v>
      </c>
      <c r="E6166" s="169" t="s">
        <v>1026</v>
      </c>
      <c r="F6166" s="169"/>
      <c r="G6166" s="169"/>
    </row>
    <row r="6167" spans="1:7">
      <c r="A6167" s="167">
        <f t="shared" ref="A6167:A6188" ca="1" si="568">IF(C6167&lt;&gt;0,IF(A6167=0,TODAY(),A6167),)</f>
        <v>46037</v>
      </c>
      <c r="B6167" s="168">
        <f t="shared" ca="1" si="567"/>
        <v>46037.577723379633</v>
      </c>
      <c r="C6167" s="76" t="s">
        <v>830</v>
      </c>
      <c r="D6167" s="76" t="s">
        <v>902</v>
      </c>
      <c r="E6167" s="169" t="s">
        <v>3312</v>
      </c>
      <c r="F6167" s="169"/>
      <c r="G6167" s="169"/>
    </row>
    <row r="6168" spans="1:7">
      <c r="A6168" s="167">
        <f t="shared" ca="1" si="568"/>
        <v>46037</v>
      </c>
      <c r="B6168" s="168">
        <v>0.57905092592592589</v>
      </c>
      <c r="C6168" s="76" t="s">
        <v>830</v>
      </c>
      <c r="D6168" s="76" t="s">
        <v>902</v>
      </c>
      <c r="E6168" s="169" t="s">
        <v>3312</v>
      </c>
      <c r="F6168" s="169"/>
      <c r="G6168" s="169"/>
    </row>
    <row r="6169" spans="1:7">
      <c r="A6169" s="167">
        <f t="shared" ca="1" si="568"/>
        <v>46037</v>
      </c>
      <c r="B6169" s="168">
        <f t="shared" ca="1" si="567"/>
        <v>46037.580756134259</v>
      </c>
      <c r="C6169" s="76" t="s">
        <v>830</v>
      </c>
      <c r="D6169" s="76" t="s">
        <v>902</v>
      </c>
      <c r="E6169" s="169" t="s">
        <v>1837</v>
      </c>
      <c r="F6169" s="169"/>
      <c r="G6169" s="169"/>
    </row>
    <row r="6170" spans="1:7">
      <c r="A6170" s="167">
        <f t="shared" ca="1" si="568"/>
        <v>46037</v>
      </c>
      <c r="B6170" s="168">
        <f t="shared" ca="1" si="567"/>
        <v>46037.58364675926</v>
      </c>
      <c r="C6170" s="76" t="s">
        <v>830</v>
      </c>
      <c r="D6170" s="76" t="s">
        <v>902</v>
      </c>
      <c r="E6170" s="169" t="s">
        <v>1695</v>
      </c>
      <c r="F6170" s="169"/>
      <c r="G6170" s="169"/>
    </row>
    <row r="6171" spans="1:7">
      <c r="A6171" s="167">
        <f t="shared" ca="1" si="568"/>
        <v>46037</v>
      </c>
      <c r="B6171" s="168">
        <f t="shared" ca="1" si="567"/>
        <v>46037.585133333334</v>
      </c>
      <c r="C6171" s="76" t="s">
        <v>830</v>
      </c>
      <c r="D6171" s="76" t="s">
        <v>902</v>
      </c>
      <c r="E6171" s="169" t="s">
        <v>955</v>
      </c>
      <c r="F6171" s="169"/>
      <c r="G6171" s="169"/>
    </row>
    <row r="6172" spans="1:7">
      <c r="A6172" s="167">
        <f t="shared" ca="1" si="568"/>
        <v>46037</v>
      </c>
      <c r="B6172" s="168">
        <f t="shared" ca="1" si="567"/>
        <v>46037.591493518521</v>
      </c>
      <c r="C6172" s="76" t="s">
        <v>830</v>
      </c>
      <c r="D6172" s="76" t="s">
        <v>902</v>
      </c>
      <c r="E6172" s="169" t="s">
        <v>1992</v>
      </c>
      <c r="F6172" s="169"/>
      <c r="G6172" s="169"/>
    </row>
    <row r="6173" spans="1:7">
      <c r="A6173" s="167">
        <f t="shared" ca="1" si="568"/>
        <v>46037</v>
      </c>
      <c r="B6173" s="168">
        <f t="shared" ca="1" si="567"/>
        <v>46037.59509884259</v>
      </c>
      <c r="C6173" s="76" t="s">
        <v>830</v>
      </c>
      <c r="D6173" s="76" t="s">
        <v>902</v>
      </c>
      <c r="E6173" s="169" t="s">
        <v>3313</v>
      </c>
      <c r="F6173" s="169" t="s">
        <v>1003</v>
      </c>
      <c r="G6173" s="169"/>
    </row>
    <row r="6174" spans="1:7">
      <c r="A6174" s="167">
        <f t="shared" ca="1" si="568"/>
        <v>46037</v>
      </c>
      <c r="B6174" s="168">
        <f t="shared" ca="1" si="567"/>
        <v>46037.59692650463</v>
      </c>
      <c r="C6174" s="76" t="s">
        <v>830</v>
      </c>
      <c r="D6174" s="76" t="s">
        <v>902</v>
      </c>
      <c r="E6174" s="169" t="s">
        <v>3312</v>
      </c>
      <c r="F6174" s="169"/>
      <c r="G6174" s="169"/>
    </row>
    <row r="6175" spans="1:7">
      <c r="A6175" s="167">
        <f t="shared" ca="1" si="568"/>
        <v>46037</v>
      </c>
      <c r="B6175" s="168">
        <f t="shared" ca="1" si="567"/>
        <v>46037.598271759256</v>
      </c>
      <c r="C6175" s="76" t="s">
        <v>830</v>
      </c>
      <c r="D6175" s="76" t="s">
        <v>902</v>
      </c>
      <c r="E6175" s="169" t="s">
        <v>1197</v>
      </c>
      <c r="F6175" s="169"/>
      <c r="G6175" s="169"/>
    </row>
    <row r="6176" spans="1:7">
      <c r="A6176" s="167">
        <f t="shared" ca="1" si="568"/>
        <v>46037</v>
      </c>
      <c r="B6176" s="168">
        <f t="shared" ca="1" si="567"/>
        <v>46037.601004745367</v>
      </c>
      <c r="C6176" s="76" t="s">
        <v>830</v>
      </c>
      <c r="D6176" s="76" t="s">
        <v>902</v>
      </c>
      <c r="E6176" s="169" t="s">
        <v>1197</v>
      </c>
      <c r="F6176" s="169"/>
      <c r="G6176" s="169"/>
    </row>
    <row r="6177" spans="1:7">
      <c r="A6177" s="167">
        <f t="shared" ca="1" si="568"/>
        <v>46037</v>
      </c>
      <c r="B6177" s="168">
        <f t="shared" ca="1" si="567"/>
        <v>46037.601004745367</v>
      </c>
      <c r="C6177" s="76" t="s">
        <v>830</v>
      </c>
      <c r="D6177" s="76" t="s">
        <v>902</v>
      </c>
      <c r="E6177" s="169" t="s">
        <v>1197</v>
      </c>
      <c r="F6177" s="169"/>
      <c r="G6177" s="169"/>
    </row>
    <row r="6178" spans="1:7">
      <c r="A6178" s="167">
        <f t="shared" ca="1" si="568"/>
        <v>46037</v>
      </c>
      <c r="B6178" s="168">
        <f t="shared" ca="1" si="567"/>
        <v>46037.601065162038</v>
      </c>
      <c r="C6178" s="76" t="s">
        <v>830</v>
      </c>
      <c r="D6178" s="76" t="s">
        <v>902</v>
      </c>
      <c r="E6178" s="169" t="s">
        <v>1197</v>
      </c>
      <c r="F6178" s="169"/>
      <c r="G6178" s="169"/>
    </row>
    <row r="6179" spans="1:7">
      <c r="A6179" s="167">
        <f t="shared" ca="1" si="568"/>
        <v>46037</v>
      </c>
      <c r="B6179" s="168">
        <f t="shared" ca="1" si="567"/>
        <v>46037.601187037035</v>
      </c>
      <c r="C6179" s="76" t="s">
        <v>830</v>
      </c>
      <c r="D6179" s="76" t="s">
        <v>902</v>
      </c>
      <c r="E6179" s="169" t="s">
        <v>1197</v>
      </c>
      <c r="F6179" s="169"/>
      <c r="G6179" s="169"/>
    </row>
    <row r="6180" spans="1:7">
      <c r="A6180" s="167">
        <f t="shared" ca="1" si="568"/>
        <v>46037</v>
      </c>
      <c r="B6180" s="168">
        <f t="shared" ca="1" si="567"/>
        <v>46037.601479282406</v>
      </c>
      <c r="C6180" s="76" t="s">
        <v>830</v>
      </c>
      <c r="D6180" s="76" t="s">
        <v>902</v>
      </c>
      <c r="E6180" s="169" t="s">
        <v>3312</v>
      </c>
      <c r="F6180" s="169"/>
      <c r="G6180" s="169"/>
    </row>
    <row r="6181" spans="1:7">
      <c r="A6181" s="167">
        <f t="shared" ca="1" si="568"/>
        <v>46037</v>
      </c>
      <c r="B6181" s="168">
        <f t="shared" ca="1" si="567"/>
        <v>46037.602047453707</v>
      </c>
      <c r="C6181" s="76" t="s">
        <v>830</v>
      </c>
      <c r="D6181" s="76" t="s">
        <v>902</v>
      </c>
      <c r="E6181" s="169" t="s">
        <v>1197</v>
      </c>
      <c r="F6181" s="169"/>
      <c r="G6181" s="169"/>
    </row>
    <row r="6182" spans="1:7">
      <c r="A6182" s="167">
        <f t="shared" ca="1" si="568"/>
        <v>46037</v>
      </c>
      <c r="B6182" s="168">
        <f t="shared" ca="1" si="567"/>
        <v>46037.60355266204</v>
      </c>
      <c r="C6182" s="76" t="s">
        <v>830</v>
      </c>
      <c r="D6182" s="76" t="s">
        <v>902</v>
      </c>
      <c r="E6182" s="169" t="s">
        <v>1197</v>
      </c>
      <c r="F6182" s="169"/>
      <c r="G6182" s="169"/>
    </row>
    <row r="6183" spans="1:7">
      <c r="A6183" s="167">
        <f t="shared" ca="1" si="568"/>
        <v>46037</v>
      </c>
      <c r="B6183" s="168">
        <f t="shared" ca="1" si="567"/>
        <v>46037.604159259259</v>
      </c>
      <c r="C6183" s="76" t="s">
        <v>830</v>
      </c>
      <c r="D6183" s="76" t="s">
        <v>902</v>
      </c>
      <c r="E6183" s="169" t="s">
        <v>3312</v>
      </c>
      <c r="F6183" s="169"/>
      <c r="G6183" s="169"/>
    </row>
    <row r="6184" spans="1:7">
      <c r="A6184" s="167">
        <f t="shared" ca="1" si="568"/>
        <v>46037</v>
      </c>
      <c r="B6184" s="168">
        <f t="shared" ca="1" si="567"/>
        <v>46037.604800810186</v>
      </c>
      <c r="C6184" s="76" t="s">
        <v>830</v>
      </c>
      <c r="D6184" s="76" t="s">
        <v>902</v>
      </c>
      <c r="E6184" s="169" t="s">
        <v>3312</v>
      </c>
      <c r="F6184" s="169"/>
      <c r="G6184" s="169"/>
    </row>
    <row r="6185" spans="1:7">
      <c r="A6185" s="167">
        <f t="shared" ca="1" si="568"/>
        <v>46037</v>
      </c>
      <c r="B6185" s="168">
        <f t="shared" ca="1" si="567"/>
        <v>46037.60576608796</v>
      </c>
      <c r="C6185" s="76" t="s">
        <v>830</v>
      </c>
      <c r="D6185" s="76" t="s">
        <v>902</v>
      </c>
      <c r="E6185" s="169" t="s">
        <v>3314</v>
      </c>
      <c r="F6185" s="169"/>
      <c r="G6185" s="169"/>
    </row>
    <row r="6186" spans="1:7">
      <c r="A6186" s="167">
        <f t="shared" ca="1" si="568"/>
        <v>46037</v>
      </c>
      <c r="B6186" s="168">
        <f t="shared" ca="1" si="567"/>
        <v>46037.608063078704</v>
      </c>
      <c r="C6186" s="76" t="s">
        <v>830</v>
      </c>
      <c r="D6186" s="76" t="s">
        <v>902</v>
      </c>
      <c r="E6186" s="169" t="s">
        <v>3315</v>
      </c>
      <c r="F6186" s="169"/>
      <c r="G6186" s="169"/>
    </row>
    <row r="6187" spans="1:7">
      <c r="A6187" s="167">
        <f t="shared" ca="1" si="568"/>
        <v>46037</v>
      </c>
      <c r="B6187" s="168">
        <f t="shared" ca="1" si="567"/>
        <v>46037.61020451389</v>
      </c>
      <c r="C6187" s="76" t="s">
        <v>830</v>
      </c>
      <c r="D6187" s="150" t="s">
        <v>1007</v>
      </c>
      <c r="E6187" s="169" t="s">
        <v>3316</v>
      </c>
      <c r="F6187" s="169"/>
      <c r="G6187" s="169"/>
    </row>
    <row r="6188" spans="1:7">
      <c r="A6188" s="167">
        <f t="shared" ca="1" si="568"/>
        <v>46037</v>
      </c>
      <c r="B6188" s="168">
        <f t="shared" ca="1" si="567"/>
        <v>46037.611255208336</v>
      </c>
      <c r="C6188" s="76" t="s">
        <v>830</v>
      </c>
      <c r="D6188" s="76" t="s">
        <v>902</v>
      </c>
      <c r="E6188" s="169" t="s">
        <v>3312</v>
      </c>
      <c r="F6188" s="169"/>
      <c r="G6188" s="169"/>
    </row>
    <row r="6189" spans="1:7">
      <c r="A6189" s="167">
        <f t="shared" ref="A6189:A6244" ca="1" si="569">IF(C6189&lt;&gt;0,IF(A6189=0,TODAY(),A6189),)</f>
        <v>46037</v>
      </c>
      <c r="B6189" s="168">
        <f t="shared" ca="1" si="567"/>
        <v>46037.612175578703</v>
      </c>
      <c r="C6189" s="76" t="s">
        <v>830</v>
      </c>
      <c r="D6189" s="76" t="s">
        <v>902</v>
      </c>
      <c r="E6189" s="169" t="s">
        <v>3312</v>
      </c>
      <c r="F6189" s="169"/>
      <c r="G6189" s="169"/>
    </row>
    <row r="6190" spans="1:7">
      <c r="A6190" s="167">
        <f t="shared" ca="1" si="569"/>
        <v>46037</v>
      </c>
      <c r="B6190" s="168">
        <f t="shared" ca="1" si="567"/>
        <v>46037.612613773148</v>
      </c>
      <c r="C6190" s="76" t="s">
        <v>830</v>
      </c>
      <c r="D6190" s="76" t="s">
        <v>902</v>
      </c>
      <c r="E6190" s="169" t="s">
        <v>1026</v>
      </c>
      <c r="F6190" s="169"/>
      <c r="G6190" s="169"/>
    </row>
    <row r="6191" spans="1:7">
      <c r="A6191" s="167">
        <f t="shared" ca="1" si="569"/>
        <v>46037</v>
      </c>
      <c r="B6191" s="168">
        <f t="shared" ca="1" si="567"/>
        <v>46037.612974421296</v>
      </c>
      <c r="C6191" s="76" t="s">
        <v>830</v>
      </c>
      <c r="D6191" s="76" t="s">
        <v>902</v>
      </c>
      <c r="E6191" s="169" t="s">
        <v>955</v>
      </c>
      <c r="F6191" s="169"/>
      <c r="G6191" s="169"/>
    </row>
    <row r="6192" spans="1:7">
      <c r="A6192" s="167">
        <f t="shared" ca="1" si="569"/>
        <v>46037</v>
      </c>
      <c r="B6192" s="168">
        <f t="shared" ca="1" si="567"/>
        <v>46037.614526041667</v>
      </c>
      <c r="C6192" s="76" t="s">
        <v>830</v>
      </c>
      <c r="D6192" s="76" t="s">
        <v>902</v>
      </c>
      <c r="E6192" s="169" t="s">
        <v>1865</v>
      </c>
      <c r="F6192" s="169"/>
      <c r="G6192" s="169"/>
    </row>
    <row r="6193" spans="1:7">
      <c r="A6193" s="167">
        <f t="shared" ca="1" si="569"/>
        <v>46037</v>
      </c>
      <c r="B6193" s="168">
        <f t="shared" ref="B6193:B6253" ca="1" si="570">IF(C6193&lt;&gt;0,IF(B6193=0,NOW(),B6193),)</f>
        <v>46037.618617824075</v>
      </c>
      <c r="C6193" s="76" t="s">
        <v>830</v>
      </c>
      <c r="D6193" s="76" t="s">
        <v>902</v>
      </c>
      <c r="E6193" s="169" t="s">
        <v>3312</v>
      </c>
      <c r="F6193" s="169" t="s">
        <v>3317</v>
      </c>
      <c r="G6193" s="169"/>
    </row>
    <row r="6194" spans="1:7">
      <c r="A6194" s="167">
        <f t="shared" ca="1" si="569"/>
        <v>46037</v>
      </c>
      <c r="B6194" s="168">
        <f t="shared" ca="1" si="570"/>
        <v>46037.621045717591</v>
      </c>
      <c r="C6194" s="76" t="s">
        <v>830</v>
      </c>
      <c r="D6194" s="76" t="s">
        <v>902</v>
      </c>
      <c r="E6194" s="169" t="s">
        <v>3318</v>
      </c>
      <c r="F6194" s="169"/>
      <c r="G6194" s="169"/>
    </row>
    <row r="6195" spans="1:7">
      <c r="A6195" s="167">
        <f t="shared" ca="1" si="569"/>
        <v>46037</v>
      </c>
      <c r="B6195" s="168">
        <f t="shared" ca="1" si="570"/>
        <v>46037.622162731481</v>
      </c>
      <c r="C6195" s="76" t="s">
        <v>830</v>
      </c>
      <c r="D6195" s="76" t="s">
        <v>902</v>
      </c>
      <c r="E6195" s="169" t="s">
        <v>3312</v>
      </c>
      <c r="F6195" s="169"/>
      <c r="G6195" s="169"/>
    </row>
    <row r="6196" spans="1:7">
      <c r="A6196" s="167">
        <f t="shared" ca="1" si="569"/>
        <v>46037</v>
      </c>
      <c r="B6196" s="168">
        <f t="shared" ca="1" si="570"/>
        <v>46037.622678935186</v>
      </c>
      <c r="C6196" s="76" t="s">
        <v>830</v>
      </c>
      <c r="D6196" s="76" t="s">
        <v>902</v>
      </c>
      <c r="E6196" s="169" t="s">
        <v>3319</v>
      </c>
      <c r="F6196" s="169"/>
      <c r="G6196" s="169"/>
    </row>
    <row r="6197" spans="1:7">
      <c r="A6197" s="167">
        <f t="shared" ca="1" si="569"/>
        <v>46037</v>
      </c>
      <c r="B6197" s="168">
        <f t="shared" ca="1" si="570"/>
        <v>46037.622959953704</v>
      </c>
      <c r="C6197" s="76" t="s">
        <v>830</v>
      </c>
      <c r="D6197" s="76" t="s">
        <v>902</v>
      </c>
      <c r="E6197" s="169" t="s">
        <v>3320</v>
      </c>
      <c r="F6197" s="169"/>
      <c r="G6197" s="169"/>
    </row>
    <row r="6198" spans="1:7">
      <c r="A6198" s="167">
        <f t="shared" ca="1" si="569"/>
        <v>46037</v>
      </c>
      <c r="B6198" s="168">
        <f t="shared" ca="1" si="570"/>
        <v>46037.623833217593</v>
      </c>
      <c r="C6198" s="76" t="s">
        <v>830</v>
      </c>
      <c r="D6198" s="76" t="s">
        <v>902</v>
      </c>
      <c r="E6198" s="169" t="s">
        <v>1197</v>
      </c>
      <c r="F6198" s="169"/>
      <c r="G6198" s="169"/>
    </row>
    <row r="6199" spans="1:7">
      <c r="A6199" s="167">
        <f t="shared" ca="1" si="569"/>
        <v>46037</v>
      </c>
      <c r="B6199" s="168">
        <f t="shared" ca="1" si="570"/>
        <v>46037.627246875003</v>
      </c>
      <c r="C6199" s="76" t="s">
        <v>830</v>
      </c>
      <c r="D6199" s="76" t="s">
        <v>902</v>
      </c>
      <c r="E6199" s="169" t="s">
        <v>3312</v>
      </c>
      <c r="F6199" s="169"/>
      <c r="G6199" s="169"/>
    </row>
    <row r="6200" spans="1:7">
      <c r="A6200" s="167">
        <f t="shared" ca="1" si="569"/>
        <v>46037</v>
      </c>
      <c r="B6200" s="168">
        <f t="shared" ca="1" si="570"/>
        <v>46037.629313310186</v>
      </c>
      <c r="C6200" s="76" t="s">
        <v>830</v>
      </c>
      <c r="D6200" s="76" t="s">
        <v>902</v>
      </c>
      <c r="E6200" s="169" t="s">
        <v>3312</v>
      </c>
      <c r="F6200" s="169"/>
      <c r="G6200" s="169"/>
    </row>
    <row r="6201" spans="1:7">
      <c r="A6201" s="167">
        <f t="shared" ca="1" si="569"/>
        <v>46037</v>
      </c>
      <c r="B6201" s="168">
        <f t="shared" ca="1" si="570"/>
        <v>46037.629596064813</v>
      </c>
      <c r="C6201" s="76" t="s">
        <v>830</v>
      </c>
      <c r="D6201" s="76" t="s">
        <v>902</v>
      </c>
      <c r="E6201" s="169" t="s">
        <v>3321</v>
      </c>
      <c r="F6201" s="169"/>
      <c r="G6201" s="169"/>
    </row>
    <row r="6202" spans="1:7">
      <c r="A6202" s="167">
        <f t="shared" ca="1" si="569"/>
        <v>46037</v>
      </c>
      <c r="B6202" s="168">
        <f t="shared" ca="1" si="570"/>
        <v>46037.630570717592</v>
      </c>
      <c r="C6202" s="76" t="s">
        <v>830</v>
      </c>
      <c r="D6202" s="76" t="s">
        <v>902</v>
      </c>
      <c r="E6202" s="169" t="s">
        <v>3322</v>
      </c>
      <c r="F6202" s="169"/>
      <c r="G6202" s="169"/>
    </row>
    <row r="6203" spans="1:7">
      <c r="A6203" s="167">
        <f t="shared" ca="1" si="569"/>
        <v>46037</v>
      </c>
      <c r="B6203" s="168">
        <f t="shared" ca="1" si="570"/>
        <v>46037.63682013889</v>
      </c>
      <c r="C6203" s="76" t="s">
        <v>830</v>
      </c>
      <c r="D6203" s="76" t="s">
        <v>902</v>
      </c>
      <c r="E6203" s="169" t="s">
        <v>3323</v>
      </c>
      <c r="F6203" s="169"/>
      <c r="G6203" s="169"/>
    </row>
    <row r="6204" spans="1:7">
      <c r="A6204" s="167">
        <f t="shared" ca="1" si="569"/>
        <v>46037</v>
      </c>
      <c r="B6204" s="168">
        <f t="shared" ca="1" si="570"/>
        <v>46037.63915185185</v>
      </c>
      <c r="C6204" s="76" t="s">
        <v>830</v>
      </c>
      <c r="D6204" s="76" t="s">
        <v>902</v>
      </c>
      <c r="E6204" s="169" t="s">
        <v>1197</v>
      </c>
      <c r="F6204" s="169"/>
      <c r="G6204" s="169"/>
    </row>
    <row r="6205" spans="1:7">
      <c r="A6205" s="167">
        <f t="shared" ca="1" si="569"/>
        <v>46037</v>
      </c>
      <c r="B6205" s="168">
        <f t="shared" ca="1" si="570"/>
        <v>46037.641801273145</v>
      </c>
      <c r="C6205" s="76" t="s">
        <v>830</v>
      </c>
      <c r="D6205" s="76" t="s">
        <v>902</v>
      </c>
      <c r="E6205" s="169" t="s">
        <v>3312</v>
      </c>
      <c r="F6205" s="169"/>
      <c r="G6205" s="169"/>
    </row>
    <row r="6206" spans="1:7">
      <c r="A6206" s="167">
        <f t="shared" ca="1" si="569"/>
        <v>46037</v>
      </c>
      <c r="B6206" s="168">
        <f t="shared" ca="1" si="570"/>
        <v>46037.6426130787</v>
      </c>
      <c r="C6206" s="76" t="s">
        <v>830</v>
      </c>
      <c r="D6206" s="76" t="s">
        <v>902</v>
      </c>
      <c r="E6206" s="169" t="s">
        <v>1198</v>
      </c>
      <c r="F6206" s="169"/>
      <c r="G6206" s="169"/>
    </row>
    <row r="6207" spans="1:7">
      <c r="A6207" s="167">
        <f t="shared" ca="1" si="569"/>
        <v>46037</v>
      </c>
      <c r="B6207" s="168">
        <f t="shared" ca="1" si="570"/>
        <v>46037.645419097222</v>
      </c>
      <c r="C6207" s="76" t="s">
        <v>830</v>
      </c>
      <c r="D6207" s="76" t="s">
        <v>902</v>
      </c>
      <c r="E6207" s="169" t="s">
        <v>1197</v>
      </c>
      <c r="F6207" s="169"/>
      <c r="G6207" s="169"/>
    </row>
    <row r="6208" spans="1:7">
      <c r="A6208" s="167">
        <f t="shared" ca="1" si="569"/>
        <v>46037</v>
      </c>
      <c r="B6208" s="168">
        <f t="shared" ca="1" si="570"/>
        <v>46037.655404166668</v>
      </c>
      <c r="C6208" s="76" t="s">
        <v>830</v>
      </c>
      <c r="D6208" s="76" t="s">
        <v>902</v>
      </c>
      <c r="E6208" s="169" t="s">
        <v>3324</v>
      </c>
      <c r="F6208" s="169"/>
      <c r="G6208" s="169"/>
    </row>
    <row r="6209" spans="1:7">
      <c r="A6209" s="167">
        <f t="shared" ca="1" si="569"/>
        <v>46037</v>
      </c>
      <c r="B6209" s="168">
        <f t="shared" ca="1" si="570"/>
        <v>46037.680085879627</v>
      </c>
      <c r="C6209" s="76" t="s">
        <v>830</v>
      </c>
      <c r="D6209" s="150" t="s">
        <v>1059</v>
      </c>
      <c r="E6209" s="169" t="s">
        <v>3325</v>
      </c>
      <c r="F6209" s="169"/>
      <c r="G6209" s="169" t="s">
        <v>3326</v>
      </c>
    </row>
    <row r="6210" spans="1:7">
      <c r="A6210" s="167">
        <f t="shared" ca="1" si="569"/>
        <v>46037</v>
      </c>
      <c r="B6210" s="168">
        <f t="shared" ca="1" si="570"/>
        <v>46037.702661226853</v>
      </c>
      <c r="C6210" s="76" t="s">
        <v>830</v>
      </c>
      <c r="D6210" s="76" t="s">
        <v>902</v>
      </c>
      <c r="E6210" s="169" t="s">
        <v>3327</v>
      </c>
      <c r="F6210" s="169"/>
      <c r="G6210" s="169"/>
    </row>
    <row r="6211" spans="1:7">
      <c r="A6211" s="167">
        <f t="shared" ca="1" si="569"/>
        <v>46037</v>
      </c>
      <c r="B6211" s="168">
        <f t="shared" ca="1" si="570"/>
        <v>46037.730351851853</v>
      </c>
      <c r="C6211" s="76" t="s">
        <v>830</v>
      </c>
      <c r="D6211" s="76" t="s">
        <v>902</v>
      </c>
      <c r="E6211" s="169" t="s">
        <v>1505</v>
      </c>
      <c r="F6211" s="169"/>
      <c r="G6211" s="169"/>
    </row>
    <row r="6212" spans="1:7">
      <c r="A6212" s="167">
        <f t="shared" ca="1" si="569"/>
        <v>46037</v>
      </c>
      <c r="B6212" s="168">
        <f t="shared" ca="1" si="570"/>
        <v>46037.731253587961</v>
      </c>
      <c r="C6212" s="76" t="s">
        <v>830</v>
      </c>
      <c r="D6212" s="76" t="s">
        <v>902</v>
      </c>
      <c r="E6212" s="169" t="s">
        <v>3311</v>
      </c>
      <c r="F6212" s="169"/>
      <c r="G6212" s="169"/>
    </row>
    <row r="6213" spans="1:7">
      <c r="A6213" s="167">
        <f t="shared" ca="1" si="569"/>
        <v>46037</v>
      </c>
      <c r="B6213" s="168">
        <f t="shared" ca="1" si="570"/>
        <v>46037.734545833337</v>
      </c>
      <c r="C6213" s="76" t="s">
        <v>830</v>
      </c>
      <c r="D6213" s="76" t="s">
        <v>902</v>
      </c>
      <c r="E6213" s="169" t="s">
        <v>1505</v>
      </c>
      <c r="F6213" s="169"/>
      <c r="G6213" s="169"/>
    </row>
    <row r="6214" spans="1:7">
      <c r="A6214" s="167">
        <f t="shared" ca="1" si="569"/>
        <v>46037</v>
      </c>
      <c r="B6214" s="168">
        <f t="shared" ca="1" si="570"/>
        <v>46037.742467129632</v>
      </c>
      <c r="C6214" s="76" t="s">
        <v>830</v>
      </c>
      <c r="D6214" s="76" t="s">
        <v>902</v>
      </c>
      <c r="E6214" s="169" t="s">
        <v>3322</v>
      </c>
      <c r="F6214" s="169"/>
      <c r="G6214" s="169"/>
    </row>
    <row r="6215" spans="1:7">
      <c r="A6215" s="167">
        <f t="shared" ca="1" si="569"/>
        <v>46037</v>
      </c>
      <c r="B6215" s="168">
        <f t="shared" ca="1" si="570"/>
        <v>46037.743126273148</v>
      </c>
      <c r="C6215" s="76" t="s">
        <v>830</v>
      </c>
      <c r="D6215" s="76" t="s">
        <v>902</v>
      </c>
      <c r="E6215" s="169" t="s">
        <v>3321</v>
      </c>
      <c r="F6215" s="169"/>
      <c r="G6215" s="169"/>
    </row>
    <row r="6216" spans="1:7">
      <c r="A6216" s="167">
        <f t="shared" ca="1" si="569"/>
        <v>46037</v>
      </c>
      <c r="B6216" s="168">
        <f t="shared" ca="1" si="570"/>
        <v>46037.744756828703</v>
      </c>
      <c r="C6216" s="76" t="s">
        <v>830</v>
      </c>
      <c r="D6216" s="76" t="s">
        <v>902</v>
      </c>
      <c r="E6216" s="169" t="s">
        <v>3321</v>
      </c>
      <c r="F6216" s="169"/>
      <c r="G6216" s="169"/>
    </row>
    <row r="6217" spans="1:7">
      <c r="A6217" s="167">
        <f t="shared" ca="1" si="569"/>
        <v>46037</v>
      </c>
      <c r="B6217" s="168">
        <f t="shared" ca="1" si="570"/>
        <v>46037.746475</v>
      </c>
      <c r="C6217" s="76" t="s">
        <v>830</v>
      </c>
      <c r="D6217" s="76" t="s">
        <v>902</v>
      </c>
      <c r="E6217" s="169" t="s">
        <v>3321</v>
      </c>
      <c r="F6217" s="169"/>
      <c r="G6217" s="169"/>
    </row>
    <row r="6218" spans="1:7">
      <c r="A6218" s="167">
        <f t="shared" ca="1" si="569"/>
        <v>46037</v>
      </c>
      <c r="B6218" s="168">
        <f t="shared" ca="1" si="570"/>
        <v>46037.777146180553</v>
      </c>
      <c r="C6218" s="76" t="s">
        <v>830</v>
      </c>
      <c r="D6218" s="76" t="s">
        <v>902</v>
      </c>
      <c r="E6218" s="169" t="s">
        <v>1115</v>
      </c>
      <c r="F6218" s="169"/>
      <c r="G6218" s="169"/>
    </row>
    <row r="6219" spans="1:7">
      <c r="A6219" s="167">
        <f t="shared" ca="1" si="569"/>
        <v>46037</v>
      </c>
      <c r="B6219" s="168">
        <f t="shared" ca="1" si="570"/>
        <v>46037.777353124999</v>
      </c>
      <c r="C6219" s="76" t="s">
        <v>830</v>
      </c>
      <c r="D6219" s="76" t="s">
        <v>902</v>
      </c>
      <c r="E6219" s="169" t="s">
        <v>3328</v>
      </c>
      <c r="F6219" s="169"/>
      <c r="G6219" s="169"/>
    </row>
    <row r="6220" spans="1:7">
      <c r="A6220" s="167">
        <f t="shared" ca="1" si="569"/>
        <v>46037</v>
      </c>
      <c r="B6220" s="168">
        <f t="shared" ca="1" si="570"/>
        <v>46037.779142939813</v>
      </c>
      <c r="C6220" s="76" t="s">
        <v>830</v>
      </c>
      <c r="D6220" s="76" t="s">
        <v>902</v>
      </c>
      <c r="E6220" s="169" t="s">
        <v>1115</v>
      </c>
      <c r="F6220" s="169"/>
      <c r="G6220" s="169"/>
    </row>
    <row r="6221" spans="1:7">
      <c r="A6221" s="167">
        <f t="shared" ca="1" si="569"/>
        <v>46037</v>
      </c>
      <c r="B6221" s="168">
        <f t="shared" ca="1" si="570"/>
        <v>46037.780516087965</v>
      </c>
      <c r="C6221" s="76" t="s">
        <v>830</v>
      </c>
      <c r="D6221" s="76" t="s">
        <v>902</v>
      </c>
      <c r="E6221" s="169" t="s">
        <v>1115</v>
      </c>
      <c r="F6221" s="169"/>
      <c r="G6221" s="169"/>
    </row>
    <row r="6222" spans="1:7">
      <c r="A6222" s="167">
        <f t="shared" ca="1" si="569"/>
        <v>46037</v>
      </c>
      <c r="B6222" s="168">
        <f t="shared" ca="1" si="570"/>
        <v>46037.782178009256</v>
      </c>
      <c r="C6222" s="76" t="s">
        <v>830</v>
      </c>
      <c r="D6222" s="76" t="s">
        <v>902</v>
      </c>
      <c r="E6222" s="169" t="s">
        <v>3329</v>
      </c>
      <c r="F6222" s="169"/>
      <c r="G6222" s="169"/>
    </row>
    <row r="6223" spans="1:7">
      <c r="A6223" s="167">
        <f t="shared" ca="1" si="569"/>
        <v>46037</v>
      </c>
      <c r="B6223" s="168">
        <f t="shared" ca="1" si="570"/>
        <v>46037.782745486111</v>
      </c>
      <c r="C6223" s="76" t="s">
        <v>830</v>
      </c>
      <c r="D6223" s="76" t="s">
        <v>902</v>
      </c>
      <c r="E6223" s="169" t="s">
        <v>1115</v>
      </c>
      <c r="F6223" s="169"/>
      <c r="G6223" s="169"/>
    </row>
    <row r="6224" spans="1:7">
      <c r="A6224" s="167">
        <f t="shared" ca="1" si="569"/>
        <v>46037</v>
      </c>
      <c r="B6224" s="168">
        <f t="shared" ca="1" si="570"/>
        <v>46037.783645601849</v>
      </c>
      <c r="C6224" s="76" t="s">
        <v>830</v>
      </c>
      <c r="D6224" s="76" t="s">
        <v>902</v>
      </c>
      <c r="E6224" s="169" t="s">
        <v>1115</v>
      </c>
      <c r="F6224" s="169"/>
      <c r="G6224" s="169"/>
    </row>
    <row r="6225" spans="1:7">
      <c r="A6225" s="167">
        <f t="shared" ca="1" si="569"/>
        <v>46037</v>
      </c>
      <c r="B6225" s="168">
        <f t="shared" ca="1" si="570"/>
        <v>46037.785457291669</v>
      </c>
      <c r="C6225" s="76" t="s">
        <v>830</v>
      </c>
      <c r="D6225" s="76" t="s">
        <v>902</v>
      </c>
      <c r="E6225" s="169" t="s">
        <v>920</v>
      </c>
      <c r="F6225" s="169"/>
      <c r="G6225" s="169"/>
    </row>
    <row r="6226" spans="1:7">
      <c r="A6226" s="167">
        <f t="shared" ca="1" si="569"/>
        <v>46037</v>
      </c>
      <c r="B6226" s="168">
        <f t="shared" ca="1" si="570"/>
        <v>46037.796996296296</v>
      </c>
      <c r="C6226" s="76" t="s">
        <v>830</v>
      </c>
      <c r="D6226" s="150" t="s">
        <v>1007</v>
      </c>
      <c r="E6226" s="169" t="s">
        <v>3330</v>
      </c>
      <c r="F6226" s="169"/>
      <c r="G6226" s="169"/>
    </row>
    <row r="6227" spans="1:7">
      <c r="A6227" s="167">
        <f t="shared" ca="1" si="569"/>
        <v>46037</v>
      </c>
      <c r="B6227" s="168">
        <f t="shared" ca="1" si="570"/>
        <v>46037.803401851852</v>
      </c>
      <c r="C6227" s="76" t="s">
        <v>830</v>
      </c>
      <c r="D6227" s="76" t="s">
        <v>902</v>
      </c>
      <c r="E6227" s="169" t="s">
        <v>3331</v>
      </c>
      <c r="F6227" s="169"/>
      <c r="G6227" s="169"/>
    </row>
    <row r="6228" spans="1:7">
      <c r="A6228" s="167">
        <f t="shared" ca="1" si="569"/>
        <v>46037</v>
      </c>
      <c r="B6228" s="168">
        <f t="shared" ca="1" si="570"/>
        <v>46037.804312268519</v>
      </c>
      <c r="C6228" s="76" t="s">
        <v>830</v>
      </c>
      <c r="D6228" s="76" t="s">
        <v>902</v>
      </c>
      <c r="E6228" s="169" t="s">
        <v>932</v>
      </c>
      <c r="F6228" s="169"/>
      <c r="G6228" s="169"/>
    </row>
    <row r="6229" spans="1:7">
      <c r="A6229" s="167">
        <f t="shared" ca="1" si="569"/>
        <v>46037</v>
      </c>
      <c r="B6229" s="168">
        <f t="shared" ca="1" si="570"/>
        <v>46037.805964120373</v>
      </c>
      <c r="C6229" s="76" t="s">
        <v>830</v>
      </c>
      <c r="D6229" s="76" t="s">
        <v>902</v>
      </c>
      <c r="E6229" s="169" t="s">
        <v>3332</v>
      </c>
      <c r="F6229" s="169"/>
      <c r="G6229" s="169"/>
    </row>
    <row r="6230" spans="1:7">
      <c r="A6230" s="167">
        <f t="shared" ca="1" si="569"/>
        <v>46037</v>
      </c>
      <c r="B6230" s="168">
        <f t="shared" ca="1" si="570"/>
        <v>46037.807490624997</v>
      </c>
      <c r="C6230" s="76" t="s">
        <v>830</v>
      </c>
      <c r="D6230" s="76" t="s">
        <v>902</v>
      </c>
      <c r="E6230" s="169" t="s">
        <v>3333</v>
      </c>
      <c r="F6230" s="169"/>
      <c r="G6230" s="169"/>
    </row>
    <row r="6231" spans="1:7">
      <c r="A6231" s="167">
        <f t="shared" ca="1" si="569"/>
        <v>46037</v>
      </c>
      <c r="B6231" s="168">
        <f t="shared" ca="1" si="570"/>
        <v>46037.807943171298</v>
      </c>
      <c r="C6231" s="76" t="s">
        <v>830</v>
      </c>
      <c r="D6231" s="76" t="s">
        <v>902</v>
      </c>
      <c r="E6231" s="169" t="s">
        <v>3334</v>
      </c>
      <c r="F6231" s="169"/>
      <c r="G6231" s="169"/>
    </row>
    <row r="6232" spans="1:7">
      <c r="A6232" s="167">
        <f t="shared" ca="1" si="569"/>
        <v>46037</v>
      </c>
      <c r="B6232" s="168">
        <f t="shared" ca="1" si="570"/>
        <v>46037.810296759257</v>
      </c>
      <c r="C6232" s="76" t="s">
        <v>830</v>
      </c>
      <c r="D6232" s="76" t="s">
        <v>902</v>
      </c>
      <c r="E6232" s="169" t="s">
        <v>3332</v>
      </c>
      <c r="F6232" s="169"/>
      <c r="G6232" s="169"/>
    </row>
    <row r="6233" spans="1:7">
      <c r="A6233" s="167">
        <f t="shared" ca="1" si="569"/>
        <v>46037</v>
      </c>
      <c r="B6233" s="168">
        <f t="shared" ca="1" si="570"/>
        <v>46037.812451157406</v>
      </c>
      <c r="C6233" s="76" t="s">
        <v>830</v>
      </c>
      <c r="D6233" s="76" t="s">
        <v>902</v>
      </c>
      <c r="E6233" s="169" t="s">
        <v>3106</v>
      </c>
      <c r="F6233" s="169"/>
      <c r="G6233" s="169"/>
    </row>
    <row r="6234" spans="1:7">
      <c r="A6234" s="167">
        <f t="shared" ca="1" si="569"/>
        <v>46037</v>
      </c>
      <c r="B6234" s="168">
        <f t="shared" ca="1" si="570"/>
        <v>46037.812926041668</v>
      </c>
      <c r="C6234" s="76" t="s">
        <v>830</v>
      </c>
      <c r="D6234" s="76" t="s">
        <v>902</v>
      </c>
      <c r="E6234" s="169" t="s">
        <v>3335</v>
      </c>
      <c r="F6234" s="169"/>
      <c r="G6234" s="169"/>
    </row>
    <row r="6235" spans="1:7">
      <c r="A6235" s="167">
        <f t="shared" ca="1" si="569"/>
        <v>46037</v>
      </c>
      <c r="B6235" s="168">
        <f t="shared" ca="1" si="570"/>
        <v>46037.813587037039</v>
      </c>
      <c r="C6235" s="76" t="s">
        <v>830</v>
      </c>
      <c r="D6235" s="76" t="s">
        <v>902</v>
      </c>
      <c r="E6235" s="169" t="s">
        <v>3106</v>
      </c>
      <c r="F6235" s="169"/>
      <c r="G6235" s="169"/>
    </row>
    <row r="6236" spans="1:7">
      <c r="A6236" s="167">
        <f t="shared" ca="1" si="569"/>
        <v>46037</v>
      </c>
      <c r="B6236" s="168">
        <f t="shared" ca="1" si="570"/>
        <v>46037.817947453703</v>
      </c>
      <c r="C6236" s="76" t="s">
        <v>830</v>
      </c>
      <c r="D6236" s="76" t="s">
        <v>902</v>
      </c>
      <c r="E6236" s="169" t="s">
        <v>1825</v>
      </c>
      <c r="F6236" s="169"/>
      <c r="G6236" s="169"/>
    </row>
    <row r="6237" spans="1:7">
      <c r="A6237" s="167">
        <f t="shared" ca="1" si="569"/>
        <v>46037</v>
      </c>
      <c r="B6237" s="168">
        <f t="shared" ca="1" si="570"/>
        <v>46037.819038310183</v>
      </c>
      <c r="C6237" s="76" t="s">
        <v>830</v>
      </c>
      <c r="D6237" s="76" t="s">
        <v>902</v>
      </c>
      <c r="E6237" s="169" t="s">
        <v>1239</v>
      </c>
      <c r="F6237" s="169"/>
      <c r="G6237" s="169"/>
    </row>
    <row r="6238" spans="1:7">
      <c r="A6238" s="167">
        <f t="shared" ca="1" si="569"/>
        <v>46037</v>
      </c>
      <c r="B6238" s="168">
        <f t="shared" ca="1" si="570"/>
        <v>46037.82008622685</v>
      </c>
      <c r="C6238" s="76" t="s">
        <v>830</v>
      </c>
      <c r="D6238" s="76" t="s">
        <v>902</v>
      </c>
      <c r="E6238" s="169" t="s">
        <v>1239</v>
      </c>
      <c r="F6238" s="169"/>
      <c r="G6238" s="169"/>
    </row>
    <row r="6239" spans="1:7">
      <c r="A6239" s="167">
        <f t="shared" ca="1" si="569"/>
        <v>46037</v>
      </c>
      <c r="B6239" s="168">
        <f t="shared" ca="1" si="570"/>
        <v>46037.82018761574</v>
      </c>
      <c r="C6239" s="76" t="s">
        <v>830</v>
      </c>
      <c r="D6239" s="76" t="s">
        <v>902</v>
      </c>
      <c r="E6239" s="169" t="s">
        <v>1825</v>
      </c>
      <c r="F6239" s="169"/>
      <c r="G6239" s="169"/>
    </row>
    <row r="6240" spans="1:7">
      <c r="A6240" s="167">
        <f t="shared" ca="1" si="569"/>
        <v>46037</v>
      </c>
      <c r="B6240" s="168">
        <f t="shared" ca="1" si="570"/>
        <v>46037.824098495374</v>
      </c>
      <c r="C6240" s="76" t="s">
        <v>830</v>
      </c>
      <c r="D6240" s="76" t="s">
        <v>902</v>
      </c>
      <c r="E6240" s="169" t="s">
        <v>1239</v>
      </c>
      <c r="F6240" s="169"/>
      <c r="G6240" s="169"/>
    </row>
    <row r="6241" spans="1:7">
      <c r="A6241" s="167">
        <f t="shared" ca="1" si="569"/>
        <v>46037</v>
      </c>
      <c r="B6241" s="168">
        <f t="shared" ca="1" si="570"/>
        <v>46037.828865509262</v>
      </c>
      <c r="C6241" s="76" t="s">
        <v>830</v>
      </c>
      <c r="D6241" s="76" t="s">
        <v>902</v>
      </c>
      <c r="E6241" s="169" t="s">
        <v>3336</v>
      </c>
      <c r="F6241" s="169"/>
      <c r="G6241" s="169"/>
    </row>
    <row r="6242" spans="1:7">
      <c r="A6242" s="167">
        <f t="shared" ca="1" si="569"/>
        <v>46037</v>
      </c>
      <c r="B6242" s="168">
        <f t="shared" ca="1" si="570"/>
        <v>46037.836573032408</v>
      </c>
      <c r="C6242" s="76" t="s">
        <v>830</v>
      </c>
      <c r="D6242" s="150" t="s">
        <v>1059</v>
      </c>
      <c r="E6242" s="169" t="s">
        <v>3337</v>
      </c>
      <c r="F6242" s="169"/>
      <c r="G6242" s="169" t="s">
        <v>3338</v>
      </c>
    </row>
    <row r="6243" spans="1:7">
      <c r="A6243" s="167">
        <f t="shared" ca="1" si="569"/>
        <v>46037</v>
      </c>
      <c r="B6243" s="168">
        <f t="shared" ca="1" si="570"/>
        <v>46037.837943402781</v>
      </c>
      <c r="C6243" s="76" t="s">
        <v>830</v>
      </c>
      <c r="D6243" s="76" t="s">
        <v>902</v>
      </c>
      <c r="E6243" s="169" t="s">
        <v>1239</v>
      </c>
      <c r="F6243" s="169"/>
      <c r="G6243" s="169"/>
    </row>
    <row r="6244" spans="1:7">
      <c r="A6244" s="167">
        <f t="shared" ca="1" si="569"/>
        <v>46037</v>
      </c>
      <c r="B6244" s="168">
        <f t="shared" ca="1" si="570"/>
        <v>46037.839445717589</v>
      </c>
      <c r="C6244" s="76" t="s">
        <v>830</v>
      </c>
      <c r="D6244" s="76" t="s">
        <v>902</v>
      </c>
      <c r="E6244" s="169" t="s">
        <v>3339</v>
      </c>
      <c r="F6244" s="169"/>
      <c r="G6244" s="169"/>
    </row>
    <row r="6245" spans="1:7">
      <c r="A6245" s="167">
        <f t="shared" ref="A6245:A6259" ca="1" si="571">IF(C6245&lt;&gt;0,IF(A6245=0,TODAY(),A6245),)</f>
        <v>46037</v>
      </c>
      <c r="B6245" s="168">
        <f t="shared" ca="1" si="570"/>
        <v>46037.842335995367</v>
      </c>
      <c r="C6245" s="76" t="s">
        <v>830</v>
      </c>
      <c r="D6245" s="76" t="s">
        <v>902</v>
      </c>
      <c r="E6245" s="169" t="s">
        <v>3340</v>
      </c>
      <c r="F6245" s="169"/>
      <c r="G6245" s="169"/>
    </row>
    <row r="6246" spans="1:7">
      <c r="A6246" s="167">
        <f t="shared" ca="1" si="571"/>
        <v>46037</v>
      </c>
      <c r="B6246" s="168">
        <f t="shared" ca="1" si="570"/>
        <v>46037.842451620367</v>
      </c>
      <c r="C6246" s="76" t="s">
        <v>830</v>
      </c>
      <c r="D6246" s="76" t="s">
        <v>902</v>
      </c>
      <c r="E6246" s="169" t="s">
        <v>1067</v>
      </c>
      <c r="F6246" s="169"/>
      <c r="G6246" s="169"/>
    </row>
    <row r="6247" spans="1:7">
      <c r="A6247" s="167">
        <f t="shared" ca="1" si="571"/>
        <v>46037</v>
      </c>
      <c r="B6247" s="168">
        <f t="shared" ca="1" si="570"/>
        <v>46037.842485185189</v>
      </c>
      <c r="C6247" s="76" t="s">
        <v>830</v>
      </c>
      <c r="D6247" s="76" t="s">
        <v>902</v>
      </c>
      <c r="E6247" s="169" t="s">
        <v>3106</v>
      </c>
      <c r="F6247" s="169"/>
      <c r="G6247" s="169"/>
    </row>
    <row r="6248" spans="1:7">
      <c r="A6248" s="167">
        <f t="shared" ca="1" si="571"/>
        <v>46037</v>
      </c>
      <c r="B6248" s="168">
        <f t="shared" ca="1" si="570"/>
        <v>46037.843190856482</v>
      </c>
      <c r="C6248" s="76" t="s">
        <v>830</v>
      </c>
      <c r="D6248" s="76" t="s">
        <v>902</v>
      </c>
      <c r="E6248" s="169" t="s">
        <v>955</v>
      </c>
      <c r="F6248" s="169"/>
      <c r="G6248" s="169"/>
    </row>
    <row r="6249" spans="1:7">
      <c r="A6249" s="167">
        <f t="shared" ca="1" si="571"/>
        <v>46037</v>
      </c>
      <c r="B6249" s="168">
        <f t="shared" ca="1" si="570"/>
        <v>46037.84348333333</v>
      </c>
      <c r="C6249" s="76" t="s">
        <v>830</v>
      </c>
      <c r="D6249" s="76" t="s">
        <v>902</v>
      </c>
      <c r="E6249" s="169" t="s">
        <v>3341</v>
      </c>
      <c r="F6249" s="169"/>
      <c r="G6249" s="169"/>
    </row>
    <row r="6250" spans="1:7">
      <c r="A6250" s="167">
        <f t="shared" ca="1" si="571"/>
        <v>46037</v>
      </c>
      <c r="B6250" s="168">
        <f t="shared" ca="1" si="570"/>
        <v>46037.84405590278</v>
      </c>
      <c r="C6250" s="76" t="s">
        <v>830</v>
      </c>
      <c r="D6250" s="76" t="s">
        <v>902</v>
      </c>
      <c r="E6250" s="169" t="s">
        <v>3106</v>
      </c>
      <c r="F6250" s="169"/>
      <c r="G6250" s="169"/>
    </row>
    <row r="6251" spans="1:7">
      <c r="A6251" s="167">
        <f t="shared" ca="1" si="571"/>
        <v>46037</v>
      </c>
      <c r="B6251" s="168">
        <f t="shared" ca="1" si="570"/>
        <v>46037.844466782408</v>
      </c>
      <c r="C6251" s="76" t="s">
        <v>830</v>
      </c>
      <c r="D6251" s="76" t="s">
        <v>902</v>
      </c>
      <c r="E6251" s="169" t="s">
        <v>3106</v>
      </c>
      <c r="F6251" s="169"/>
      <c r="G6251" s="169"/>
    </row>
    <row r="6252" spans="1:7">
      <c r="A6252" s="167">
        <f t="shared" ca="1" si="571"/>
        <v>46037</v>
      </c>
      <c r="B6252" s="168">
        <f t="shared" ca="1" si="570"/>
        <v>46037.846030324072</v>
      </c>
      <c r="C6252" s="76" t="s">
        <v>830</v>
      </c>
      <c r="D6252" s="76" t="s">
        <v>902</v>
      </c>
      <c r="E6252" s="169" t="s">
        <v>3342</v>
      </c>
      <c r="F6252" s="169"/>
      <c r="G6252" s="169"/>
    </row>
    <row r="6253" spans="1:7">
      <c r="A6253" s="167">
        <f t="shared" ca="1" si="571"/>
        <v>46037</v>
      </c>
      <c r="B6253" s="168">
        <f t="shared" ca="1" si="570"/>
        <v>46037.846490625001</v>
      </c>
      <c r="C6253" s="76" t="s">
        <v>830</v>
      </c>
      <c r="D6253" s="76" t="s">
        <v>902</v>
      </c>
      <c r="E6253" s="169" t="s">
        <v>3343</v>
      </c>
      <c r="F6253" s="169"/>
      <c r="G6253" s="169"/>
    </row>
    <row r="6254" spans="1:7">
      <c r="A6254" s="167">
        <f t="shared" ca="1" si="571"/>
        <v>46037</v>
      </c>
      <c r="B6254" s="168">
        <f t="shared" ref="B6254:B6259" ca="1" si="572">IF(C6254&lt;&gt;0,IF(B6254=0,NOW(),B6254),)</f>
        <v>46037.848938310184</v>
      </c>
      <c r="C6254" s="76" t="s">
        <v>830</v>
      </c>
      <c r="D6254" s="76" t="s">
        <v>902</v>
      </c>
      <c r="E6254" s="169" t="s">
        <v>1703</v>
      </c>
      <c r="F6254" s="169"/>
      <c r="G6254" s="169"/>
    </row>
    <row r="6255" spans="1:7">
      <c r="A6255" s="167">
        <f t="shared" ca="1" si="571"/>
        <v>46037</v>
      </c>
      <c r="B6255" s="168">
        <f t="shared" ca="1" si="572"/>
        <v>46037.849349537035</v>
      </c>
      <c r="C6255" s="76" t="s">
        <v>830</v>
      </c>
      <c r="D6255" s="210" t="s">
        <v>922</v>
      </c>
      <c r="E6255" s="169"/>
      <c r="F6255" s="169"/>
      <c r="G6255" s="169"/>
    </row>
    <row r="6256" spans="1:7">
      <c r="A6256" s="176">
        <f t="shared" ca="1" si="571"/>
        <v>46037</v>
      </c>
      <c r="B6256" s="177">
        <f t="shared" ca="1" si="572"/>
        <v>46037.862791435182</v>
      </c>
      <c r="C6256" s="150" t="s">
        <v>830</v>
      </c>
      <c r="D6256" s="210" t="s">
        <v>1098</v>
      </c>
      <c r="E6256" s="169"/>
      <c r="F6256" s="169"/>
      <c r="G6256" s="169"/>
    </row>
    <row r="6257" spans="1:7">
      <c r="A6257" s="176">
        <f t="shared" ca="1" si="571"/>
        <v>46037</v>
      </c>
      <c r="B6257" s="177">
        <f t="shared" ca="1" si="572"/>
        <v>46037.938684375004</v>
      </c>
      <c r="C6257" s="150" t="s">
        <v>834</v>
      </c>
      <c r="D6257" s="210" t="s">
        <v>906</v>
      </c>
      <c r="E6257" s="169"/>
      <c r="F6257" s="169"/>
      <c r="G6257" s="169"/>
    </row>
    <row r="6258" spans="1:7">
      <c r="A6258" s="167">
        <f t="shared" ca="1" si="571"/>
        <v>46037</v>
      </c>
      <c r="B6258" s="168">
        <f t="shared" ca="1" si="572"/>
        <v>46037.982226504631</v>
      </c>
      <c r="C6258" s="76" t="s">
        <v>834</v>
      </c>
      <c r="D6258" s="210" t="s">
        <v>909</v>
      </c>
      <c r="E6258" s="169"/>
      <c r="F6258" s="169"/>
      <c r="G6258" s="169"/>
    </row>
    <row r="6259" spans="1:7">
      <c r="A6259" s="167">
        <f t="shared" ca="1" si="571"/>
        <v>46037</v>
      </c>
      <c r="B6259" s="168">
        <f t="shared" ca="1" si="572"/>
        <v>46037.983196990739</v>
      </c>
      <c r="C6259" s="76" t="s">
        <v>834</v>
      </c>
      <c r="D6259" s="76" t="s">
        <v>902</v>
      </c>
      <c r="E6259" s="169" t="s">
        <v>1311</v>
      </c>
      <c r="F6259" s="169"/>
      <c r="G6259" s="169"/>
    </row>
    <row r="6260" spans="1:7">
      <c r="A6260" s="167">
        <f t="shared" ref="A6260:A6267" ca="1" si="573">IF(C6260&lt;&gt;0,IF(A6260=0,TODAY(),A6260),)</f>
        <v>46037</v>
      </c>
      <c r="B6260" s="168">
        <f t="shared" ref="B6260:B6267" ca="1" si="574">IF(C6260&lt;&gt;0,IF(B6260=0,NOW(),B6260),)</f>
        <v>46037.987075925928</v>
      </c>
      <c r="C6260" s="76" t="s">
        <v>834</v>
      </c>
      <c r="D6260" s="76" t="s">
        <v>902</v>
      </c>
      <c r="E6260" s="169" t="s">
        <v>1063</v>
      </c>
      <c r="F6260" s="169"/>
      <c r="G6260" s="169"/>
    </row>
    <row r="6261" spans="1:7">
      <c r="A6261" s="167">
        <f t="shared" ca="1" si="573"/>
        <v>46037</v>
      </c>
      <c r="B6261" s="168">
        <f t="shared" ca="1" si="574"/>
        <v>46037.988873842594</v>
      </c>
      <c r="C6261" s="76" t="s">
        <v>834</v>
      </c>
      <c r="D6261" s="76" t="s">
        <v>902</v>
      </c>
      <c r="E6261" s="169" t="s">
        <v>3344</v>
      </c>
      <c r="F6261" s="169"/>
      <c r="G6261" s="169"/>
    </row>
    <row r="6262" spans="1:7">
      <c r="A6262" s="167">
        <f t="shared" ca="1" si="573"/>
        <v>46037</v>
      </c>
      <c r="B6262" s="168">
        <f t="shared" ca="1" si="574"/>
        <v>46037.992142013885</v>
      </c>
      <c r="C6262" s="76" t="s">
        <v>834</v>
      </c>
      <c r="D6262" s="76" t="s">
        <v>902</v>
      </c>
      <c r="E6262" s="169" t="s">
        <v>1311</v>
      </c>
      <c r="F6262" s="169"/>
      <c r="G6262" s="169"/>
    </row>
    <row r="6263" spans="1:7">
      <c r="A6263" s="167">
        <f t="shared" ca="1" si="573"/>
        <v>46037</v>
      </c>
      <c r="B6263" s="168">
        <f t="shared" ca="1" si="574"/>
        <v>46037.998594907411</v>
      </c>
      <c r="C6263" s="76" t="s">
        <v>834</v>
      </c>
      <c r="D6263" s="76" t="s">
        <v>902</v>
      </c>
      <c r="E6263" s="169" t="s">
        <v>1311</v>
      </c>
      <c r="F6263" s="169"/>
      <c r="G6263" s="169"/>
    </row>
    <row r="6264" spans="1:7">
      <c r="A6264" s="167">
        <f t="shared" ca="1" si="573"/>
        <v>46038</v>
      </c>
      <c r="B6264" s="168">
        <f t="shared" ca="1" si="574"/>
        <v>46038.001443055553</v>
      </c>
      <c r="C6264" s="76" t="s">
        <v>834</v>
      </c>
      <c r="D6264" s="76" t="s">
        <v>902</v>
      </c>
      <c r="E6264" s="169" t="s">
        <v>1370</v>
      </c>
      <c r="F6264" s="169"/>
      <c r="G6264" s="169"/>
    </row>
    <row r="6265" spans="1:7">
      <c r="A6265" s="167">
        <f t="shared" ca="1" si="573"/>
        <v>46038</v>
      </c>
      <c r="B6265" s="168">
        <f t="shared" ca="1" si="574"/>
        <v>46038.004524305557</v>
      </c>
      <c r="C6265" s="79" t="s">
        <v>834</v>
      </c>
      <c r="D6265" s="76" t="s">
        <v>902</v>
      </c>
      <c r="E6265" s="169" t="s">
        <v>2956</v>
      </c>
      <c r="F6265" s="169"/>
      <c r="G6265" s="169"/>
    </row>
    <row r="6266" spans="1:7">
      <c r="A6266" s="167">
        <f t="shared" ca="1" si="573"/>
        <v>46038</v>
      </c>
      <c r="B6266" s="168">
        <f t="shared" ca="1" si="574"/>
        <v>46038.005235648146</v>
      </c>
      <c r="C6266" s="76" t="s">
        <v>834</v>
      </c>
      <c r="D6266" s="76" t="s">
        <v>902</v>
      </c>
      <c r="E6266" s="169" t="s">
        <v>1311</v>
      </c>
      <c r="F6266" s="169"/>
      <c r="G6266" s="169"/>
    </row>
    <row r="6267" spans="1:7">
      <c r="A6267" s="167">
        <f t="shared" ca="1" si="573"/>
        <v>46038</v>
      </c>
      <c r="B6267" s="168">
        <f t="shared" ca="1" si="574"/>
        <v>46038.006326967596</v>
      </c>
      <c r="C6267" s="76" t="s">
        <v>834</v>
      </c>
      <c r="D6267" s="76" t="s">
        <v>902</v>
      </c>
      <c r="E6267" s="169" t="s">
        <v>1277</v>
      </c>
      <c r="F6267" s="169" t="s">
        <v>1003</v>
      </c>
      <c r="G6267" s="169"/>
    </row>
    <row r="6268" spans="1:7">
      <c r="A6268" s="167">
        <f t="shared" ref="A6268:A6288" ca="1" si="575">IF(C6268&lt;&gt;0,IF(A6268=0,TODAY(),A6268),)</f>
        <v>46038</v>
      </c>
      <c r="B6268" s="168">
        <f t="shared" ref="B6268:B6281" ca="1" si="576">IF(C6268&lt;&gt;0,IF(B6268=0,NOW(),B6268),)</f>
        <v>46038.009756018517</v>
      </c>
      <c r="C6268" s="76" t="s">
        <v>834</v>
      </c>
      <c r="D6268" s="76" t="s">
        <v>902</v>
      </c>
      <c r="E6268" s="169" t="s">
        <v>3313</v>
      </c>
      <c r="F6268" s="169" t="s">
        <v>1003</v>
      </c>
      <c r="G6268" s="169"/>
    </row>
    <row r="6269" spans="1:7">
      <c r="A6269" s="167">
        <f t="shared" ca="1" si="575"/>
        <v>46038</v>
      </c>
      <c r="B6269" s="168">
        <f t="shared" ca="1" si="576"/>
        <v>46038.014500578705</v>
      </c>
      <c r="C6269" s="76" t="s">
        <v>834</v>
      </c>
      <c r="D6269" s="76" t="s">
        <v>902</v>
      </c>
      <c r="E6269" s="169" t="s">
        <v>1805</v>
      </c>
      <c r="F6269" s="169"/>
      <c r="G6269" s="169"/>
    </row>
    <row r="6270" spans="1:7">
      <c r="A6270" s="167">
        <f t="shared" ca="1" si="575"/>
        <v>46038</v>
      </c>
      <c r="B6270" s="168">
        <f t="shared" ca="1" si="576"/>
        <v>46038.014682638888</v>
      </c>
      <c r="C6270" s="76" t="s">
        <v>834</v>
      </c>
      <c r="D6270" s="76" t="s">
        <v>902</v>
      </c>
      <c r="E6270" s="169" t="s">
        <v>3345</v>
      </c>
      <c r="F6270" s="169"/>
      <c r="G6270" s="169"/>
    </row>
    <row r="6271" spans="1:7">
      <c r="A6271" s="167">
        <f t="shared" ca="1" si="575"/>
        <v>46038</v>
      </c>
      <c r="B6271" s="168">
        <f t="shared" ca="1" si="576"/>
        <v>46038.015639699071</v>
      </c>
      <c r="C6271" s="76" t="s">
        <v>834</v>
      </c>
      <c r="D6271" s="76" t="s">
        <v>902</v>
      </c>
      <c r="E6271" s="169" t="s">
        <v>1277</v>
      </c>
      <c r="F6271" s="169" t="s">
        <v>1003</v>
      </c>
      <c r="G6271" s="169"/>
    </row>
    <row r="6272" spans="1:7">
      <c r="A6272" s="167">
        <f t="shared" ca="1" si="575"/>
        <v>46038</v>
      </c>
      <c r="B6272" s="168">
        <f t="shared" ca="1" si="576"/>
        <v>46038.015673842594</v>
      </c>
      <c r="C6272" s="76" t="s">
        <v>834</v>
      </c>
      <c r="D6272" s="76" t="s">
        <v>902</v>
      </c>
      <c r="E6272" s="169" t="s">
        <v>980</v>
      </c>
      <c r="F6272" s="169"/>
      <c r="G6272" s="169"/>
    </row>
    <row r="6273" spans="1:7">
      <c r="A6273" s="167">
        <f t="shared" ca="1" si="575"/>
        <v>46038</v>
      </c>
      <c r="B6273" s="168">
        <f t="shared" ca="1" si="576"/>
        <v>46038.015888888891</v>
      </c>
      <c r="C6273" s="76" t="s">
        <v>834</v>
      </c>
      <c r="D6273" s="76" t="s">
        <v>902</v>
      </c>
      <c r="E6273" s="169" t="s">
        <v>3313</v>
      </c>
      <c r="F6273" s="169" t="s">
        <v>1003</v>
      </c>
      <c r="G6273" s="169"/>
    </row>
    <row r="6274" spans="1:7">
      <c r="A6274" s="167">
        <f t="shared" ca="1" si="575"/>
        <v>46038</v>
      </c>
      <c r="B6274" s="168">
        <f t="shared" ca="1" si="576"/>
        <v>46038.016522106482</v>
      </c>
      <c r="C6274" s="76" t="s">
        <v>834</v>
      </c>
      <c r="D6274" s="76" t="s">
        <v>902</v>
      </c>
      <c r="E6274" s="169" t="s">
        <v>1504</v>
      </c>
      <c r="F6274" s="169"/>
      <c r="G6274" s="169"/>
    </row>
    <row r="6275" spans="1:7">
      <c r="A6275" s="167">
        <f t="shared" ca="1" si="575"/>
        <v>46038</v>
      </c>
      <c r="B6275" s="168">
        <f t="shared" ca="1" si="576"/>
        <v>46038.018641087961</v>
      </c>
      <c r="C6275" s="76" t="s">
        <v>834</v>
      </c>
      <c r="D6275" s="76" t="s">
        <v>902</v>
      </c>
      <c r="E6275" s="169" t="s">
        <v>3346</v>
      </c>
      <c r="F6275" s="169"/>
      <c r="G6275" s="169"/>
    </row>
    <row r="6276" spans="1:7">
      <c r="A6276" s="167">
        <f t="shared" ca="1" si="575"/>
        <v>46038</v>
      </c>
      <c r="B6276" s="168">
        <f t="shared" ca="1" si="576"/>
        <v>46038.018763657405</v>
      </c>
      <c r="C6276" s="76" t="s">
        <v>834</v>
      </c>
      <c r="D6276" s="76" t="s">
        <v>902</v>
      </c>
      <c r="E6276" s="169" t="s">
        <v>1504</v>
      </c>
      <c r="F6276" s="169"/>
      <c r="G6276" s="169"/>
    </row>
    <row r="6277" spans="1:7">
      <c r="A6277" s="167">
        <f t="shared" ca="1" si="575"/>
        <v>46038</v>
      </c>
      <c r="B6277" s="168">
        <f t="shared" ca="1" si="576"/>
        <v>46038.02020590278</v>
      </c>
      <c r="C6277" s="76" t="s">
        <v>834</v>
      </c>
      <c r="D6277" s="76" t="s">
        <v>902</v>
      </c>
      <c r="E6277" s="169" t="s">
        <v>2166</v>
      </c>
      <c r="F6277" s="169" t="s">
        <v>1280</v>
      </c>
      <c r="G6277" s="169"/>
    </row>
    <row r="6278" spans="1:7">
      <c r="A6278" s="167">
        <f t="shared" ca="1" si="575"/>
        <v>46038</v>
      </c>
      <c r="B6278" s="168">
        <f t="shared" ca="1" si="576"/>
        <v>46038.025442824073</v>
      </c>
      <c r="C6278" s="76" t="s">
        <v>834</v>
      </c>
      <c r="D6278" s="76" t="s">
        <v>902</v>
      </c>
      <c r="E6278" s="169" t="s">
        <v>3347</v>
      </c>
      <c r="F6278" s="169"/>
      <c r="G6278" s="169"/>
    </row>
    <row r="6279" spans="1:7">
      <c r="A6279" s="167">
        <f t="shared" ca="1" si="575"/>
        <v>46038</v>
      </c>
      <c r="B6279" s="168">
        <f t="shared" ca="1" si="576"/>
        <v>46038.032614236108</v>
      </c>
      <c r="C6279" s="76" t="s">
        <v>834</v>
      </c>
      <c r="D6279" s="76" t="s">
        <v>902</v>
      </c>
      <c r="E6279" s="169" t="s">
        <v>1734</v>
      </c>
      <c r="F6279" s="169"/>
      <c r="G6279" s="169"/>
    </row>
    <row r="6280" spans="1:7">
      <c r="A6280" s="167">
        <f t="shared" ca="1" si="575"/>
        <v>46038</v>
      </c>
      <c r="B6280" s="168">
        <f t="shared" ca="1" si="576"/>
        <v>46038.036713194444</v>
      </c>
      <c r="C6280" s="76" t="s">
        <v>834</v>
      </c>
      <c r="D6280" s="76" t="s">
        <v>902</v>
      </c>
      <c r="E6280" s="169" t="s">
        <v>3348</v>
      </c>
      <c r="F6280" s="169"/>
      <c r="G6280" s="169"/>
    </row>
    <row r="6281" spans="1:7">
      <c r="A6281" s="167">
        <f t="shared" ca="1" si="575"/>
        <v>46038</v>
      </c>
      <c r="B6281" s="168">
        <f t="shared" ca="1" si="576"/>
        <v>46038.051190509257</v>
      </c>
      <c r="C6281" s="76" t="s">
        <v>834</v>
      </c>
      <c r="D6281" s="76" t="s">
        <v>902</v>
      </c>
      <c r="E6281" s="169" t="s">
        <v>3349</v>
      </c>
      <c r="F6281" s="169"/>
      <c r="G6281" s="169"/>
    </row>
    <row r="6282" spans="1:7">
      <c r="A6282" s="167">
        <f t="shared" ca="1" si="575"/>
        <v>46038</v>
      </c>
      <c r="B6282" s="168">
        <f t="shared" ref="B6282:B6309" ca="1" si="577">IF(C6282&lt;&gt;0,IF(B6282=0,NOW(),B6282),)</f>
        <v>46038.060266782406</v>
      </c>
      <c r="C6282" s="76" t="s">
        <v>834</v>
      </c>
      <c r="D6282" s="76" t="s">
        <v>902</v>
      </c>
      <c r="E6282" s="169" t="s">
        <v>3350</v>
      </c>
      <c r="F6282" s="169"/>
      <c r="G6282" s="169"/>
    </row>
    <row r="6283" spans="1:7">
      <c r="A6283" s="167">
        <f t="shared" ca="1" si="575"/>
        <v>46038</v>
      </c>
      <c r="B6283" s="168">
        <f t="shared" ca="1" si="577"/>
        <v>46038.06089270833</v>
      </c>
      <c r="C6283" s="76" t="s">
        <v>834</v>
      </c>
      <c r="D6283" s="76" t="s">
        <v>902</v>
      </c>
      <c r="E6283" s="169" t="s">
        <v>2956</v>
      </c>
      <c r="F6283" s="169"/>
      <c r="G6283" s="169"/>
    </row>
    <row r="6284" spans="1:7">
      <c r="A6284" s="167">
        <f t="shared" ca="1" si="575"/>
        <v>46038</v>
      </c>
      <c r="B6284" s="168">
        <f t="shared" ca="1" si="577"/>
        <v>46038.061127546294</v>
      </c>
      <c r="C6284" s="76" t="s">
        <v>834</v>
      </c>
      <c r="D6284" s="76" t="s">
        <v>902</v>
      </c>
      <c r="E6284" s="169" t="s">
        <v>1734</v>
      </c>
      <c r="F6284" s="169"/>
      <c r="G6284" s="169"/>
    </row>
    <row r="6285" spans="1:7">
      <c r="A6285" s="167">
        <f t="shared" ca="1" si="575"/>
        <v>46038</v>
      </c>
      <c r="B6285" s="168">
        <f t="shared" ca="1" si="577"/>
        <v>46038.061680671293</v>
      </c>
      <c r="C6285" s="76" t="s">
        <v>834</v>
      </c>
      <c r="D6285" s="76" t="s">
        <v>902</v>
      </c>
      <c r="E6285" s="169" t="s">
        <v>1824</v>
      </c>
      <c r="F6285" s="169"/>
      <c r="G6285" s="169"/>
    </row>
    <row r="6286" spans="1:7">
      <c r="A6286" s="167">
        <f t="shared" ca="1" si="575"/>
        <v>46038</v>
      </c>
      <c r="B6286" s="168">
        <f t="shared" ca="1" si="577"/>
        <v>46038.062153935185</v>
      </c>
      <c r="C6286" s="76" t="s">
        <v>834</v>
      </c>
      <c r="D6286" s="210" t="s">
        <v>922</v>
      </c>
      <c r="E6286" s="169"/>
      <c r="F6286" s="169"/>
      <c r="G6286" s="169"/>
    </row>
    <row r="6287" spans="1:7">
      <c r="A6287" s="167">
        <f t="shared" ca="1" si="575"/>
        <v>46038</v>
      </c>
      <c r="B6287" s="168">
        <f t="shared" ca="1" si="577"/>
        <v>46038.07657164352</v>
      </c>
      <c r="C6287" s="76" t="s">
        <v>834</v>
      </c>
      <c r="D6287" s="210" t="s">
        <v>1098</v>
      </c>
      <c r="E6287" s="174" t="s">
        <v>3351</v>
      </c>
      <c r="F6287" s="169"/>
      <c r="G6287" s="169"/>
    </row>
    <row r="6288" spans="1:7">
      <c r="A6288" s="167">
        <f t="shared" ca="1" si="575"/>
        <v>46039</v>
      </c>
      <c r="B6288" s="168">
        <f t="shared" ca="1" si="577"/>
        <v>46039.227332175928</v>
      </c>
      <c r="C6288" s="76" t="s">
        <v>838</v>
      </c>
      <c r="D6288" s="210" t="s">
        <v>906</v>
      </c>
      <c r="E6288" s="169"/>
      <c r="F6288" s="169"/>
      <c r="G6288" s="169"/>
    </row>
    <row r="6289" spans="1:7">
      <c r="A6289" s="167">
        <f t="shared" ref="A6289:A6309" ca="1" si="578">IF(C6289&lt;&gt;0,IF(A6289=0,TODAY(),A6289),)</f>
        <v>46039</v>
      </c>
      <c r="B6289" s="168">
        <f t="shared" ca="1" si="577"/>
        <v>46039.256331828707</v>
      </c>
      <c r="C6289" s="76" t="s">
        <v>838</v>
      </c>
      <c r="D6289" s="210" t="s">
        <v>909</v>
      </c>
      <c r="E6289" s="169"/>
      <c r="F6289" s="169"/>
      <c r="G6289" s="169"/>
    </row>
    <row r="6290" spans="1:7">
      <c r="A6290" s="167">
        <f t="shared" ca="1" si="578"/>
        <v>46039</v>
      </c>
      <c r="B6290" s="168">
        <f t="shared" ca="1" si="577"/>
        <v>46039.258903125003</v>
      </c>
      <c r="C6290" s="76" t="s">
        <v>838</v>
      </c>
      <c r="D6290" s="76" t="s">
        <v>902</v>
      </c>
      <c r="E6290" s="169" t="s">
        <v>1864</v>
      </c>
      <c r="F6290" s="169"/>
      <c r="G6290" s="169"/>
    </row>
    <row r="6291" spans="1:7">
      <c r="A6291" s="167">
        <f t="shared" ca="1" si="578"/>
        <v>46039</v>
      </c>
      <c r="B6291" s="168">
        <f t="shared" ca="1" si="577"/>
        <v>46039.265878124999</v>
      </c>
      <c r="C6291" s="76" t="s">
        <v>838</v>
      </c>
      <c r="D6291" s="76" t="s">
        <v>902</v>
      </c>
      <c r="E6291" s="169" t="s">
        <v>1284</v>
      </c>
      <c r="F6291" s="169"/>
      <c r="G6291" s="169"/>
    </row>
    <row r="6292" spans="1:7">
      <c r="A6292" s="167">
        <f t="shared" ca="1" si="578"/>
        <v>46039</v>
      </c>
      <c r="B6292" s="168">
        <f t="shared" ca="1" si="577"/>
        <v>46039.270009490741</v>
      </c>
      <c r="C6292" s="76" t="s">
        <v>838</v>
      </c>
      <c r="D6292" s="76" t="s">
        <v>902</v>
      </c>
      <c r="E6292" s="169" t="s">
        <v>1016</v>
      </c>
      <c r="F6292" s="169"/>
      <c r="G6292" s="169"/>
    </row>
    <row r="6293" spans="1:7">
      <c r="A6293" s="167">
        <f t="shared" ca="1" si="578"/>
        <v>46039</v>
      </c>
      <c r="B6293" s="168">
        <f t="shared" ca="1" si="577"/>
        <v>46039.270964236108</v>
      </c>
      <c r="C6293" s="76" t="s">
        <v>838</v>
      </c>
      <c r="D6293" s="76" t="s">
        <v>902</v>
      </c>
      <c r="E6293" s="169" t="s">
        <v>1284</v>
      </c>
      <c r="F6293" s="169"/>
      <c r="G6293" s="169"/>
    </row>
    <row r="6294" spans="1:7">
      <c r="A6294" s="167">
        <f t="shared" ca="1" si="578"/>
        <v>46039</v>
      </c>
      <c r="B6294" s="168">
        <f t="shared" ca="1" si="577"/>
        <v>46039.271600694447</v>
      </c>
      <c r="C6294" s="76" t="s">
        <v>838</v>
      </c>
      <c r="D6294" s="76" t="s">
        <v>902</v>
      </c>
      <c r="E6294" s="169" t="s">
        <v>1864</v>
      </c>
      <c r="F6294" s="169"/>
      <c r="G6294" s="169"/>
    </row>
    <row r="6295" spans="1:7">
      <c r="A6295" s="167">
        <f t="shared" ca="1" si="578"/>
        <v>46039</v>
      </c>
      <c r="B6295" s="168">
        <f t="shared" ca="1" si="577"/>
        <v>46039.276046643521</v>
      </c>
      <c r="C6295" s="76" t="s">
        <v>838</v>
      </c>
      <c r="D6295" s="76" t="s">
        <v>902</v>
      </c>
      <c r="E6295" s="169" t="s">
        <v>1864</v>
      </c>
      <c r="F6295" s="169"/>
      <c r="G6295" s="169"/>
    </row>
    <row r="6296" spans="1:7">
      <c r="A6296" s="167">
        <f t="shared" ca="1" si="578"/>
        <v>46039</v>
      </c>
      <c r="B6296" s="168">
        <f t="shared" ca="1" si="577"/>
        <v>46039.277016435182</v>
      </c>
      <c r="C6296" s="76" t="s">
        <v>838</v>
      </c>
      <c r="D6296" s="76" t="s">
        <v>902</v>
      </c>
      <c r="E6296" s="169" t="s">
        <v>3352</v>
      </c>
      <c r="F6296" s="169"/>
      <c r="G6296" s="169"/>
    </row>
    <row r="6297" spans="1:7">
      <c r="A6297" s="167">
        <f t="shared" ca="1" si="578"/>
        <v>46039</v>
      </c>
      <c r="B6297" s="168">
        <f t="shared" ca="1" si="577"/>
        <v>46039.277167245367</v>
      </c>
      <c r="C6297" s="76" t="s">
        <v>838</v>
      </c>
      <c r="D6297" s="76" t="s">
        <v>902</v>
      </c>
      <c r="E6297" s="169" t="s">
        <v>3353</v>
      </c>
      <c r="F6297" s="169"/>
      <c r="G6297" s="169"/>
    </row>
    <row r="6298" spans="1:7">
      <c r="A6298" s="167">
        <f t="shared" ca="1" si="578"/>
        <v>46039</v>
      </c>
      <c r="B6298" s="168">
        <f t="shared" ca="1" si="577"/>
        <v>46039.28165034722</v>
      </c>
      <c r="C6298" s="76" t="s">
        <v>838</v>
      </c>
      <c r="D6298" s="76" t="s">
        <v>902</v>
      </c>
      <c r="E6298" s="169" t="s">
        <v>1064</v>
      </c>
      <c r="F6298" s="169"/>
      <c r="G6298" s="169"/>
    </row>
    <row r="6299" spans="1:7">
      <c r="A6299" s="167">
        <f t="shared" ca="1" si="578"/>
        <v>46039</v>
      </c>
      <c r="B6299" s="168">
        <f t="shared" ca="1" si="577"/>
        <v>46039.283240509256</v>
      </c>
      <c r="C6299" s="76" t="s">
        <v>838</v>
      </c>
      <c r="D6299" s="76" t="s">
        <v>902</v>
      </c>
      <c r="E6299" s="169" t="s">
        <v>1045</v>
      </c>
      <c r="F6299" s="169"/>
      <c r="G6299" s="169"/>
    </row>
    <row r="6300" spans="1:7">
      <c r="A6300" s="167">
        <f t="shared" ca="1" si="578"/>
        <v>46039</v>
      </c>
      <c r="B6300" s="168">
        <f t="shared" ca="1" si="577"/>
        <v>46039.287244212966</v>
      </c>
      <c r="C6300" s="76" t="s">
        <v>838</v>
      </c>
      <c r="D6300" s="76" t="s">
        <v>902</v>
      </c>
      <c r="E6300" s="169" t="s">
        <v>1284</v>
      </c>
      <c r="F6300" s="169"/>
      <c r="G6300" s="169"/>
    </row>
    <row r="6301" spans="1:7">
      <c r="A6301" s="167">
        <f t="shared" ca="1" si="578"/>
        <v>46039</v>
      </c>
      <c r="B6301" s="168">
        <f t="shared" ca="1" si="577"/>
        <v>46039.290278587963</v>
      </c>
      <c r="C6301" s="76" t="s">
        <v>838</v>
      </c>
      <c r="D6301" s="76" t="s">
        <v>902</v>
      </c>
      <c r="E6301" s="169" t="s">
        <v>3354</v>
      </c>
      <c r="F6301" s="169"/>
      <c r="G6301" s="169" t="s">
        <v>3355</v>
      </c>
    </row>
    <row r="6302" spans="1:7">
      <c r="A6302" s="167">
        <f t="shared" ca="1" si="578"/>
        <v>46039</v>
      </c>
      <c r="B6302" s="168">
        <f t="shared" ca="1" si="577"/>
        <v>46039.291969444443</v>
      </c>
      <c r="C6302" s="76" t="s">
        <v>838</v>
      </c>
      <c r="D6302" s="76" t="s">
        <v>902</v>
      </c>
      <c r="E6302" s="169" t="s">
        <v>2239</v>
      </c>
      <c r="F6302" s="169"/>
      <c r="G6302" s="169"/>
    </row>
    <row r="6303" spans="1:7">
      <c r="A6303" s="167">
        <f t="shared" ca="1" si="578"/>
        <v>46039</v>
      </c>
      <c r="B6303" s="168">
        <f t="shared" ca="1" si="577"/>
        <v>46039.293421875002</v>
      </c>
      <c r="C6303" s="76" t="s">
        <v>838</v>
      </c>
      <c r="D6303" s="76" t="s">
        <v>902</v>
      </c>
      <c r="E6303" s="169" t="s">
        <v>1045</v>
      </c>
      <c r="F6303" s="169"/>
      <c r="G6303" s="169"/>
    </row>
    <row r="6304" spans="1:7">
      <c r="A6304" s="167">
        <f t="shared" ca="1" si="578"/>
        <v>46039</v>
      </c>
      <c r="B6304" s="168">
        <f t="shared" ca="1" si="577"/>
        <v>46039.296361689812</v>
      </c>
      <c r="C6304" s="76" t="s">
        <v>838</v>
      </c>
      <c r="D6304" s="76" t="s">
        <v>902</v>
      </c>
      <c r="E6304" s="169" t="s">
        <v>1521</v>
      </c>
      <c r="F6304" s="169"/>
      <c r="G6304" s="169"/>
    </row>
    <row r="6305" spans="1:7">
      <c r="A6305" s="167">
        <f t="shared" ca="1" si="578"/>
        <v>46039</v>
      </c>
      <c r="B6305" s="168">
        <f t="shared" ca="1" si="577"/>
        <v>46039.298557175927</v>
      </c>
      <c r="C6305" s="76" t="s">
        <v>838</v>
      </c>
      <c r="D6305" s="76" t="s">
        <v>902</v>
      </c>
      <c r="E6305" s="169" t="s">
        <v>3356</v>
      </c>
      <c r="F6305" s="169"/>
      <c r="G6305" s="169"/>
    </row>
    <row r="6306" spans="1:7">
      <c r="A6306" s="167">
        <f t="shared" ca="1" si="578"/>
        <v>46039</v>
      </c>
      <c r="B6306" s="168">
        <f t="shared" ca="1" si="577"/>
        <v>46039.301666319443</v>
      </c>
      <c r="C6306" s="76" t="s">
        <v>838</v>
      </c>
      <c r="D6306" s="76" t="s">
        <v>902</v>
      </c>
      <c r="E6306" s="169" t="s">
        <v>3357</v>
      </c>
      <c r="F6306" s="169"/>
      <c r="G6306" s="169"/>
    </row>
    <row r="6307" spans="1:7">
      <c r="A6307" s="167">
        <f t="shared" ca="1" si="578"/>
        <v>46039</v>
      </c>
      <c r="B6307" s="168">
        <f t="shared" ca="1" si="577"/>
        <v>46039.304059953705</v>
      </c>
      <c r="C6307" s="76" t="s">
        <v>838</v>
      </c>
      <c r="D6307" s="76" t="s">
        <v>902</v>
      </c>
      <c r="E6307" s="169" t="s">
        <v>3358</v>
      </c>
      <c r="F6307" s="169"/>
      <c r="G6307" s="169"/>
    </row>
    <row r="6308" spans="1:7">
      <c r="A6308" s="167">
        <f t="shared" ca="1" si="578"/>
        <v>46039</v>
      </c>
      <c r="B6308" s="168">
        <f t="shared" ca="1" si="577"/>
        <v>46039.306778703707</v>
      </c>
      <c r="C6308" s="76" t="s">
        <v>838</v>
      </c>
      <c r="D6308" s="76" t="s">
        <v>902</v>
      </c>
      <c r="E6308" s="169" t="s">
        <v>2411</v>
      </c>
      <c r="F6308" s="169"/>
      <c r="G6308" s="169"/>
    </row>
    <row r="6309" spans="1:7">
      <c r="A6309" s="167">
        <f t="shared" ca="1" si="578"/>
        <v>46039</v>
      </c>
      <c r="B6309" s="168">
        <f t="shared" ca="1" si="577"/>
        <v>46039.309459143522</v>
      </c>
      <c r="C6309" s="76" t="s">
        <v>838</v>
      </c>
      <c r="D6309" s="76" t="s">
        <v>902</v>
      </c>
      <c r="E6309" s="169" t="s">
        <v>1242</v>
      </c>
      <c r="F6309" s="169"/>
      <c r="G6309" s="169"/>
    </row>
    <row r="6310" spans="1:7">
      <c r="A6310" s="167">
        <f t="shared" ref="A6310:A6372" ca="1" si="579">IF(C6310&lt;&gt;0,IF(A6310=0,TODAY(),A6310),)</f>
        <v>46039</v>
      </c>
      <c r="B6310" s="168">
        <f t="shared" ref="B6310:B6372" ca="1" si="580">IF(C6310&lt;&gt;0,IF(B6310=0,NOW(),B6310),)</f>
        <v>46039.312489351854</v>
      </c>
      <c r="C6310" s="76" t="s">
        <v>838</v>
      </c>
      <c r="D6310" s="76" t="s">
        <v>902</v>
      </c>
      <c r="E6310" s="169" t="s">
        <v>2748</v>
      </c>
      <c r="F6310" s="169"/>
      <c r="G6310" s="169"/>
    </row>
    <row r="6311" spans="1:7">
      <c r="A6311" s="167">
        <f t="shared" ca="1" si="579"/>
        <v>46039</v>
      </c>
      <c r="B6311" s="168">
        <f t="shared" ca="1" si="580"/>
        <v>46039.317457523146</v>
      </c>
      <c r="C6311" s="76" t="s">
        <v>838</v>
      </c>
      <c r="D6311" s="76" t="s">
        <v>902</v>
      </c>
      <c r="E6311" s="169" t="s">
        <v>1284</v>
      </c>
      <c r="F6311" s="169"/>
      <c r="G6311" s="169"/>
    </row>
    <row r="6312" spans="1:7">
      <c r="A6312" s="167">
        <f t="shared" ca="1" si="579"/>
        <v>46039</v>
      </c>
      <c r="B6312" s="168">
        <f t="shared" ca="1" si="580"/>
        <v>46039.322040046296</v>
      </c>
      <c r="C6312" s="76" t="s">
        <v>838</v>
      </c>
      <c r="D6312" s="76" t="s">
        <v>902</v>
      </c>
      <c r="E6312" s="169" t="s">
        <v>2748</v>
      </c>
      <c r="F6312" s="169"/>
      <c r="G6312" s="169"/>
    </row>
    <row r="6313" spans="1:7">
      <c r="A6313" s="167">
        <f t="shared" ca="1" si="579"/>
        <v>46039</v>
      </c>
      <c r="B6313" s="168">
        <f t="shared" ca="1" si="580"/>
        <v>46039.324106134256</v>
      </c>
      <c r="C6313" s="76" t="s">
        <v>838</v>
      </c>
      <c r="D6313" s="76" t="s">
        <v>902</v>
      </c>
      <c r="E6313" s="169" t="s">
        <v>2748</v>
      </c>
      <c r="F6313" s="169"/>
      <c r="G6313" s="169"/>
    </row>
    <row r="6314" spans="1:7">
      <c r="A6314" s="167">
        <f t="shared" ca="1" si="579"/>
        <v>46039</v>
      </c>
      <c r="B6314" s="168">
        <f t="shared" ca="1" si="580"/>
        <v>46039.324223842596</v>
      </c>
      <c r="C6314" s="76" t="s">
        <v>838</v>
      </c>
      <c r="D6314" s="76" t="s">
        <v>902</v>
      </c>
      <c r="E6314" s="169" t="s">
        <v>1284</v>
      </c>
      <c r="F6314" s="169"/>
      <c r="G6314" s="169"/>
    </row>
    <row r="6315" spans="1:7">
      <c r="A6315" s="167">
        <f t="shared" ca="1" si="579"/>
        <v>46039</v>
      </c>
      <c r="B6315" s="168">
        <f t="shared" ca="1" si="580"/>
        <v>46039.325121527778</v>
      </c>
      <c r="C6315" s="76" t="s">
        <v>838</v>
      </c>
      <c r="D6315" s="76" t="s">
        <v>902</v>
      </c>
      <c r="E6315" s="169" t="s">
        <v>1345</v>
      </c>
      <c r="F6315" s="169"/>
      <c r="G6315" s="169"/>
    </row>
    <row r="6316" spans="1:7">
      <c r="A6316" s="167">
        <f t="shared" ca="1" si="579"/>
        <v>46039</v>
      </c>
      <c r="B6316" s="168">
        <f t="shared" ca="1" si="580"/>
        <v>46039.326267708333</v>
      </c>
      <c r="C6316" s="76" t="s">
        <v>838</v>
      </c>
      <c r="D6316" s="76" t="s">
        <v>902</v>
      </c>
      <c r="E6316" s="169" t="s">
        <v>1284</v>
      </c>
      <c r="F6316" s="169"/>
      <c r="G6316" s="169"/>
    </row>
    <row r="6317" spans="1:7">
      <c r="A6317" s="167">
        <f t="shared" ca="1" si="579"/>
        <v>46039</v>
      </c>
      <c r="B6317" s="168">
        <f t="shared" ca="1" si="580"/>
        <v>46039.326912962963</v>
      </c>
      <c r="C6317" s="76" t="s">
        <v>838</v>
      </c>
      <c r="D6317" s="76" t="s">
        <v>902</v>
      </c>
      <c r="E6317" s="169" t="s">
        <v>3359</v>
      </c>
      <c r="F6317" s="169"/>
      <c r="G6317" s="169"/>
    </row>
    <row r="6318" spans="1:7">
      <c r="A6318" s="167">
        <f t="shared" ca="1" si="579"/>
        <v>46039</v>
      </c>
      <c r="B6318" s="168">
        <f t="shared" ca="1" si="580"/>
        <v>46039.327271643517</v>
      </c>
      <c r="C6318" s="76" t="s">
        <v>838</v>
      </c>
      <c r="D6318" s="76" t="s">
        <v>902</v>
      </c>
      <c r="E6318" s="169" t="s">
        <v>1504</v>
      </c>
      <c r="F6318" s="169"/>
      <c r="G6318" s="169"/>
    </row>
    <row r="6319" spans="1:7">
      <c r="A6319" s="167">
        <f t="shared" ca="1" si="579"/>
        <v>46039</v>
      </c>
      <c r="B6319" s="168">
        <f t="shared" ca="1" si="580"/>
        <v>46039.328147453707</v>
      </c>
      <c r="C6319" s="76" t="s">
        <v>838</v>
      </c>
      <c r="D6319" s="76" t="s">
        <v>902</v>
      </c>
      <c r="E6319" s="169" t="s">
        <v>1284</v>
      </c>
      <c r="F6319" s="169"/>
      <c r="G6319" s="169"/>
    </row>
    <row r="6320" spans="1:7">
      <c r="A6320" s="167">
        <f t="shared" ca="1" si="579"/>
        <v>46039</v>
      </c>
      <c r="B6320" s="168">
        <f t="shared" ca="1" si="580"/>
        <v>46039.341717129631</v>
      </c>
      <c r="C6320" s="76" t="s">
        <v>838</v>
      </c>
      <c r="D6320" s="76" t="s">
        <v>902</v>
      </c>
      <c r="E6320" s="29" t="s">
        <v>1504</v>
      </c>
      <c r="F6320" s="169"/>
      <c r="G6320" s="169"/>
    </row>
    <row r="6321" spans="1:7">
      <c r="A6321" s="167">
        <f t="shared" ca="1" si="579"/>
        <v>46039</v>
      </c>
      <c r="B6321" s="168">
        <f t="shared" ca="1" si="580"/>
        <v>46039.34464988426</v>
      </c>
      <c r="C6321" s="76" t="s">
        <v>838</v>
      </c>
      <c r="D6321" s="76" t="s">
        <v>902</v>
      </c>
      <c r="E6321" s="29" t="s">
        <v>1504</v>
      </c>
      <c r="F6321" s="169"/>
      <c r="G6321" s="169"/>
    </row>
    <row r="6322" spans="1:7">
      <c r="A6322" s="167">
        <f t="shared" ca="1" si="579"/>
        <v>46039</v>
      </c>
      <c r="B6322" s="168">
        <f t="shared" ca="1" si="580"/>
        <v>46039.348283217594</v>
      </c>
      <c r="C6322" s="76" t="s">
        <v>838</v>
      </c>
      <c r="D6322" s="76" t="s">
        <v>902</v>
      </c>
      <c r="E6322" s="169" t="s">
        <v>3360</v>
      </c>
      <c r="F6322" s="169"/>
      <c r="G6322" s="169"/>
    </row>
    <row r="6323" spans="1:7">
      <c r="A6323" s="167">
        <f t="shared" ca="1" si="579"/>
        <v>46039</v>
      </c>
      <c r="B6323" s="168">
        <f t="shared" ca="1" si="580"/>
        <v>46039.349069560187</v>
      </c>
      <c r="C6323" s="76" t="s">
        <v>838</v>
      </c>
      <c r="D6323" s="76" t="s">
        <v>902</v>
      </c>
      <c r="E6323" s="169" t="s">
        <v>3361</v>
      </c>
      <c r="F6323" s="169"/>
      <c r="G6323" s="169"/>
    </row>
    <row r="6324" spans="1:7">
      <c r="A6324" s="167">
        <f t="shared" ca="1" si="579"/>
        <v>46039</v>
      </c>
      <c r="B6324" s="168">
        <f t="shared" ca="1" si="580"/>
        <v>46039.351074305552</v>
      </c>
      <c r="C6324" s="76" t="s">
        <v>838</v>
      </c>
      <c r="D6324" s="76" t="s">
        <v>902</v>
      </c>
      <c r="E6324" s="169" t="s">
        <v>3362</v>
      </c>
      <c r="F6324" s="169"/>
      <c r="G6324" s="169"/>
    </row>
    <row r="6325" spans="1:7">
      <c r="A6325" s="167">
        <f t="shared" ca="1" si="579"/>
        <v>46039</v>
      </c>
      <c r="B6325" s="168">
        <f t="shared" ca="1" si="580"/>
        <v>46039.353161458333</v>
      </c>
      <c r="C6325" s="76" t="s">
        <v>838</v>
      </c>
      <c r="D6325" s="76" t="s">
        <v>902</v>
      </c>
      <c r="E6325" s="169" t="s">
        <v>1016</v>
      </c>
      <c r="F6325" s="169"/>
      <c r="G6325" s="169"/>
    </row>
    <row r="6326" spans="1:7">
      <c r="A6326" s="167">
        <f t="shared" ca="1" si="579"/>
        <v>46039</v>
      </c>
      <c r="B6326" s="168">
        <f t="shared" ca="1" si="580"/>
        <v>46039.354336226854</v>
      </c>
      <c r="C6326" s="76" t="s">
        <v>838</v>
      </c>
      <c r="D6326" s="76" t="s">
        <v>902</v>
      </c>
      <c r="E6326" s="169" t="s">
        <v>2239</v>
      </c>
      <c r="F6326" s="169"/>
      <c r="G6326" s="169"/>
    </row>
    <row r="6327" spans="1:7">
      <c r="A6327" s="167">
        <f t="shared" ca="1" si="579"/>
        <v>46039</v>
      </c>
      <c r="B6327" s="168">
        <f t="shared" ca="1" si="580"/>
        <v>46039.354791087964</v>
      </c>
      <c r="C6327" s="76" t="s">
        <v>838</v>
      </c>
      <c r="D6327" s="76" t="s">
        <v>902</v>
      </c>
      <c r="E6327" s="169" t="s">
        <v>3363</v>
      </c>
      <c r="F6327" s="169"/>
      <c r="G6327" s="169"/>
    </row>
    <row r="6328" spans="1:7">
      <c r="A6328" s="167">
        <f t="shared" ca="1" si="579"/>
        <v>46039</v>
      </c>
      <c r="B6328" s="168">
        <f t="shared" ca="1" si="580"/>
        <v>46039.355315856483</v>
      </c>
      <c r="C6328" s="76" t="s">
        <v>838</v>
      </c>
      <c r="D6328" s="76" t="s">
        <v>902</v>
      </c>
      <c r="E6328" s="169" t="s">
        <v>3364</v>
      </c>
      <c r="F6328" s="169"/>
      <c r="G6328" s="169"/>
    </row>
    <row r="6329" spans="1:7">
      <c r="A6329" s="167">
        <f t="shared" ca="1" si="579"/>
        <v>46039</v>
      </c>
      <c r="B6329" s="168">
        <f t="shared" ca="1" si="580"/>
        <v>46039.356079398145</v>
      </c>
      <c r="C6329" s="76" t="s">
        <v>838</v>
      </c>
      <c r="D6329" s="76" t="s">
        <v>902</v>
      </c>
      <c r="E6329" s="169" t="s">
        <v>3364</v>
      </c>
      <c r="F6329" s="169"/>
      <c r="G6329" s="169"/>
    </row>
    <row r="6330" spans="1:7">
      <c r="A6330" s="167">
        <f t="shared" ca="1" si="579"/>
        <v>46039</v>
      </c>
      <c r="B6330" s="168">
        <f t="shared" ca="1" si="580"/>
        <v>46039.359626041667</v>
      </c>
      <c r="C6330" s="76" t="s">
        <v>838</v>
      </c>
      <c r="D6330" s="76" t="s">
        <v>902</v>
      </c>
      <c r="E6330" s="169" t="s">
        <v>1284</v>
      </c>
      <c r="F6330" s="169"/>
      <c r="G6330" s="169"/>
    </row>
    <row r="6331" spans="1:7">
      <c r="A6331" s="167">
        <f t="shared" ca="1" si="579"/>
        <v>46039</v>
      </c>
      <c r="B6331" s="168">
        <f t="shared" ca="1" si="580"/>
        <v>46039.362569328703</v>
      </c>
      <c r="C6331" s="76" t="s">
        <v>838</v>
      </c>
      <c r="D6331" s="76" t="s">
        <v>902</v>
      </c>
      <c r="E6331" s="169" t="s">
        <v>1504</v>
      </c>
      <c r="F6331" s="169"/>
      <c r="G6331" s="169"/>
    </row>
    <row r="6332" spans="1:7">
      <c r="A6332" s="167">
        <f t="shared" ca="1" si="579"/>
        <v>46039</v>
      </c>
      <c r="B6332" s="168">
        <f t="shared" ca="1" si="580"/>
        <v>46039.364013194441</v>
      </c>
      <c r="C6332" s="76" t="s">
        <v>838</v>
      </c>
      <c r="D6332" s="76" t="s">
        <v>902</v>
      </c>
      <c r="E6332" s="169" t="s">
        <v>1284</v>
      </c>
      <c r="F6332" s="169"/>
      <c r="G6332" s="169"/>
    </row>
    <row r="6333" spans="1:7">
      <c r="A6333" s="167">
        <f t="shared" ca="1" si="579"/>
        <v>46039</v>
      </c>
      <c r="B6333" s="168">
        <f t="shared" ca="1" si="580"/>
        <v>46039.366583564813</v>
      </c>
      <c r="C6333" s="76" t="s">
        <v>838</v>
      </c>
      <c r="D6333" s="210" t="s">
        <v>922</v>
      </c>
      <c r="E6333" s="169" t="s">
        <v>3365</v>
      </c>
      <c r="F6333" s="169"/>
      <c r="G6333" s="169"/>
    </row>
    <row r="6334" spans="1:7">
      <c r="A6334" s="167">
        <f t="shared" ca="1" si="579"/>
        <v>46039</v>
      </c>
      <c r="B6334" s="168">
        <f t="shared" ca="1" si="580"/>
        <v>46039.385430439812</v>
      </c>
      <c r="C6334" s="76" t="s">
        <v>838</v>
      </c>
      <c r="D6334" s="210" t="s">
        <v>1098</v>
      </c>
      <c r="E6334" s="169"/>
      <c r="F6334" s="169"/>
      <c r="G6334" s="169"/>
    </row>
    <row r="6335" spans="1:7">
      <c r="A6335" s="167">
        <f t="shared" ca="1" si="579"/>
        <v>46039</v>
      </c>
      <c r="B6335" s="168">
        <f t="shared" ca="1" si="580"/>
        <v>46039.682842245369</v>
      </c>
      <c r="C6335" s="76" t="s">
        <v>843</v>
      </c>
      <c r="D6335" s="210" t="s">
        <v>906</v>
      </c>
      <c r="E6335" s="169"/>
      <c r="F6335" s="169"/>
      <c r="G6335" s="169"/>
    </row>
    <row r="6336" spans="1:7">
      <c r="A6336" s="167">
        <f t="shared" ca="1" si="579"/>
        <v>46039</v>
      </c>
      <c r="B6336" s="168">
        <v>0.7104166666666667</v>
      </c>
      <c r="C6336" s="76" t="s">
        <v>843</v>
      </c>
      <c r="D6336" s="210" t="s">
        <v>909</v>
      </c>
      <c r="E6336" s="169"/>
      <c r="F6336" s="169"/>
      <c r="G6336" s="169"/>
    </row>
    <row r="6337" spans="1:7">
      <c r="A6337" s="167">
        <f t="shared" ca="1" si="579"/>
        <v>46039</v>
      </c>
      <c r="B6337" s="168">
        <f t="shared" ca="1" si="580"/>
        <v>46039.725446296296</v>
      </c>
      <c r="C6337" s="76" t="s">
        <v>843</v>
      </c>
      <c r="D6337" s="76" t="s">
        <v>902</v>
      </c>
      <c r="E6337" s="169" t="s">
        <v>3366</v>
      </c>
      <c r="F6337" s="169"/>
      <c r="G6337" s="169"/>
    </row>
    <row r="6338" spans="1:7">
      <c r="A6338" s="167">
        <f t="shared" ca="1" si="579"/>
        <v>46039</v>
      </c>
      <c r="B6338" s="168">
        <f t="shared" ca="1" si="580"/>
        <v>46039.730449189818</v>
      </c>
      <c r="C6338" s="76" t="s">
        <v>843</v>
      </c>
      <c r="D6338" s="76" t="s">
        <v>902</v>
      </c>
      <c r="E6338" s="169" t="s">
        <v>3364</v>
      </c>
      <c r="F6338" s="169"/>
      <c r="G6338" s="169"/>
    </row>
    <row r="6339" spans="1:7">
      <c r="A6339" s="167">
        <f t="shared" ca="1" si="579"/>
        <v>46039</v>
      </c>
      <c r="B6339" s="168">
        <f t="shared" ca="1" si="580"/>
        <v>46039.730557870367</v>
      </c>
      <c r="C6339" s="76" t="s">
        <v>843</v>
      </c>
      <c r="D6339" s="76" t="s">
        <v>902</v>
      </c>
      <c r="E6339" s="169" t="s">
        <v>3364</v>
      </c>
      <c r="F6339" s="169"/>
      <c r="G6339" s="169"/>
    </row>
    <row r="6340" spans="1:7">
      <c r="A6340" s="167">
        <f t="shared" ca="1" si="579"/>
        <v>46039</v>
      </c>
      <c r="B6340" s="168">
        <f t="shared" ca="1" si="580"/>
        <v>46039.733173842593</v>
      </c>
      <c r="C6340" s="76" t="s">
        <v>843</v>
      </c>
      <c r="D6340" s="76" t="s">
        <v>902</v>
      </c>
      <c r="E6340" s="169" t="s">
        <v>932</v>
      </c>
      <c r="F6340" s="169"/>
      <c r="G6340" s="169"/>
    </row>
    <row r="6341" spans="1:7">
      <c r="A6341" s="167">
        <f t="shared" ca="1" si="579"/>
        <v>46039</v>
      </c>
      <c r="B6341" s="168">
        <f t="shared" ca="1" si="580"/>
        <v>46039.734972685183</v>
      </c>
      <c r="C6341" s="76" t="s">
        <v>843</v>
      </c>
      <c r="D6341" s="76" t="s">
        <v>902</v>
      </c>
      <c r="E6341" s="169" t="s">
        <v>3367</v>
      </c>
      <c r="F6341" s="169"/>
      <c r="G6341" s="169"/>
    </row>
    <row r="6342" spans="1:7">
      <c r="A6342" s="167">
        <f t="shared" ca="1" si="579"/>
        <v>46039</v>
      </c>
      <c r="B6342" s="168">
        <f t="shared" ca="1" si="580"/>
        <v>46039.739754861112</v>
      </c>
      <c r="C6342" s="76" t="s">
        <v>843</v>
      </c>
      <c r="D6342" s="76" t="s">
        <v>902</v>
      </c>
      <c r="E6342" s="169" t="s">
        <v>2040</v>
      </c>
      <c r="F6342" s="169"/>
      <c r="G6342" s="169"/>
    </row>
    <row r="6343" spans="1:7">
      <c r="A6343" s="167">
        <f t="shared" ca="1" si="579"/>
        <v>46039</v>
      </c>
      <c r="B6343" s="168">
        <f t="shared" ca="1" si="580"/>
        <v>46039.739954976852</v>
      </c>
      <c r="C6343" s="76" t="s">
        <v>843</v>
      </c>
      <c r="D6343" s="76" t="s">
        <v>902</v>
      </c>
      <c r="E6343" s="169" t="s">
        <v>2040</v>
      </c>
      <c r="F6343" s="169"/>
      <c r="G6343" s="169"/>
    </row>
    <row r="6344" spans="1:7">
      <c r="A6344" s="167">
        <f t="shared" ca="1" si="579"/>
        <v>46039</v>
      </c>
      <c r="B6344" s="168">
        <f t="shared" ca="1" si="580"/>
        <v>46039.748338425925</v>
      </c>
      <c r="C6344" s="76" t="s">
        <v>843</v>
      </c>
      <c r="D6344" s="76" t="s">
        <v>902</v>
      </c>
      <c r="E6344" s="169" t="s">
        <v>2040</v>
      </c>
      <c r="F6344" s="169"/>
      <c r="G6344" s="169"/>
    </row>
    <row r="6345" spans="1:7">
      <c r="A6345" s="167">
        <f t="shared" ca="1" si="579"/>
        <v>46039</v>
      </c>
      <c r="B6345" s="168">
        <f t="shared" ca="1" si="580"/>
        <v>46039.75125115741</v>
      </c>
      <c r="C6345" s="76" t="s">
        <v>843</v>
      </c>
      <c r="D6345" s="76" t="s">
        <v>902</v>
      </c>
      <c r="E6345" s="169" t="s">
        <v>996</v>
      </c>
      <c r="F6345" s="169"/>
      <c r="G6345" s="169"/>
    </row>
    <row r="6346" spans="1:7">
      <c r="A6346" s="167">
        <f t="shared" ca="1" si="579"/>
        <v>46039</v>
      </c>
      <c r="B6346" s="168">
        <f t="shared" ca="1" si="580"/>
        <v>46039.751820486112</v>
      </c>
      <c r="C6346" s="76" t="s">
        <v>843</v>
      </c>
      <c r="D6346" s="76" t="s">
        <v>902</v>
      </c>
      <c r="E6346" s="169" t="s">
        <v>1292</v>
      </c>
      <c r="F6346" s="169"/>
      <c r="G6346" s="169"/>
    </row>
    <row r="6347" spans="1:7">
      <c r="A6347" s="167">
        <f t="shared" ca="1" si="579"/>
        <v>46039</v>
      </c>
      <c r="B6347" s="168">
        <f t="shared" ca="1" si="580"/>
        <v>46039.751799652775</v>
      </c>
      <c r="C6347" s="76" t="s">
        <v>843</v>
      </c>
      <c r="D6347" s="76" t="s">
        <v>902</v>
      </c>
      <c r="E6347" s="169" t="s">
        <v>2040</v>
      </c>
      <c r="F6347" s="169"/>
      <c r="G6347" s="169"/>
    </row>
    <row r="6348" spans="1:7">
      <c r="A6348" s="167">
        <f t="shared" ca="1" si="579"/>
        <v>46039</v>
      </c>
      <c r="B6348" s="168">
        <f t="shared" ca="1" si="580"/>
        <v>46039.75216527778</v>
      </c>
      <c r="C6348" s="76" t="s">
        <v>843</v>
      </c>
      <c r="D6348" s="76" t="s">
        <v>902</v>
      </c>
      <c r="E6348" s="169" t="s">
        <v>3368</v>
      </c>
      <c r="F6348" s="169"/>
      <c r="G6348" s="169"/>
    </row>
    <row r="6349" spans="1:7">
      <c r="A6349" s="167">
        <f t="shared" ca="1" si="579"/>
        <v>46039</v>
      </c>
      <c r="B6349" s="168">
        <f t="shared" ca="1" si="580"/>
        <v>46039.753640162038</v>
      </c>
      <c r="C6349" s="76" t="s">
        <v>843</v>
      </c>
      <c r="D6349" s="76" t="s">
        <v>902</v>
      </c>
      <c r="E6349" s="169" t="s">
        <v>1002</v>
      </c>
      <c r="F6349" s="169"/>
      <c r="G6349" s="169"/>
    </row>
    <row r="6350" spans="1:7">
      <c r="A6350" s="167">
        <f t="shared" ca="1" si="579"/>
        <v>46039</v>
      </c>
      <c r="B6350" s="168">
        <f t="shared" ca="1" si="580"/>
        <v>46039.754572916667</v>
      </c>
      <c r="C6350" s="76" t="s">
        <v>843</v>
      </c>
      <c r="D6350" s="76" t="s">
        <v>902</v>
      </c>
      <c r="E6350" s="169" t="s">
        <v>1002</v>
      </c>
      <c r="F6350" s="169"/>
      <c r="G6350" s="169"/>
    </row>
    <row r="6351" spans="1:7">
      <c r="A6351" s="167">
        <f t="shared" ca="1" si="579"/>
        <v>46039</v>
      </c>
      <c r="B6351" s="168">
        <f t="shared" ca="1" si="580"/>
        <v>46039.755550925925</v>
      </c>
      <c r="C6351" s="76" t="s">
        <v>843</v>
      </c>
      <c r="D6351" s="76" t="s">
        <v>902</v>
      </c>
      <c r="E6351" s="169" t="s">
        <v>1002</v>
      </c>
      <c r="F6351" s="169"/>
      <c r="G6351" s="169"/>
    </row>
    <row r="6352" spans="1:7">
      <c r="A6352" s="167">
        <f t="shared" ca="1" si="579"/>
        <v>46039</v>
      </c>
      <c r="B6352" s="168">
        <f t="shared" ca="1" si="580"/>
        <v>46039.757795370373</v>
      </c>
      <c r="C6352" s="76" t="s">
        <v>843</v>
      </c>
      <c r="D6352" s="76" t="s">
        <v>902</v>
      </c>
      <c r="E6352" s="169" t="s">
        <v>1002</v>
      </c>
      <c r="F6352" s="169"/>
      <c r="G6352" s="169"/>
    </row>
    <row r="6353" spans="1:7">
      <c r="A6353" s="167">
        <f t="shared" ca="1" si="579"/>
        <v>46039</v>
      </c>
      <c r="B6353" s="168">
        <f t="shared" ca="1" si="580"/>
        <v>46039.758047453703</v>
      </c>
      <c r="C6353" s="76" t="s">
        <v>843</v>
      </c>
      <c r="D6353" s="76" t="s">
        <v>902</v>
      </c>
      <c r="E6353" s="169" t="s">
        <v>1002</v>
      </c>
      <c r="F6353" s="169"/>
      <c r="G6353" s="169"/>
    </row>
    <row r="6354" spans="1:7">
      <c r="A6354" s="167">
        <f t="shared" ca="1" si="579"/>
        <v>46039</v>
      </c>
      <c r="B6354" s="168">
        <f t="shared" ca="1" si="580"/>
        <v>46039.758060995373</v>
      </c>
      <c r="C6354" s="76" t="s">
        <v>843</v>
      </c>
      <c r="D6354" s="76" t="s">
        <v>902</v>
      </c>
      <c r="E6354" s="169" t="s">
        <v>1002</v>
      </c>
      <c r="F6354" s="169"/>
      <c r="G6354" s="169"/>
    </row>
    <row r="6355" spans="1:7">
      <c r="A6355" s="167">
        <f t="shared" ca="1" si="579"/>
        <v>46039</v>
      </c>
      <c r="B6355" s="168">
        <f t="shared" ca="1" si="580"/>
        <v>46039.758840277776</v>
      </c>
      <c r="C6355" s="76" t="s">
        <v>843</v>
      </c>
      <c r="D6355" s="76" t="s">
        <v>902</v>
      </c>
      <c r="E6355" s="169" t="s">
        <v>1002</v>
      </c>
      <c r="F6355" s="169"/>
      <c r="G6355" s="169"/>
    </row>
    <row r="6356" spans="1:7">
      <c r="A6356" s="167">
        <f t="shared" ca="1" si="579"/>
        <v>46039</v>
      </c>
      <c r="B6356" s="168">
        <f t="shared" ca="1" si="580"/>
        <v>46039.760074421298</v>
      </c>
      <c r="C6356" s="76" t="s">
        <v>843</v>
      </c>
      <c r="D6356" s="76" t="s">
        <v>902</v>
      </c>
      <c r="E6356" s="169" t="s">
        <v>1002</v>
      </c>
      <c r="F6356" s="169"/>
      <c r="G6356" s="169"/>
    </row>
    <row r="6357" spans="1:7">
      <c r="A6357" s="167">
        <f t="shared" ca="1" si="579"/>
        <v>46039</v>
      </c>
      <c r="B6357" s="168">
        <f t="shared" ca="1" si="580"/>
        <v>46039.760795601855</v>
      </c>
      <c r="C6357" s="76" t="s">
        <v>843</v>
      </c>
      <c r="D6357" s="76" t="s">
        <v>902</v>
      </c>
      <c r="E6357" s="169" t="s">
        <v>1002</v>
      </c>
      <c r="F6357" s="169"/>
      <c r="G6357" s="169"/>
    </row>
    <row r="6358" spans="1:7">
      <c r="A6358" s="167">
        <f t="shared" ca="1" si="579"/>
        <v>46039</v>
      </c>
      <c r="B6358" s="168">
        <f t="shared" ca="1" si="580"/>
        <v>46039.762298611109</v>
      </c>
      <c r="C6358" s="76" t="s">
        <v>843</v>
      </c>
      <c r="D6358" s="76" t="s">
        <v>902</v>
      </c>
      <c r="E6358" s="169" t="s">
        <v>1002</v>
      </c>
      <c r="F6358" s="169"/>
      <c r="G6358" s="169"/>
    </row>
    <row r="6359" spans="1:7">
      <c r="A6359" s="167">
        <f t="shared" ca="1" si="579"/>
        <v>46039</v>
      </c>
      <c r="B6359" s="168">
        <f t="shared" ca="1" si="580"/>
        <v>46039.763331018519</v>
      </c>
      <c r="C6359" s="76" t="s">
        <v>843</v>
      </c>
      <c r="D6359" s="76" t="s">
        <v>902</v>
      </c>
      <c r="E6359" s="169" t="s">
        <v>2040</v>
      </c>
      <c r="F6359" s="169"/>
      <c r="G6359" s="169"/>
    </row>
    <row r="6360" spans="1:7">
      <c r="A6360" s="167">
        <f t="shared" ca="1" si="579"/>
        <v>46039</v>
      </c>
      <c r="B6360" s="168">
        <f t="shared" ca="1" si="580"/>
        <v>46039.764378009262</v>
      </c>
      <c r="C6360" s="76" t="s">
        <v>843</v>
      </c>
      <c r="D6360" s="76" t="s">
        <v>902</v>
      </c>
      <c r="E6360" s="169" t="s">
        <v>2040</v>
      </c>
      <c r="F6360" s="169"/>
      <c r="G6360" s="169"/>
    </row>
    <row r="6361" spans="1:7">
      <c r="A6361" s="167">
        <f t="shared" ca="1" si="579"/>
        <v>46039</v>
      </c>
      <c r="B6361" s="168">
        <f t="shared" ca="1" si="580"/>
        <v>46039.764662615744</v>
      </c>
      <c r="C6361" s="76" t="s">
        <v>843</v>
      </c>
      <c r="D6361" s="76" t="s">
        <v>902</v>
      </c>
      <c r="E6361" s="169" t="s">
        <v>2040</v>
      </c>
      <c r="F6361" s="169"/>
      <c r="G6361" s="169"/>
    </row>
    <row r="6362" spans="1:7">
      <c r="A6362" s="167">
        <f t="shared" ca="1" si="579"/>
        <v>46039</v>
      </c>
      <c r="B6362" s="168">
        <f t="shared" ca="1" si="580"/>
        <v>46039.770070949075</v>
      </c>
      <c r="C6362" s="76" t="s">
        <v>843</v>
      </c>
      <c r="D6362" s="76" t="s">
        <v>902</v>
      </c>
      <c r="E6362" s="169" t="s">
        <v>2040</v>
      </c>
      <c r="F6362" s="169"/>
      <c r="G6362" s="169"/>
    </row>
    <row r="6363" spans="1:7">
      <c r="A6363" s="167">
        <f t="shared" ca="1" si="579"/>
        <v>46039</v>
      </c>
      <c r="B6363" s="168">
        <f t="shared" ca="1" si="580"/>
        <v>46039.774136111111</v>
      </c>
      <c r="C6363" s="76" t="s">
        <v>843</v>
      </c>
      <c r="D6363" s="76" t="s">
        <v>902</v>
      </c>
      <c r="E6363" s="169" t="s">
        <v>2040</v>
      </c>
      <c r="F6363" s="169"/>
      <c r="G6363" s="169"/>
    </row>
    <row r="6364" spans="1:7">
      <c r="A6364" s="167">
        <f t="shared" ca="1" si="579"/>
        <v>46039</v>
      </c>
      <c r="B6364" s="168">
        <f t="shared" ca="1" si="580"/>
        <v>46039.774149305558</v>
      </c>
      <c r="C6364" s="76" t="s">
        <v>843</v>
      </c>
      <c r="D6364" s="76" t="s">
        <v>902</v>
      </c>
      <c r="E6364" s="169" t="s">
        <v>1063</v>
      </c>
      <c r="F6364" s="169"/>
      <c r="G6364" s="169"/>
    </row>
    <row r="6365" spans="1:7">
      <c r="A6365" s="167">
        <f t="shared" ca="1" si="579"/>
        <v>46039</v>
      </c>
      <c r="B6365" s="168">
        <f t="shared" ca="1" si="580"/>
        <v>46039.782879282408</v>
      </c>
      <c r="C6365" s="76" t="s">
        <v>843</v>
      </c>
      <c r="D6365" s="150" t="s">
        <v>1007</v>
      </c>
      <c r="E6365" s="169" t="s">
        <v>2411</v>
      </c>
      <c r="F6365" s="169"/>
      <c r="G6365" s="169"/>
    </row>
    <row r="6366" spans="1:7">
      <c r="A6366" s="167">
        <f t="shared" ca="1" si="579"/>
        <v>46039</v>
      </c>
      <c r="B6366" s="168">
        <f t="shared" ca="1" si="580"/>
        <v>46039.791026041668</v>
      </c>
      <c r="C6366" s="76" t="s">
        <v>843</v>
      </c>
      <c r="D6366" s="76" t="s">
        <v>902</v>
      </c>
      <c r="E6366" s="169" t="s">
        <v>1507</v>
      </c>
      <c r="F6366" s="169"/>
      <c r="G6366" s="169"/>
    </row>
    <row r="6367" spans="1:7">
      <c r="A6367" s="167">
        <f t="shared" ca="1" si="579"/>
        <v>46039</v>
      </c>
      <c r="B6367" s="168">
        <f t="shared" ca="1" si="580"/>
        <v>46039.793702199073</v>
      </c>
      <c r="C6367" s="76" t="s">
        <v>843</v>
      </c>
      <c r="D6367" s="76" t="s">
        <v>902</v>
      </c>
      <c r="E6367" s="169" t="s">
        <v>2040</v>
      </c>
      <c r="F6367" s="169"/>
      <c r="G6367" s="169"/>
    </row>
    <row r="6368" spans="1:7">
      <c r="A6368" s="167">
        <f t="shared" ca="1" si="579"/>
        <v>46039</v>
      </c>
      <c r="B6368" s="168">
        <f t="shared" ca="1" si="580"/>
        <v>46039.797143865741</v>
      </c>
      <c r="C6368" s="76" t="s">
        <v>843</v>
      </c>
      <c r="D6368" s="76" t="s">
        <v>902</v>
      </c>
      <c r="E6368" s="169" t="s">
        <v>3369</v>
      </c>
      <c r="F6368" s="169"/>
      <c r="G6368" s="169"/>
    </row>
    <row r="6369" spans="1:7">
      <c r="A6369" s="167">
        <f t="shared" ca="1" si="579"/>
        <v>46039</v>
      </c>
      <c r="B6369" s="168">
        <f t="shared" ca="1" si="580"/>
        <v>46039.797944328704</v>
      </c>
      <c r="C6369" s="76" t="s">
        <v>843</v>
      </c>
      <c r="D6369" s="76" t="s">
        <v>902</v>
      </c>
      <c r="E6369" s="169" t="s">
        <v>2040</v>
      </c>
      <c r="F6369" s="169"/>
      <c r="G6369" s="169"/>
    </row>
    <row r="6370" spans="1:7">
      <c r="A6370" s="167">
        <f t="shared" ca="1" si="579"/>
        <v>46039</v>
      </c>
      <c r="B6370" s="168">
        <f t="shared" ca="1" si="580"/>
        <v>46039.797956481481</v>
      </c>
      <c r="C6370" s="76" t="s">
        <v>843</v>
      </c>
      <c r="D6370" s="76" t="s">
        <v>902</v>
      </c>
      <c r="E6370" s="169" t="s">
        <v>2040</v>
      </c>
      <c r="F6370" s="169"/>
      <c r="G6370" s="169"/>
    </row>
    <row r="6371" spans="1:7">
      <c r="A6371" s="167">
        <f t="shared" ca="1" si="579"/>
        <v>46039</v>
      </c>
      <c r="B6371" s="168">
        <f t="shared" ca="1" si="580"/>
        <v>46039.808010879628</v>
      </c>
      <c r="C6371" s="76" t="s">
        <v>843</v>
      </c>
      <c r="D6371" s="210" t="s">
        <v>922</v>
      </c>
      <c r="E6371" s="169"/>
      <c r="F6371" s="169"/>
      <c r="G6371" s="169"/>
    </row>
    <row r="6372" spans="1:7">
      <c r="A6372" s="167">
        <f t="shared" ca="1" si="579"/>
        <v>46039</v>
      </c>
      <c r="B6372" s="168">
        <f t="shared" ca="1" si="580"/>
        <v>46039.826708680557</v>
      </c>
      <c r="C6372" s="76" t="s">
        <v>843</v>
      </c>
      <c r="D6372" s="210" t="s">
        <v>1098</v>
      </c>
      <c r="E6372" s="169"/>
      <c r="F6372" s="169"/>
      <c r="G6372" s="169"/>
    </row>
    <row r="6373" spans="1:7">
      <c r="A6373" s="167">
        <f t="shared" ref="A6373:A6393" ca="1" si="581">IF(C6373&lt;&gt;0,IF(A6373=0,TODAY(),A6373),)</f>
        <v>46040</v>
      </c>
      <c r="B6373" s="168">
        <v>0.97731481481481486</v>
      </c>
      <c r="C6373" s="76" t="s">
        <v>849</v>
      </c>
      <c r="D6373" s="210" t="s">
        <v>906</v>
      </c>
      <c r="E6373" s="169"/>
      <c r="F6373" s="169"/>
      <c r="G6373" s="169"/>
    </row>
    <row r="6374" spans="1:7">
      <c r="A6374" s="167">
        <f t="shared" ca="1" si="581"/>
        <v>46040</v>
      </c>
      <c r="B6374" s="168">
        <f t="shared" ref="B6374:B6376" ca="1" si="582">IF(C6374&lt;&gt;0,IF(B6374=0,NOW(),B6374),)</f>
        <v>46040.062779050924</v>
      </c>
      <c r="C6374" s="76" t="s">
        <v>849</v>
      </c>
      <c r="D6374" s="210" t="s">
        <v>909</v>
      </c>
      <c r="E6374" s="169"/>
      <c r="F6374" s="169"/>
      <c r="G6374" s="169"/>
    </row>
    <row r="6375" spans="1:7">
      <c r="A6375" s="167">
        <f t="shared" ca="1" si="581"/>
        <v>46040</v>
      </c>
      <c r="B6375" s="168">
        <f t="shared" ca="1" si="582"/>
        <v>46040.068567939816</v>
      </c>
      <c r="C6375" s="76" t="s">
        <v>849</v>
      </c>
      <c r="D6375" s="76" t="s">
        <v>902</v>
      </c>
      <c r="E6375" s="169" t="s">
        <v>1426</v>
      </c>
      <c r="F6375" s="169"/>
      <c r="G6375" s="169"/>
    </row>
    <row r="6376" spans="1:7">
      <c r="A6376" s="167">
        <f t="shared" ca="1" si="581"/>
        <v>46040</v>
      </c>
      <c r="B6376" s="168">
        <f t="shared" ca="1" si="582"/>
        <v>46040.073954861109</v>
      </c>
      <c r="C6376" s="76" t="s">
        <v>849</v>
      </c>
      <c r="D6376" s="76" t="s">
        <v>902</v>
      </c>
      <c r="E6376" s="169" t="s">
        <v>1426</v>
      </c>
      <c r="F6376" s="169"/>
      <c r="G6376" s="169"/>
    </row>
    <row r="6377" spans="1:7">
      <c r="A6377" s="167">
        <f t="shared" ca="1" si="581"/>
        <v>46040</v>
      </c>
      <c r="B6377" s="80">
        <f t="shared" ref="B6377:B6380" ca="1" si="583">IF(C6377&lt;&gt;0,IF(B6377=0,NOW(),B6377),)</f>
        <v>46040.076569328703</v>
      </c>
      <c r="C6377" s="76" t="s">
        <v>849</v>
      </c>
      <c r="D6377" s="76" t="s">
        <v>902</v>
      </c>
      <c r="E6377" s="79" t="s">
        <v>3370</v>
      </c>
      <c r="F6377" s="79"/>
    </row>
    <row r="6378" spans="1:7">
      <c r="A6378" s="167">
        <f t="shared" ca="1" si="581"/>
        <v>46040</v>
      </c>
      <c r="B6378" s="168">
        <f t="shared" ca="1" si="583"/>
        <v>46040.079552430558</v>
      </c>
      <c r="C6378" s="76" t="s">
        <v>849</v>
      </c>
      <c r="D6378" s="76" t="s">
        <v>902</v>
      </c>
      <c r="E6378" s="169" t="s">
        <v>3371</v>
      </c>
      <c r="F6378" s="169"/>
      <c r="G6378" s="169"/>
    </row>
    <row r="6379" spans="1:7">
      <c r="A6379" s="167">
        <f t="shared" ca="1" si="581"/>
        <v>46040</v>
      </c>
      <c r="B6379" s="168">
        <f t="shared" ca="1" si="583"/>
        <v>46040.082329166667</v>
      </c>
      <c r="C6379" s="76" t="s">
        <v>849</v>
      </c>
      <c r="D6379" s="76" t="s">
        <v>902</v>
      </c>
      <c r="E6379" s="169" t="s">
        <v>2508</v>
      </c>
      <c r="F6379" s="169"/>
      <c r="G6379" s="169"/>
    </row>
    <row r="6380" spans="1:7">
      <c r="A6380" s="167">
        <f t="shared" ca="1" si="581"/>
        <v>46040</v>
      </c>
      <c r="B6380" s="168">
        <f t="shared" ca="1" si="583"/>
        <v>46040.087030324074</v>
      </c>
      <c r="C6380" s="76" t="s">
        <v>849</v>
      </c>
      <c r="D6380" s="76" t="s">
        <v>902</v>
      </c>
      <c r="E6380" s="169" t="s">
        <v>3372</v>
      </c>
      <c r="F6380" s="169"/>
      <c r="G6380" s="169"/>
    </row>
    <row r="6381" spans="1:7">
      <c r="A6381" s="167">
        <f t="shared" ca="1" si="581"/>
        <v>46040</v>
      </c>
      <c r="B6381" s="80">
        <f t="shared" ref="B6381:B6390" ca="1" si="584">IF(C6381&lt;&gt;0,IF(B6381=0,NOW(),B6381),)</f>
        <v>46040.087104976854</v>
      </c>
      <c r="C6381" s="76" t="s">
        <v>849</v>
      </c>
      <c r="D6381" s="76" t="s">
        <v>902</v>
      </c>
      <c r="E6381" s="169" t="s">
        <v>1426</v>
      </c>
      <c r="F6381" s="79"/>
    </row>
    <row r="6382" spans="1:7">
      <c r="A6382" s="167">
        <f t="shared" ca="1" si="581"/>
        <v>46040</v>
      </c>
      <c r="B6382" s="168">
        <f t="shared" ca="1" si="584"/>
        <v>46040.088716203703</v>
      </c>
      <c r="C6382" s="76" t="s">
        <v>849</v>
      </c>
      <c r="D6382" s="76" t="s">
        <v>902</v>
      </c>
      <c r="E6382" s="169" t="s">
        <v>1426</v>
      </c>
      <c r="F6382" s="169"/>
      <c r="G6382" s="169"/>
    </row>
    <row r="6383" spans="1:7">
      <c r="A6383" s="167">
        <f t="shared" ca="1" si="581"/>
        <v>46040</v>
      </c>
      <c r="B6383" s="168">
        <f t="shared" ca="1" si="584"/>
        <v>46040.092827430555</v>
      </c>
      <c r="C6383" s="76" t="s">
        <v>849</v>
      </c>
      <c r="D6383" s="76" t="s">
        <v>902</v>
      </c>
      <c r="E6383" s="169" t="s">
        <v>1196</v>
      </c>
      <c r="F6383" s="169"/>
      <c r="G6383" s="169"/>
    </row>
    <row r="6384" spans="1:7">
      <c r="A6384" s="167">
        <f t="shared" ca="1" si="581"/>
        <v>46040</v>
      </c>
      <c r="B6384" s="168">
        <f t="shared" ca="1" si="584"/>
        <v>46040.111084606484</v>
      </c>
      <c r="C6384" s="76" t="s">
        <v>849</v>
      </c>
      <c r="D6384" s="150" t="s">
        <v>1007</v>
      </c>
      <c r="E6384" s="105" t="s">
        <v>3373</v>
      </c>
      <c r="F6384" s="169"/>
      <c r="G6384" s="169"/>
    </row>
    <row r="6385" spans="1:7">
      <c r="A6385" s="167">
        <f t="shared" ca="1" si="581"/>
        <v>46040</v>
      </c>
      <c r="B6385" s="168">
        <f t="shared" ca="1" si="584"/>
        <v>46040.113454745369</v>
      </c>
      <c r="C6385" s="76" t="s">
        <v>849</v>
      </c>
      <c r="D6385" s="76" t="s">
        <v>902</v>
      </c>
      <c r="E6385" s="169" t="s">
        <v>1426</v>
      </c>
      <c r="F6385" s="169"/>
      <c r="G6385" s="169"/>
    </row>
    <row r="6386" spans="1:7">
      <c r="A6386" s="167">
        <f t="shared" ca="1" si="581"/>
        <v>46040</v>
      </c>
      <c r="B6386" s="168">
        <f t="shared" ca="1" si="584"/>
        <v>46040.130262037041</v>
      </c>
      <c r="C6386" s="76" t="s">
        <v>849</v>
      </c>
      <c r="D6386" s="76" t="s">
        <v>902</v>
      </c>
      <c r="E6386" s="105" t="s">
        <v>3373</v>
      </c>
      <c r="F6386" s="169"/>
      <c r="G6386" s="169"/>
    </row>
    <row r="6387" spans="1:7">
      <c r="A6387" s="167">
        <f t="shared" ca="1" si="581"/>
        <v>46040</v>
      </c>
      <c r="B6387" s="168">
        <f t="shared" ca="1" si="584"/>
        <v>46040.144350462964</v>
      </c>
      <c r="C6387" s="76" t="s">
        <v>849</v>
      </c>
      <c r="D6387" s="76" t="s">
        <v>902</v>
      </c>
      <c r="E6387" s="169" t="s">
        <v>3374</v>
      </c>
      <c r="F6387" s="169"/>
      <c r="G6387" s="169"/>
    </row>
    <row r="6388" spans="1:7">
      <c r="A6388" s="167">
        <f t="shared" ca="1" si="581"/>
        <v>46040</v>
      </c>
      <c r="B6388" s="168">
        <f t="shared" ca="1" si="584"/>
        <v>46040.145320023148</v>
      </c>
      <c r="C6388" s="76" t="s">
        <v>849</v>
      </c>
      <c r="D6388" s="76" t="s">
        <v>902</v>
      </c>
      <c r="E6388" s="105" t="s">
        <v>3373</v>
      </c>
      <c r="F6388" s="169"/>
      <c r="G6388" s="169"/>
    </row>
    <row r="6389" spans="1:7">
      <c r="A6389" s="167">
        <f t="shared" ca="1" si="581"/>
        <v>46040</v>
      </c>
      <c r="B6389" s="168">
        <f t="shared" ca="1" si="584"/>
        <v>46040.163462152777</v>
      </c>
      <c r="C6389" s="76" t="s">
        <v>849</v>
      </c>
      <c r="D6389" s="76" t="s">
        <v>902</v>
      </c>
      <c r="E6389" s="169" t="s">
        <v>3375</v>
      </c>
      <c r="F6389" s="169"/>
      <c r="G6389" s="169"/>
    </row>
    <row r="6390" spans="1:7">
      <c r="A6390" s="167">
        <f t="shared" ca="1" si="581"/>
        <v>46040</v>
      </c>
      <c r="B6390" s="168">
        <f t="shared" ca="1" si="584"/>
        <v>46040.166662152777</v>
      </c>
      <c r="C6390" s="76" t="s">
        <v>849</v>
      </c>
      <c r="D6390" s="76" t="s">
        <v>902</v>
      </c>
      <c r="E6390" s="169" t="s">
        <v>911</v>
      </c>
      <c r="F6390" s="169"/>
      <c r="G6390" s="169"/>
    </row>
    <row r="6391" spans="1:7">
      <c r="A6391" s="167">
        <f t="shared" ca="1" si="581"/>
        <v>46040</v>
      </c>
      <c r="B6391" s="80">
        <f t="shared" ref="B6391:B6393" ca="1" si="585">IF(C6391&lt;&gt;0,IF(B6391=0,NOW(),B6391),)</f>
        <v>46040.167848726851</v>
      </c>
      <c r="C6391" s="76" t="s">
        <v>849</v>
      </c>
      <c r="D6391" s="210" t="s">
        <v>922</v>
      </c>
      <c r="E6391" s="79"/>
      <c r="F6391" s="79"/>
    </row>
    <row r="6392" spans="1:7">
      <c r="A6392" s="167">
        <f t="shared" ca="1" si="581"/>
        <v>46040</v>
      </c>
      <c r="B6392" s="168">
        <f t="shared" ca="1" si="585"/>
        <v>46040.2245744213</v>
      </c>
      <c r="C6392" s="76" t="s">
        <v>849</v>
      </c>
      <c r="D6392" s="210" t="s">
        <v>1098</v>
      </c>
      <c r="E6392" s="169"/>
      <c r="F6392" s="169"/>
      <c r="G6392" s="169"/>
    </row>
    <row r="6393" spans="1:7">
      <c r="A6393" s="167">
        <f t="shared" ca="1" si="581"/>
        <v>46040</v>
      </c>
      <c r="B6393" s="168">
        <f t="shared" ca="1" si="585"/>
        <v>46040.271284490744</v>
      </c>
      <c r="C6393" s="76" t="s">
        <v>853</v>
      </c>
      <c r="D6393" s="210" t="s">
        <v>906</v>
      </c>
      <c r="E6393" s="169"/>
      <c r="F6393" s="169"/>
      <c r="G6393" s="169"/>
    </row>
    <row r="6394" spans="1:7">
      <c r="A6394" s="167">
        <f t="shared" ref="A6394:A6427" ca="1" si="586">IF(C6394&lt;&gt;0,IF(A6394=0,TODAY(),A6394),)</f>
        <v>46040</v>
      </c>
      <c r="B6394" s="168">
        <f t="shared" ref="B6394:B6427" ca="1" si="587">IF(C6394&lt;&gt;0,IF(B6394=0,NOW(),B6394),)</f>
        <v>46040.338958449072</v>
      </c>
      <c r="C6394" s="29" t="s">
        <v>853</v>
      </c>
      <c r="D6394" s="210" t="s">
        <v>909</v>
      </c>
      <c r="E6394" s="169" t="s">
        <v>3376</v>
      </c>
      <c r="F6394" s="169"/>
      <c r="G6394" s="169"/>
    </row>
    <row r="6395" spans="1:7">
      <c r="A6395" s="77">
        <f t="shared" ca="1" si="586"/>
        <v>46040</v>
      </c>
      <c r="B6395" s="80">
        <f t="shared" ca="1" si="587"/>
        <v>46040.342633217595</v>
      </c>
      <c r="C6395" s="29" t="s">
        <v>853</v>
      </c>
      <c r="D6395" s="76" t="s">
        <v>902</v>
      </c>
      <c r="E6395" s="169" t="s">
        <v>1426</v>
      </c>
      <c r="F6395" s="79"/>
    </row>
    <row r="6396" spans="1:7">
      <c r="A6396" s="77">
        <f t="shared" ca="1" si="586"/>
        <v>46040</v>
      </c>
      <c r="B6396" s="80">
        <f t="shared" ca="1" si="587"/>
        <v>46040.345939004626</v>
      </c>
      <c r="C6396" s="29" t="s">
        <v>853</v>
      </c>
      <c r="D6396" s="76" t="s">
        <v>902</v>
      </c>
      <c r="E6396" s="79" t="s">
        <v>3377</v>
      </c>
      <c r="F6396" s="79" t="s">
        <v>1010</v>
      </c>
    </row>
    <row r="6397" spans="1:7">
      <c r="A6397" s="77">
        <f t="shared" ca="1" si="586"/>
        <v>46040</v>
      </c>
      <c r="B6397" s="80">
        <f t="shared" ca="1" si="587"/>
        <v>46040.35069525463</v>
      </c>
      <c r="C6397" s="29" t="s">
        <v>853</v>
      </c>
      <c r="D6397" s="76" t="s">
        <v>902</v>
      </c>
      <c r="E6397" s="169" t="s">
        <v>1426</v>
      </c>
      <c r="F6397" s="79"/>
    </row>
    <row r="6398" spans="1:7">
      <c r="A6398" s="77">
        <f t="shared" ca="1" si="586"/>
        <v>46040</v>
      </c>
      <c r="B6398" s="80">
        <f t="shared" ca="1" si="587"/>
        <v>46040.352506481482</v>
      </c>
      <c r="C6398" s="29" t="s">
        <v>853</v>
      </c>
      <c r="D6398" s="76" t="s">
        <v>902</v>
      </c>
      <c r="E6398" s="79" t="s">
        <v>3378</v>
      </c>
      <c r="F6398" s="79"/>
    </row>
    <row r="6399" spans="1:7">
      <c r="A6399" s="77">
        <f t="shared" ca="1" si="586"/>
        <v>46040</v>
      </c>
      <c r="B6399" s="80">
        <f t="shared" ca="1" si="587"/>
        <v>46040.368352314814</v>
      </c>
      <c r="C6399" s="29" t="s">
        <v>853</v>
      </c>
      <c r="D6399" s="76" t="s">
        <v>902</v>
      </c>
      <c r="E6399" s="169" t="s">
        <v>1426</v>
      </c>
      <c r="F6399" s="79"/>
    </row>
    <row r="6400" spans="1:7">
      <c r="A6400" s="77">
        <f t="shared" ca="1" si="586"/>
        <v>46040</v>
      </c>
      <c r="B6400" s="80">
        <f t="shared" ca="1" si="587"/>
        <v>46040.370962499997</v>
      </c>
      <c r="C6400" s="29" t="s">
        <v>853</v>
      </c>
      <c r="D6400" s="76" t="s">
        <v>902</v>
      </c>
      <c r="E6400" s="79" t="s">
        <v>3379</v>
      </c>
      <c r="F6400" s="79"/>
    </row>
    <row r="6401" spans="1:6">
      <c r="A6401" s="77">
        <f t="shared" ca="1" si="586"/>
        <v>46040</v>
      </c>
      <c r="B6401" s="80">
        <f t="shared" ca="1" si="587"/>
        <v>46040.37307303241</v>
      </c>
      <c r="C6401" s="29" t="s">
        <v>853</v>
      </c>
      <c r="D6401" s="76" t="s">
        <v>902</v>
      </c>
      <c r="E6401" s="79" t="s">
        <v>3380</v>
      </c>
      <c r="F6401" s="79"/>
    </row>
    <row r="6402" spans="1:6">
      <c r="A6402" s="77">
        <f t="shared" ca="1" si="586"/>
        <v>46040</v>
      </c>
      <c r="B6402" s="80">
        <f t="shared" ca="1" si="587"/>
        <v>46040.400950000003</v>
      </c>
      <c r="C6402" s="29" t="s">
        <v>853</v>
      </c>
      <c r="D6402" s="76" t="s">
        <v>902</v>
      </c>
      <c r="E6402" s="79" t="s">
        <v>3381</v>
      </c>
      <c r="F6402" s="79" t="s">
        <v>1010</v>
      </c>
    </row>
    <row r="6403" spans="1:6">
      <c r="A6403" s="77">
        <f t="shared" ca="1" si="586"/>
        <v>46040</v>
      </c>
      <c r="B6403" s="80">
        <f t="shared" ca="1" si="587"/>
        <v>46040.422776620369</v>
      </c>
      <c r="C6403" s="29" t="s">
        <v>853</v>
      </c>
      <c r="D6403" s="76" t="s">
        <v>902</v>
      </c>
      <c r="E6403" s="79"/>
      <c r="F6403" s="79" t="s">
        <v>1213</v>
      </c>
    </row>
    <row r="6404" spans="1:6">
      <c r="A6404" s="77">
        <f t="shared" ca="1" si="586"/>
        <v>46040</v>
      </c>
      <c r="B6404" s="80">
        <f t="shared" ca="1" si="587"/>
        <v>46040.429300462965</v>
      </c>
      <c r="C6404" s="29" t="s">
        <v>853</v>
      </c>
      <c r="D6404" s="76" t="s">
        <v>902</v>
      </c>
      <c r="E6404" s="79" t="s">
        <v>3382</v>
      </c>
      <c r="F6404" s="79"/>
    </row>
    <row r="6405" spans="1:6">
      <c r="A6405" s="77">
        <f t="shared" ca="1" si="586"/>
        <v>46040</v>
      </c>
      <c r="B6405" s="80">
        <f t="shared" ca="1" si="587"/>
        <v>46040.433343287033</v>
      </c>
      <c r="C6405" s="29" t="s">
        <v>853</v>
      </c>
      <c r="D6405" s="76" t="s">
        <v>902</v>
      </c>
      <c r="E6405" s="79" t="s">
        <v>3383</v>
      </c>
      <c r="F6405" s="79" t="s">
        <v>912</v>
      </c>
    </row>
    <row r="6406" spans="1:6">
      <c r="A6406" s="77">
        <f t="shared" ca="1" si="586"/>
        <v>46040</v>
      </c>
      <c r="B6406" s="80">
        <f t="shared" ca="1" si="587"/>
        <v>46040.43417291667</v>
      </c>
      <c r="C6406" s="29" t="s">
        <v>853</v>
      </c>
      <c r="D6406" s="76" t="s">
        <v>902</v>
      </c>
      <c r="E6406" s="79" t="s">
        <v>3382</v>
      </c>
      <c r="F6406" s="79"/>
    </row>
    <row r="6407" spans="1:6">
      <c r="A6407" s="77">
        <f t="shared" ca="1" si="586"/>
        <v>46040</v>
      </c>
      <c r="B6407" s="80">
        <f t="shared" ca="1" si="587"/>
        <v>46040.450600578704</v>
      </c>
      <c r="C6407" s="29" t="s">
        <v>853</v>
      </c>
      <c r="D6407" s="150" t="s">
        <v>1070</v>
      </c>
      <c r="E6407" s="79" t="s">
        <v>3384</v>
      </c>
      <c r="F6407" s="79"/>
    </row>
    <row r="6408" spans="1:6">
      <c r="A6408" s="77">
        <f t="shared" ca="1" si="586"/>
        <v>46040</v>
      </c>
      <c r="B6408" s="80">
        <f t="shared" ca="1" si="587"/>
        <v>46040.452324999998</v>
      </c>
      <c r="C6408" s="29" t="s">
        <v>853</v>
      </c>
      <c r="D6408" s="210" t="s">
        <v>922</v>
      </c>
      <c r="E6408" s="79"/>
      <c r="F6408" s="79"/>
    </row>
    <row r="6409" spans="1:6">
      <c r="A6409" s="77">
        <f t="shared" ca="1" si="586"/>
        <v>46040</v>
      </c>
      <c r="B6409" s="80">
        <v>46040.540243055555</v>
      </c>
      <c r="C6409" s="76" t="s">
        <v>853</v>
      </c>
      <c r="D6409" s="210" t="s">
        <v>1098</v>
      </c>
      <c r="E6409" s="79"/>
      <c r="F6409" s="79"/>
    </row>
    <row r="6410" spans="1:6">
      <c r="A6410" s="77">
        <f ca="1">IF(C6410&lt;&gt;0,IF(A6410=0,TODAY(),A6410),)</f>
        <v>46044</v>
      </c>
      <c r="B6410" s="80">
        <f ca="1">IF(C6410&lt;&gt;0,IF(B6410=0,NOW(),B6410),)</f>
        <v>46044.25752673611</v>
      </c>
      <c r="C6410" s="76" t="s">
        <v>858</v>
      </c>
      <c r="D6410" s="210" t="s">
        <v>906</v>
      </c>
      <c r="E6410" s="79"/>
      <c r="F6410" s="79"/>
    </row>
    <row r="6411" spans="1:6">
      <c r="A6411" s="77">
        <f t="shared" ca="1" si="586"/>
        <v>46044</v>
      </c>
      <c r="B6411" s="80">
        <f ca="1">IF(C6411&lt;&gt;0,IF(B6411=0,NOW(),B6411),)</f>
        <v>46044.328064120367</v>
      </c>
      <c r="C6411" s="76" t="s">
        <v>858</v>
      </c>
      <c r="D6411" s="210" t="s">
        <v>909</v>
      </c>
      <c r="E6411" s="79"/>
      <c r="F6411" s="79"/>
    </row>
    <row r="6412" spans="1:6">
      <c r="A6412" s="77">
        <f ca="1">IF(C6412&lt;&gt;0,IF(A6412=0,TODAY(),A6412),)</f>
        <v>46044</v>
      </c>
      <c r="B6412" s="80">
        <f ca="1">IF(C6412&lt;&gt;0,IF(B6412=0,NOW(),B6412),)</f>
        <v>46044.339830439814</v>
      </c>
      <c r="C6412" s="76" t="s">
        <v>858</v>
      </c>
      <c r="D6412" s="76" t="s">
        <v>902</v>
      </c>
      <c r="E6412" s="169" t="s">
        <v>3371</v>
      </c>
      <c r="F6412" s="79"/>
    </row>
    <row r="6413" spans="1:6">
      <c r="A6413" s="77">
        <f t="shared" ca="1" si="586"/>
        <v>46044</v>
      </c>
      <c r="B6413" s="80">
        <f t="shared" ca="1" si="587"/>
        <v>46044.345458333337</v>
      </c>
      <c r="C6413" s="76" t="s">
        <v>858</v>
      </c>
      <c r="D6413" s="76" t="s">
        <v>902</v>
      </c>
      <c r="E6413" s="79" t="s">
        <v>3385</v>
      </c>
      <c r="F6413" s="79"/>
    </row>
    <row r="6414" spans="1:6">
      <c r="A6414" s="77">
        <f t="shared" ca="1" si="586"/>
        <v>46044</v>
      </c>
      <c r="B6414" s="80">
        <f t="shared" ca="1" si="587"/>
        <v>46044.34704479167</v>
      </c>
      <c r="C6414" s="76" t="s">
        <v>858</v>
      </c>
      <c r="D6414" s="76" t="s">
        <v>902</v>
      </c>
      <c r="E6414" s="76" t="s">
        <v>1535</v>
      </c>
      <c r="F6414" s="79"/>
    </row>
    <row r="6415" spans="1:6">
      <c r="A6415" s="77">
        <f t="shared" ca="1" si="586"/>
        <v>46044</v>
      </c>
      <c r="B6415" s="80">
        <f t="shared" ca="1" si="587"/>
        <v>46044.352933449074</v>
      </c>
      <c r="C6415" s="76" t="s">
        <v>858</v>
      </c>
      <c r="D6415" s="76" t="s">
        <v>902</v>
      </c>
      <c r="E6415" s="76" t="s">
        <v>3386</v>
      </c>
      <c r="F6415" s="79"/>
    </row>
    <row r="6416" spans="1:6">
      <c r="A6416" s="77">
        <f t="shared" ca="1" si="586"/>
        <v>46044</v>
      </c>
      <c r="B6416" s="80">
        <f ca="1">IF(C6416&lt;&gt;0,IF(B6416=0,NOW(),B6416),)</f>
        <v>46044.357854513888</v>
      </c>
      <c r="C6416" s="76" t="s">
        <v>858</v>
      </c>
      <c r="D6416" s="76" t="s">
        <v>902</v>
      </c>
      <c r="E6416" s="76" t="s">
        <v>3387</v>
      </c>
      <c r="F6416" s="79"/>
    </row>
    <row r="6417" spans="1:6">
      <c r="A6417" s="77">
        <f t="shared" ca="1" si="586"/>
        <v>46044</v>
      </c>
      <c r="B6417" s="80">
        <f t="shared" ca="1" si="587"/>
        <v>46044.360384722226</v>
      </c>
      <c r="C6417" s="76" t="s">
        <v>858</v>
      </c>
      <c r="D6417" s="76" t="s">
        <v>902</v>
      </c>
      <c r="E6417" s="76" t="s">
        <v>3388</v>
      </c>
      <c r="F6417" s="79"/>
    </row>
    <row r="6418" spans="1:6">
      <c r="A6418" s="77">
        <f t="shared" ca="1" si="586"/>
        <v>46044</v>
      </c>
      <c r="B6418" s="80">
        <f t="shared" ca="1" si="587"/>
        <v>46044.362488888888</v>
      </c>
      <c r="C6418" s="76" t="s">
        <v>858</v>
      </c>
      <c r="D6418" s="76" t="s">
        <v>902</v>
      </c>
      <c r="E6418" s="76" t="s">
        <v>3389</v>
      </c>
      <c r="F6418" s="6" t="s">
        <v>3390</v>
      </c>
    </row>
    <row r="6419" spans="1:6">
      <c r="A6419" s="77">
        <f t="shared" ca="1" si="586"/>
        <v>46044</v>
      </c>
      <c r="B6419" s="80">
        <f t="shared" ca="1" si="587"/>
        <v>46044.364603587965</v>
      </c>
      <c r="C6419" s="76" t="s">
        <v>858</v>
      </c>
      <c r="D6419" s="76" t="s">
        <v>902</v>
      </c>
      <c r="E6419" s="79" t="s">
        <v>3385</v>
      </c>
      <c r="F6419" s="79"/>
    </row>
    <row r="6420" spans="1:6">
      <c r="A6420" s="77">
        <f t="shared" ca="1" si="586"/>
        <v>46044</v>
      </c>
      <c r="B6420" s="80">
        <f t="shared" ca="1" si="587"/>
        <v>46044.366158333331</v>
      </c>
      <c r="C6420" s="76" t="s">
        <v>858</v>
      </c>
      <c r="D6420" s="76" t="s">
        <v>902</v>
      </c>
      <c r="E6420" s="76" t="s">
        <v>3388</v>
      </c>
      <c r="F6420" s="79"/>
    </row>
    <row r="6421" spans="1:6">
      <c r="A6421" s="77">
        <f t="shared" ca="1" si="586"/>
        <v>46044</v>
      </c>
      <c r="B6421" s="80">
        <f t="shared" ca="1" si="587"/>
        <v>46044.367951504631</v>
      </c>
      <c r="C6421" s="76" t="s">
        <v>858</v>
      </c>
      <c r="D6421" s="76" t="s">
        <v>902</v>
      </c>
      <c r="E6421" s="76" t="s">
        <v>3386</v>
      </c>
      <c r="F6421" s="79"/>
    </row>
    <row r="6422" spans="1:6">
      <c r="A6422" s="77">
        <f t="shared" ca="1" si="586"/>
        <v>46044</v>
      </c>
      <c r="B6422" s="80">
        <f t="shared" ca="1" si="587"/>
        <v>46044.369298495367</v>
      </c>
      <c r="C6422" s="76" t="s">
        <v>858</v>
      </c>
      <c r="D6422" s="76" t="s">
        <v>902</v>
      </c>
      <c r="E6422" s="76" t="s">
        <v>3387</v>
      </c>
      <c r="F6422" s="79"/>
    </row>
    <row r="6423" spans="1:6">
      <c r="A6423" s="77">
        <f t="shared" ca="1" si="586"/>
        <v>46044</v>
      </c>
      <c r="B6423" s="80">
        <f t="shared" ca="1" si="587"/>
        <v>46044.375939930556</v>
      </c>
      <c r="C6423" s="76" t="s">
        <v>858</v>
      </c>
      <c r="D6423" s="76" t="s">
        <v>902</v>
      </c>
      <c r="E6423" s="76" t="s">
        <v>3386</v>
      </c>
      <c r="F6423" s="79"/>
    </row>
    <row r="6424" spans="1:6">
      <c r="A6424" s="77">
        <f t="shared" ca="1" si="586"/>
        <v>46044</v>
      </c>
      <c r="B6424" s="80">
        <f t="shared" ca="1" si="587"/>
        <v>46044.389537731484</v>
      </c>
      <c r="C6424" s="76" t="s">
        <v>858</v>
      </c>
      <c r="D6424" s="76" t="s">
        <v>902</v>
      </c>
      <c r="E6424" s="76" t="s">
        <v>3391</v>
      </c>
      <c r="F6424" s="79"/>
    </row>
    <row r="6425" spans="1:6">
      <c r="A6425" s="77">
        <f t="shared" ca="1" si="586"/>
        <v>46044</v>
      </c>
      <c r="B6425" s="80">
        <f t="shared" ca="1" si="587"/>
        <v>46044.393195949073</v>
      </c>
      <c r="C6425" s="76" t="s">
        <v>858</v>
      </c>
      <c r="D6425" s="76" t="s">
        <v>902</v>
      </c>
      <c r="E6425" s="79" t="s">
        <v>3392</v>
      </c>
      <c r="F6425" s="79"/>
    </row>
    <row r="6426" spans="1:6">
      <c r="A6426" s="77">
        <f t="shared" ca="1" si="586"/>
        <v>46044</v>
      </c>
      <c r="B6426" s="80">
        <f t="shared" ca="1" si="587"/>
        <v>46044.406666435185</v>
      </c>
      <c r="C6426" s="76" t="s">
        <v>858</v>
      </c>
      <c r="D6426" s="76" t="s">
        <v>902</v>
      </c>
      <c r="E6426" s="76" t="s">
        <v>3386</v>
      </c>
      <c r="F6426" s="79"/>
    </row>
    <row r="6427" spans="1:6">
      <c r="A6427" s="77">
        <f t="shared" ca="1" si="586"/>
        <v>46044</v>
      </c>
      <c r="B6427" s="80">
        <f t="shared" ca="1" si="587"/>
        <v>46044.408424884263</v>
      </c>
      <c r="C6427" s="76" t="s">
        <v>858</v>
      </c>
      <c r="D6427" s="76" t="s">
        <v>902</v>
      </c>
      <c r="E6427" s="76" t="s">
        <v>3386</v>
      </c>
      <c r="F6427" s="79"/>
    </row>
    <row r="6428" spans="1:6">
      <c r="A6428" s="77">
        <f t="shared" ref="A6428:A6462" ca="1" si="588">IF(C6428&lt;&gt;0,IF(A6428=0,TODAY(),A6428),)</f>
        <v>46044</v>
      </c>
      <c r="B6428" s="80">
        <f t="shared" ref="B6428:B6462" ca="1" si="589">IF(C6428&lt;&gt;0,IF(B6428=0,NOW(),B6428),)</f>
        <v>46044.431310416665</v>
      </c>
      <c r="C6428" s="76" t="s">
        <v>858</v>
      </c>
      <c r="D6428" s="76" t="s">
        <v>902</v>
      </c>
      <c r="E6428" s="76" t="s">
        <v>3387</v>
      </c>
      <c r="F6428" s="79"/>
    </row>
    <row r="6429" spans="1:6">
      <c r="A6429" s="77">
        <f t="shared" ca="1" si="588"/>
        <v>46044</v>
      </c>
      <c r="B6429" s="80">
        <f t="shared" ca="1" si="589"/>
        <v>46044.431737962965</v>
      </c>
      <c r="C6429" s="76" t="s">
        <v>858</v>
      </c>
      <c r="D6429" s="76" t="s">
        <v>902</v>
      </c>
      <c r="E6429" s="76" t="s">
        <v>2389</v>
      </c>
      <c r="F6429" s="79" t="s">
        <v>1213</v>
      </c>
    </row>
    <row r="6430" spans="1:6">
      <c r="A6430" s="77">
        <f t="shared" ca="1" si="588"/>
        <v>46044</v>
      </c>
      <c r="B6430" s="80">
        <f t="shared" ca="1" si="589"/>
        <v>46044.439601157406</v>
      </c>
      <c r="C6430" s="76" t="s">
        <v>858</v>
      </c>
      <c r="D6430" s="76" t="s">
        <v>902</v>
      </c>
      <c r="E6430" s="76" t="s">
        <v>3386</v>
      </c>
      <c r="F6430" s="79"/>
    </row>
    <row r="6431" spans="1:6">
      <c r="A6431" s="77">
        <f t="shared" ca="1" si="588"/>
        <v>46044</v>
      </c>
      <c r="B6431" s="80">
        <f t="shared" ca="1" si="589"/>
        <v>46044.442768287037</v>
      </c>
      <c r="C6431" s="76" t="s">
        <v>858</v>
      </c>
      <c r="D6431" s="76" t="s">
        <v>902</v>
      </c>
      <c r="E6431" s="76" t="s">
        <v>1229</v>
      </c>
      <c r="F6431" s="79"/>
    </row>
    <row r="6432" spans="1:6">
      <c r="A6432" s="77">
        <f t="shared" ca="1" si="588"/>
        <v>46044</v>
      </c>
      <c r="B6432" s="80">
        <f t="shared" ca="1" si="589"/>
        <v>46044.451659375001</v>
      </c>
      <c r="C6432" s="76" t="s">
        <v>858</v>
      </c>
      <c r="D6432" s="76" t="s">
        <v>902</v>
      </c>
      <c r="E6432" s="79" t="s">
        <v>1229</v>
      </c>
      <c r="F6432" s="79"/>
    </row>
    <row r="6433" spans="1:6">
      <c r="A6433" s="77">
        <f t="shared" ca="1" si="588"/>
        <v>46044</v>
      </c>
      <c r="B6433" s="80">
        <f t="shared" ca="1" si="589"/>
        <v>46044.454796527774</v>
      </c>
      <c r="C6433" s="76" t="s">
        <v>858</v>
      </c>
      <c r="D6433" s="210" t="s">
        <v>922</v>
      </c>
      <c r="E6433" s="76"/>
      <c r="F6433" s="79"/>
    </row>
    <row r="6434" spans="1:6">
      <c r="A6434" s="77">
        <f t="shared" ca="1" si="588"/>
        <v>46044</v>
      </c>
      <c r="B6434" s="80">
        <f t="shared" ca="1" si="589"/>
        <v>46044.497318981485</v>
      </c>
      <c r="C6434" s="76" t="s">
        <v>858</v>
      </c>
      <c r="D6434" s="210" t="s">
        <v>1098</v>
      </c>
      <c r="E6434" s="79"/>
      <c r="F6434" s="79"/>
    </row>
    <row r="6435" spans="1:6">
      <c r="A6435" s="77">
        <f t="shared" ca="1" si="588"/>
        <v>46044</v>
      </c>
      <c r="B6435" s="80">
        <f t="shared" ca="1" si="589"/>
        <v>46044.545901967591</v>
      </c>
      <c r="C6435" s="76" t="s">
        <v>861</v>
      </c>
      <c r="D6435" s="210" t="s">
        <v>906</v>
      </c>
      <c r="E6435" s="79"/>
      <c r="F6435" s="79"/>
    </row>
    <row r="6436" spans="1:6">
      <c r="A6436" s="77">
        <f t="shared" ca="1" si="588"/>
        <v>46044</v>
      </c>
      <c r="B6436" s="80">
        <f t="shared" ca="1" si="589"/>
        <v>46044.637014467589</v>
      </c>
      <c r="C6436" s="76" t="s">
        <v>861</v>
      </c>
      <c r="D6436" s="210" t="s">
        <v>909</v>
      </c>
      <c r="E6436" s="79"/>
      <c r="F6436" s="79"/>
    </row>
    <row r="6437" spans="1:6">
      <c r="A6437" s="77">
        <f t="shared" ca="1" si="588"/>
        <v>46044</v>
      </c>
      <c r="B6437" s="80">
        <f t="shared" ca="1" si="589"/>
        <v>46044.637342013892</v>
      </c>
      <c r="C6437" s="76" t="s">
        <v>861</v>
      </c>
      <c r="D6437" s="76" t="s">
        <v>902</v>
      </c>
      <c r="E6437" s="76" t="s">
        <v>3387</v>
      </c>
      <c r="F6437" s="79"/>
    </row>
    <row r="6438" spans="1:6">
      <c r="A6438" s="77">
        <f t="shared" ca="1" si="588"/>
        <v>46044</v>
      </c>
      <c r="B6438" s="80">
        <f t="shared" ca="1" si="589"/>
        <v>46044.645267361113</v>
      </c>
      <c r="C6438" s="76" t="s">
        <v>861</v>
      </c>
      <c r="D6438" s="76" t="s">
        <v>902</v>
      </c>
      <c r="E6438" s="76" t="s">
        <v>3393</v>
      </c>
      <c r="F6438" s="79"/>
    </row>
    <row r="6439" spans="1:6">
      <c r="A6439" s="77">
        <f t="shared" ca="1" si="588"/>
        <v>46044</v>
      </c>
      <c r="B6439" s="80">
        <f t="shared" ca="1" si="589"/>
        <v>46044.647947106481</v>
      </c>
      <c r="C6439" s="76" t="s">
        <v>861</v>
      </c>
      <c r="D6439" s="76" t="s">
        <v>902</v>
      </c>
      <c r="E6439" s="79" t="s">
        <v>3393</v>
      </c>
      <c r="F6439" s="79"/>
    </row>
    <row r="6440" spans="1:6">
      <c r="A6440" s="77">
        <f t="shared" ca="1" si="588"/>
        <v>46044</v>
      </c>
      <c r="B6440" s="80">
        <f t="shared" ca="1" si="589"/>
        <v>46044.650434490744</v>
      </c>
      <c r="C6440" s="76" t="s">
        <v>861</v>
      </c>
      <c r="D6440" s="76" t="s">
        <v>902</v>
      </c>
      <c r="E6440" s="79" t="s">
        <v>3393</v>
      </c>
      <c r="F6440" s="79"/>
    </row>
    <row r="6441" spans="1:6">
      <c r="A6441" s="77">
        <f t="shared" ca="1" si="588"/>
        <v>46044</v>
      </c>
      <c r="B6441" s="80">
        <f t="shared" ca="1" si="589"/>
        <v>46044.655973148147</v>
      </c>
      <c r="C6441" s="76" t="s">
        <v>861</v>
      </c>
      <c r="D6441" s="76" t="s">
        <v>902</v>
      </c>
      <c r="E6441" s="76" t="s">
        <v>3387</v>
      </c>
      <c r="F6441" s="79"/>
    </row>
    <row r="6442" spans="1:6">
      <c r="A6442" s="77">
        <f t="shared" ca="1" si="588"/>
        <v>46044</v>
      </c>
      <c r="B6442" s="80">
        <f t="shared" ca="1" si="589"/>
        <v>46044.655973148147</v>
      </c>
      <c r="C6442" s="76" t="s">
        <v>861</v>
      </c>
      <c r="D6442" s="76" t="s">
        <v>902</v>
      </c>
      <c r="E6442" s="76" t="s">
        <v>3393</v>
      </c>
      <c r="F6442" s="79"/>
    </row>
    <row r="6443" spans="1:6">
      <c r="A6443" s="77">
        <f t="shared" ca="1" si="588"/>
        <v>46044</v>
      </c>
      <c r="B6443" s="80">
        <f t="shared" ca="1" si="589"/>
        <v>46044.657465509263</v>
      </c>
      <c r="C6443" s="76" t="s">
        <v>861</v>
      </c>
      <c r="D6443" s="76" t="s">
        <v>902</v>
      </c>
      <c r="E6443" s="76" t="s">
        <v>3393</v>
      </c>
      <c r="F6443" s="79"/>
    </row>
    <row r="6444" spans="1:6">
      <c r="A6444" s="77">
        <f t="shared" ca="1" si="588"/>
        <v>46044</v>
      </c>
      <c r="B6444" s="80">
        <f t="shared" ca="1" si="589"/>
        <v>46044.659968865744</v>
      </c>
      <c r="C6444" s="76" t="s">
        <v>861</v>
      </c>
      <c r="D6444" s="76" t="s">
        <v>902</v>
      </c>
      <c r="E6444" s="76" t="s">
        <v>3394</v>
      </c>
      <c r="F6444" s="79"/>
    </row>
    <row r="6445" spans="1:6">
      <c r="A6445" s="77">
        <f t="shared" ca="1" si="588"/>
        <v>46044</v>
      </c>
      <c r="B6445" s="80">
        <f t="shared" ca="1" si="589"/>
        <v>46044.66387650463</v>
      </c>
      <c r="C6445" s="76" t="s">
        <v>861</v>
      </c>
      <c r="D6445" s="76" t="s">
        <v>902</v>
      </c>
      <c r="E6445" s="76" t="s">
        <v>3387</v>
      </c>
      <c r="F6445" s="79"/>
    </row>
    <row r="6446" spans="1:6">
      <c r="A6446" s="77">
        <f t="shared" ca="1" si="588"/>
        <v>46044</v>
      </c>
      <c r="B6446" s="80">
        <f t="shared" ca="1" si="589"/>
        <v>46044.670809027775</v>
      </c>
      <c r="C6446" s="76" t="s">
        <v>861</v>
      </c>
      <c r="D6446" s="76" t="s">
        <v>902</v>
      </c>
      <c r="E6446" s="76" t="s">
        <v>3394</v>
      </c>
      <c r="F6446" s="79"/>
    </row>
    <row r="6447" spans="1:6">
      <c r="A6447" s="77">
        <f t="shared" ca="1" si="588"/>
        <v>46044</v>
      </c>
      <c r="B6447" s="80">
        <f t="shared" ca="1" si="589"/>
        <v>46044.672396643517</v>
      </c>
      <c r="C6447" s="76" t="s">
        <v>861</v>
      </c>
      <c r="D6447" s="76" t="s">
        <v>902</v>
      </c>
      <c r="E6447" s="76" t="s">
        <v>3387</v>
      </c>
      <c r="F6447" s="79"/>
    </row>
    <row r="6448" spans="1:6">
      <c r="A6448" s="77">
        <f t="shared" ca="1" si="588"/>
        <v>46044</v>
      </c>
      <c r="B6448" s="80">
        <f t="shared" ca="1" si="589"/>
        <v>46044.67354895833</v>
      </c>
      <c r="C6448" s="76" t="s">
        <v>861</v>
      </c>
      <c r="D6448" s="76" t="s">
        <v>902</v>
      </c>
      <c r="E6448" s="76" t="s">
        <v>3394</v>
      </c>
      <c r="F6448" s="79"/>
    </row>
    <row r="6449" spans="1:7" s="205" customFormat="1">
      <c r="A6449" s="204">
        <f t="shared" ca="1" si="588"/>
        <v>46044</v>
      </c>
      <c r="B6449" s="93">
        <f t="shared" ca="1" si="589"/>
        <v>46044.675127199072</v>
      </c>
      <c r="C6449" s="205" t="s">
        <v>861</v>
      </c>
      <c r="D6449" s="205" t="s">
        <v>902</v>
      </c>
      <c r="E6449" s="206" t="s">
        <v>2067</v>
      </c>
      <c r="F6449" s="206"/>
      <c r="G6449" s="205" t="s">
        <v>3395</v>
      </c>
    </row>
    <row r="6450" spans="1:7">
      <c r="A6450" s="77">
        <f t="shared" ca="1" si="588"/>
        <v>46044</v>
      </c>
      <c r="B6450" s="80">
        <f t="shared" ca="1" si="589"/>
        <v>46044.675733796299</v>
      </c>
      <c r="C6450" s="76" t="s">
        <v>861</v>
      </c>
      <c r="D6450" s="76" t="s">
        <v>902</v>
      </c>
      <c r="E6450" s="76" t="s">
        <v>3394</v>
      </c>
      <c r="F6450" s="79"/>
    </row>
    <row r="6451" spans="1:7">
      <c r="A6451" s="77">
        <f t="shared" ca="1" si="588"/>
        <v>46044</v>
      </c>
      <c r="B6451" s="80">
        <f t="shared" ca="1" si="589"/>
        <v>46044.682552777776</v>
      </c>
      <c r="C6451" s="76" t="s">
        <v>861</v>
      </c>
      <c r="D6451" s="76" t="s">
        <v>902</v>
      </c>
      <c r="E6451" s="76" t="s">
        <v>3394</v>
      </c>
      <c r="F6451" s="79"/>
    </row>
    <row r="6452" spans="1:7">
      <c r="A6452" s="77">
        <f t="shared" ca="1" si="588"/>
        <v>46044</v>
      </c>
      <c r="B6452" s="80">
        <f t="shared" ca="1" si="589"/>
        <v>46044.683630439817</v>
      </c>
      <c r="C6452" s="76" t="s">
        <v>861</v>
      </c>
      <c r="D6452" s="76" t="s">
        <v>902</v>
      </c>
      <c r="E6452" s="76" t="s">
        <v>2389</v>
      </c>
      <c r="F6452" s="79" t="s">
        <v>1213</v>
      </c>
    </row>
    <row r="6453" spans="1:7">
      <c r="A6453" s="77">
        <f t="shared" ca="1" si="588"/>
        <v>46044</v>
      </c>
      <c r="B6453" s="80">
        <f t="shared" ca="1" si="589"/>
        <v>46044.686439004632</v>
      </c>
      <c r="C6453" s="76" t="s">
        <v>861</v>
      </c>
      <c r="D6453" s="76" t="s">
        <v>902</v>
      </c>
      <c r="E6453" s="76" t="s">
        <v>3387</v>
      </c>
      <c r="F6453" s="79"/>
    </row>
    <row r="6454" spans="1:7">
      <c r="A6454" s="77">
        <f t="shared" ca="1" si="588"/>
        <v>46044</v>
      </c>
      <c r="B6454" s="80">
        <f t="shared" ca="1" si="589"/>
        <v>46044.686466435189</v>
      </c>
      <c r="C6454" s="76" t="s">
        <v>861</v>
      </c>
      <c r="D6454" s="76" t="s">
        <v>902</v>
      </c>
      <c r="E6454" s="76" t="s">
        <v>3387</v>
      </c>
      <c r="F6454" s="79"/>
    </row>
    <row r="6455" spans="1:7">
      <c r="A6455" s="77">
        <f t="shared" ca="1" si="588"/>
        <v>46044</v>
      </c>
      <c r="B6455" s="80">
        <f t="shared" ca="1" si="589"/>
        <v>46044.687558217593</v>
      </c>
      <c r="C6455" s="76" t="s">
        <v>861</v>
      </c>
      <c r="D6455" s="76" t="s">
        <v>902</v>
      </c>
      <c r="E6455" s="76" t="s">
        <v>3387</v>
      </c>
      <c r="F6455" s="79"/>
    </row>
    <row r="6456" spans="1:7">
      <c r="A6456" s="77">
        <f t="shared" ca="1" si="588"/>
        <v>46044</v>
      </c>
      <c r="B6456" s="80">
        <f t="shared" ca="1" si="589"/>
        <v>46044.688840393515</v>
      </c>
      <c r="C6456" s="76" t="s">
        <v>861</v>
      </c>
      <c r="D6456" s="76" t="s">
        <v>902</v>
      </c>
      <c r="E6456" s="76" t="s">
        <v>3387</v>
      </c>
      <c r="F6456" s="79"/>
    </row>
    <row r="6457" spans="1:7">
      <c r="A6457" s="77">
        <f t="shared" ca="1" si="588"/>
        <v>46044</v>
      </c>
      <c r="B6457" s="80">
        <f t="shared" ca="1" si="589"/>
        <v>46044.692303124997</v>
      </c>
      <c r="C6457" s="76" t="s">
        <v>861</v>
      </c>
      <c r="D6457" s="76" t="s">
        <v>902</v>
      </c>
      <c r="E6457" s="76" t="s">
        <v>3394</v>
      </c>
      <c r="F6457" s="79"/>
    </row>
    <row r="6458" spans="1:7">
      <c r="A6458" s="77">
        <f t="shared" ca="1" si="588"/>
        <v>46044</v>
      </c>
      <c r="B6458" s="80">
        <f t="shared" ca="1" si="589"/>
        <v>46044.700365972225</v>
      </c>
      <c r="C6458" s="76" t="s">
        <v>861</v>
      </c>
      <c r="D6458" s="150" t="s">
        <v>1007</v>
      </c>
      <c r="E6458" s="76" t="s">
        <v>3394</v>
      </c>
      <c r="F6458" s="79"/>
    </row>
    <row r="6459" spans="1:7">
      <c r="A6459" s="77">
        <f t="shared" ca="1" si="588"/>
        <v>46044</v>
      </c>
      <c r="B6459" s="80">
        <f t="shared" ca="1" si="589"/>
        <v>46044.70829652778</v>
      </c>
      <c r="C6459" s="76" t="s">
        <v>861</v>
      </c>
      <c r="D6459" s="76" t="s">
        <v>902</v>
      </c>
      <c r="E6459" s="76" t="s">
        <v>3387</v>
      </c>
      <c r="F6459" s="79"/>
    </row>
    <row r="6460" spans="1:7">
      <c r="A6460" s="77">
        <f t="shared" ca="1" si="588"/>
        <v>46044</v>
      </c>
      <c r="B6460" s="80">
        <f t="shared" ca="1" si="589"/>
        <v>46044.710567592592</v>
      </c>
      <c r="C6460" s="76" t="s">
        <v>861</v>
      </c>
      <c r="D6460" s="76" t="s">
        <v>902</v>
      </c>
      <c r="E6460" s="76" t="s">
        <v>3387</v>
      </c>
      <c r="F6460" s="79"/>
    </row>
    <row r="6461" spans="1:7">
      <c r="A6461" s="77">
        <f t="shared" ca="1" si="588"/>
        <v>46044</v>
      </c>
      <c r="B6461" s="80">
        <f t="shared" ca="1" si="589"/>
        <v>46044.711908680554</v>
      </c>
      <c r="C6461" s="76" t="s">
        <v>861</v>
      </c>
      <c r="D6461" s="76" t="s">
        <v>902</v>
      </c>
      <c r="E6461" s="76" t="s">
        <v>3387</v>
      </c>
      <c r="F6461" s="79"/>
    </row>
    <row r="6462" spans="1:7">
      <c r="A6462" s="77">
        <f t="shared" ca="1" si="588"/>
        <v>46044</v>
      </c>
      <c r="B6462" s="80">
        <f t="shared" ca="1" si="589"/>
        <v>46044.712865162037</v>
      </c>
      <c r="C6462" s="76" t="s">
        <v>861</v>
      </c>
      <c r="D6462" s="76" t="s">
        <v>902</v>
      </c>
      <c r="E6462" s="76" t="s">
        <v>3387</v>
      </c>
      <c r="F6462" s="79"/>
    </row>
    <row r="6463" spans="1:7">
      <c r="A6463" s="77">
        <f t="shared" ref="A6463:A6494" ca="1" si="590">IF(C6463&lt;&gt;0,IF(A6463=0,TODAY(),A6463),)</f>
        <v>46044</v>
      </c>
      <c r="B6463" s="80">
        <f t="shared" ref="B6463:B6494" ca="1" si="591">IF(C6463&lt;&gt;0,IF(B6463=0,NOW(),B6463),)</f>
        <v>46044.712865162037</v>
      </c>
      <c r="C6463" s="76" t="s">
        <v>861</v>
      </c>
      <c r="D6463" s="76" t="s">
        <v>902</v>
      </c>
      <c r="E6463" s="76" t="s">
        <v>3387</v>
      </c>
      <c r="F6463" s="79"/>
    </row>
    <row r="6464" spans="1:7">
      <c r="A6464" s="77">
        <f t="shared" ca="1" si="590"/>
        <v>46044</v>
      </c>
      <c r="B6464" s="80">
        <f t="shared" ca="1" si="591"/>
        <v>46044.720993055555</v>
      </c>
      <c r="C6464" s="76" t="s">
        <v>861</v>
      </c>
      <c r="D6464" s="76" t="s">
        <v>902</v>
      </c>
      <c r="E6464" s="76" t="s">
        <v>3387</v>
      </c>
      <c r="F6464" s="79"/>
    </row>
    <row r="6465" spans="1:7">
      <c r="A6465" s="77">
        <f t="shared" ca="1" si="590"/>
        <v>46044</v>
      </c>
      <c r="B6465" s="80">
        <f t="shared" ca="1" si="591"/>
        <v>46044.720993055555</v>
      </c>
      <c r="C6465" s="76" t="s">
        <v>861</v>
      </c>
      <c r="D6465" s="76" t="s">
        <v>902</v>
      </c>
      <c r="E6465" s="76" t="s">
        <v>3387</v>
      </c>
      <c r="F6465" s="79"/>
    </row>
    <row r="6466" spans="1:7">
      <c r="A6466" s="77">
        <f t="shared" ca="1" si="590"/>
        <v>46044</v>
      </c>
      <c r="B6466" s="80">
        <f t="shared" ca="1" si="591"/>
        <v>46044.720993055555</v>
      </c>
      <c r="C6466" s="76" t="s">
        <v>861</v>
      </c>
      <c r="D6466" s="76" t="s">
        <v>902</v>
      </c>
      <c r="E6466" s="76" t="s">
        <v>3387</v>
      </c>
      <c r="F6466" s="79"/>
    </row>
    <row r="6467" spans="1:7">
      <c r="A6467" s="77">
        <f t="shared" ca="1" si="590"/>
        <v>46044</v>
      </c>
      <c r="B6467" s="80">
        <f t="shared" ca="1" si="591"/>
        <v>46044.724160300924</v>
      </c>
      <c r="C6467" s="76" t="s">
        <v>861</v>
      </c>
      <c r="D6467" s="76" t="s">
        <v>902</v>
      </c>
      <c r="E6467" s="76" t="s">
        <v>3387</v>
      </c>
      <c r="F6467" s="79"/>
    </row>
    <row r="6468" spans="1:7">
      <c r="A6468" s="77">
        <f t="shared" ca="1" si="590"/>
        <v>46044</v>
      </c>
      <c r="B6468" s="80">
        <f t="shared" ca="1" si="591"/>
        <v>46044.726632175923</v>
      </c>
      <c r="C6468" s="76" t="s">
        <v>861</v>
      </c>
      <c r="D6468" s="76" t="s">
        <v>902</v>
      </c>
      <c r="E6468" s="76" t="s">
        <v>3387</v>
      </c>
      <c r="F6468" s="79"/>
    </row>
    <row r="6469" spans="1:7">
      <c r="A6469" s="77">
        <f t="shared" ca="1" si="590"/>
        <v>46044</v>
      </c>
      <c r="B6469" s="80">
        <f t="shared" ca="1" si="591"/>
        <v>46044.73599050926</v>
      </c>
      <c r="C6469" s="76" t="s">
        <v>861</v>
      </c>
      <c r="D6469" s="76" t="s">
        <v>902</v>
      </c>
      <c r="E6469" s="76" t="s">
        <v>3387</v>
      </c>
      <c r="F6469" s="79"/>
    </row>
    <row r="6470" spans="1:7">
      <c r="A6470" s="77">
        <f t="shared" ca="1" si="590"/>
        <v>46044</v>
      </c>
      <c r="B6470" s="80">
        <f t="shared" ca="1" si="591"/>
        <v>46044.736904166668</v>
      </c>
      <c r="C6470" s="76" t="s">
        <v>861</v>
      </c>
      <c r="D6470" s="76" t="s">
        <v>902</v>
      </c>
      <c r="E6470" s="76" t="s">
        <v>3394</v>
      </c>
      <c r="F6470" s="79"/>
    </row>
    <row r="6471" spans="1:7">
      <c r="A6471" s="77">
        <f t="shared" ca="1" si="590"/>
        <v>46044</v>
      </c>
      <c r="B6471" s="80">
        <f t="shared" ca="1" si="591"/>
        <v>46044.738774884259</v>
      </c>
      <c r="C6471" s="76" t="s">
        <v>861</v>
      </c>
      <c r="D6471" s="76" t="s">
        <v>902</v>
      </c>
      <c r="E6471" s="79" t="s">
        <v>2067</v>
      </c>
      <c r="F6471" s="79"/>
    </row>
    <row r="6472" spans="1:7">
      <c r="A6472" s="77">
        <f t="shared" ca="1" si="590"/>
        <v>46044</v>
      </c>
      <c r="B6472" s="80">
        <f t="shared" ca="1" si="591"/>
        <v>46044.74969409722</v>
      </c>
      <c r="C6472" s="76" t="s">
        <v>861</v>
      </c>
      <c r="D6472" s="76" t="s">
        <v>902</v>
      </c>
      <c r="E6472" s="76" t="s">
        <v>3396</v>
      </c>
      <c r="F6472" s="79"/>
    </row>
    <row r="6473" spans="1:7">
      <c r="A6473" s="77">
        <f t="shared" ca="1" si="590"/>
        <v>46044</v>
      </c>
      <c r="B6473" s="80">
        <f t="shared" ca="1" si="591"/>
        <v>46044.757193981481</v>
      </c>
      <c r="C6473" s="76" t="s">
        <v>861</v>
      </c>
      <c r="D6473" s="76" t="s">
        <v>902</v>
      </c>
      <c r="E6473" s="79" t="s">
        <v>2067</v>
      </c>
      <c r="F6473" s="79"/>
    </row>
    <row r="6474" spans="1:7">
      <c r="A6474" s="77">
        <f t="shared" ca="1" si="590"/>
        <v>46044</v>
      </c>
      <c r="B6474" s="80">
        <f t="shared" ca="1" si="591"/>
        <v>46044.760931365738</v>
      </c>
      <c r="C6474" s="76" t="s">
        <v>861</v>
      </c>
      <c r="D6474" s="76" t="s">
        <v>902</v>
      </c>
      <c r="E6474" s="79" t="s">
        <v>3397</v>
      </c>
      <c r="F6474" s="79"/>
      <c r="G6474" s="79" t="s">
        <v>3398</v>
      </c>
    </row>
    <row r="6475" spans="1:7">
      <c r="A6475" s="77">
        <f t="shared" ca="1" si="590"/>
        <v>46044</v>
      </c>
      <c r="B6475" s="80">
        <f t="shared" ca="1" si="591"/>
        <v>46044.763476388885</v>
      </c>
      <c r="C6475" s="76" t="s">
        <v>861</v>
      </c>
      <c r="D6475" s="76" t="s">
        <v>902</v>
      </c>
      <c r="E6475" s="76" t="s">
        <v>3393</v>
      </c>
      <c r="F6475" s="79"/>
    </row>
    <row r="6476" spans="1:7">
      <c r="A6476" s="77">
        <f t="shared" ca="1" si="590"/>
        <v>46044</v>
      </c>
      <c r="B6476" s="80">
        <f t="shared" ca="1" si="591"/>
        <v>46044.763700115742</v>
      </c>
      <c r="C6476" s="76" t="s">
        <v>861</v>
      </c>
      <c r="D6476" s="76" t="s">
        <v>902</v>
      </c>
      <c r="E6476" s="76" t="s">
        <v>3387</v>
      </c>
      <c r="F6476" s="79"/>
    </row>
    <row r="6477" spans="1:7">
      <c r="A6477" s="77">
        <f t="shared" ca="1" si="590"/>
        <v>46044</v>
      </c>
      <c r="B6477" s="80">
        <f t="shared" ca="1" si="591"/>
        <v>46044.763731018516</v>
      </c>
      <c r="C6477" s="76" t="s">
        <v>861</v>
      </c>
      <c r="D6477" s="76" t="s">
        <v>902</v>
      </c>
      <c r="E6477" s="76" t="s">
        <v>3387</v>
      </c>
      <c r="F6477" s="79"/>
    </row>
    <row r="6478" spans="1:7">
      <c r="A6478" s="77">
        <f t="shared" ca="1" si="590"/>
        <v>46044</v>
      </c>
      <c r="B6478" s="80">
        <f t="shared" ca="1" si="591"/>
        <v>46044.77494166667</v>
      </c>
      <c r="C6478" s="76" t="s">
        <v>861</v>
      </c>
      <c r="D6478" s="76" t="s">
        <v>902</v>
      </c>
      <c r="E6478" s="6" t="s">
        <v>3399</v>
      </c>
      <c r="F6478" s="79"/>
    </row>
    <row r="6479" spans="1:7">
      <c r="A6479" s="77">
        <f t="shared" ca="1" si="590"/>
        <v>46044</v>
      </c>
      <c r="B6479" s="80">
        <f t="shared" ca="1" si="591"/>
        <v>46044.775944675923</v>
      </c>
      <c r="C6479" s="76" t="s">
        <v>861</v>
      </c>
      <c r="D6479" s="76" t="s">
        <v>902</v>
      </c>
      <c r="E6479" s="76" t="s">
        <v>2464</v>
      </c>
      <c r="F6479" s="79"/>
    </row>
    <row r="6480" spans="1:7">
      <c r="A6480" s="77">
        <f t="shared" ca="1" si="590"/>
        <v>46044</v>
      </c>
      <c r="B6480" s="80">
        <f t="shared" ca="1" si="591"/>
        <v>46044.777362615743</v>
      </c>
      <c r="C6480" s="76" t="s">
        <v>861</v>
      </c>
      <c r="D6480" s="76" t="s">
        <v>902</v>
      </c>
      <c r="E6480" s="76" t="s">
        <v>3400</v>
      </c>
      <c r="F6480" s="79"/>
    </row>
    <row r="6481" spans="1:7">
      <c r="A6481" s="77">
        <f t="shared" ca="1" si="590"/>
        <v>46044</v>
      </c>
      <c r="B6481" s="80">
        <f t="shared" ca="1" si="591"/>
        <v>46044.777094097219</v>
      </c>
      <c r="C6481" s="76" t="s">
        <v>861</v>
      </c>
      <c r="D6481" s="76" t="s">
        <v>902</v>
      </c>
      <c r="E6481" s="76" t="s">
        <v>3387</v>
      </c>
      <c r="F6481" s="79"/>
      <c r="G6481" s="76" t="s">
        <v>3401</v>
      </c>
    </row>
    <row r="6482" spans="1:7">
      <c r="A6482" s="77">
        <f t="shared" ca="1" si="590"/>
        <v>46044</v>
      </c>
      <c r="B6482" s="80">
        <f t="shared" ca="1" si="591"/>
        <v>46044.784801273148</v>
      </c>
      <c r="C6482" s="76" t="s">
        <v>861</v>
      </c>
      <c r="D6482" s="150" t="s">
        <v>1007</v>
      </c>
      <c r="E6482" s="76" t="s">
        <v>3387</v>
      </c>
      <c r="F6482" s="79"/>
    </row>
    <row r="6483" spans="1:7">
      <c r="A6483" s="77">
        <f t="shared" ca="1" si="590"/>
        <v>46044</v>
      </c>
      <c r="B6483" s="80">
        <f t="shared" ca="1" si="591"/>
        <v>46044.805783912037</v>
      </c>
      <c r="C6483" s="76" t="s">
        <v>861</v>
      </c>
      <c r="D6483" s="76" t="s">
        <v>902</v>
      </c>
      <c r="E6483" s="79" t="s">
        <v>3393</v>
      </c>
      <c r="F6483" s="79"/>
    </row>
    <row r="6484" spans="1:7">
      <c r="A6484" s="77">
        <f t="shared" ca="1" si="590"/>
        <v>46044</v>
      </c>
      <c r="B6484" s="80">
        <f t="shared" ca="1" si="591"/>
        <v>46044.825816898148</v>
      </c>
      <c r="C6484" s="76" t="s">
        <v>861</v>
      </c>
      <c r="D6484" s="76" t="s">
        <v>902</v>
      </c>
      <c r="E6484" s="76" t="s">
        <v>3402</v>
      </c>
      <c r="F6484" s="79"/>
    </row>
    <row r="6485" spans="1:7">
      <c r="A6485" s="77">
        <f t="shared" ca="1" si="590"/>
        <v>46044</v>
      </c>
      <c r="B6485" s="80">
        <f t="shared" ca="1" si="591"/>
        <v>46044.889775115742</v>
      </c>
      <c r="C6485" s="76" t="s">
        <v>861</v>
      </c>
      <c r="D6485" s="76" t="s">
        <v>902</v>
      </c>
      <c r="E6485" s="76" t="s">
        <v>3403</v>
      </c>
      <c r="F6485" s="79"/>
    </row>
    <row r="6486" spans="1:7">
      <c r="A6486" s="77">
        <f t="shared" ca="1" si="590"/>
        <v>46044</v>
      </c>
      <c r="B6486" s="80">
        <f t="shared" ca="1" si="591"/>
        <v>46044.892057175923</v>
      </c>
      <c r="C6486" s="76" t="s">
        <v>861</v>
      </c>
      <c r="D6486" s="76" t="s">
        <v>902</v>
      </c>
      <c r="E6486" s="76" t="s">
        <v>2464</v>
      </c>
      <c r="F6486" s="79"/>
    </row>
    <row r="6487" spans="1:7">
      <c r="A6487" s="77">
        <f t="shared" ca="1" si="590"/>
        <v>46044</v>
      </c>
      <c r="B6487" s="80">
        <f t="shared" ca="1" si="591"/>
        <v>46044.894820486108</v>
      </c>
      <c r="C6487" s="76" t="s">
        <v>861</v>
      </c>
      <c r="D6487" s="76" t="s">
        <v>902</v>
      </c>
      <c r="E6487" s="79" t="s">
        <v>3393</v>
      </c>
      <c r="F6487" s="79"/>
    </row>
    <row r="6488" spans="1:7">
      <c r="A6488" s="77">
        <f t="shared" ca="1" si="590"/>
        <v>46044</v>
      </c>
      <c r="B6488" s="80">
        <f t="shared" ca="1" si="591"/>
        <v>46044.904027430559</v>
      </c>
      <c r="C6488" s="76" t="s">
        <v>861</v>
      </c>
      <c r="D6488" s="76" t="s">
        <v>902</v>
      </c>
      <c r="E6488" s="76" t="s">
        <v>2464</v>
      </c>
      <c r="F6488" s="79"/>
    </row>
    <row r="6489" spans="1:7">
      <c r="A6489" s="77">
        <f t="shared" ca="1" si="590"/>
        <v>46044</v>
      </c>
      <c r="B6489" s="80">
        <f t="shared" ca="1" si="591"/>
        <v>46044.948284722224</v>
      </c>
      <c r="C6489" s="76" t="s">
        <v>861</v>
      </c>
      <c r="D6489" s="76" t="s">
        <v>902</v>
      </c>
      <c r="E6489" s="76" t="s">
        <v>2125</v>
      </c>
      <c r="F6489" s="79"/>
    </row>
    <row r="6490" spans="1:7">
      <c r="A6490" s="77">
        <f t="shared" ca="1" si="590"/>
        <v>46045</v>
      </c>
      <c r="B6490" s="80">
        <f t="shared" ca="1" si="591"/>
        <v>46045.005238425925</v>
      </c>
      <c r="C6490" s="76" t="s">
        <v>861</v>
      </c>
      <c r="D6490" s="210" t="s">
        <v>922</v>
      </c>
      <c r="E6490" s="79"/>
      <c r="F6490" s="79"/>
    </row>
    <row r="6491" spans="1:7">
      <c r="A6491" s="77">
        <f t="shared" ca="1" si="590"/>
        <v>46045</v>
      </c>
      <c r="B6491" s="80">
        <v>1.7361111111111112E-2</v>
      </c>
      <c r="C6491" s="76" t="s">
        <v>866</v>
      </c>
      <c r="D6491" s="76" t="s">
        <v>902</v>
      </c>
      <c r="E6491" s="76" t="s">
        <v>3404</v>
      </c>
      <c r="F6491" s="79"/>
      <c r="G6491" s="76" t="s">
        <v>3405</v>
      </c>
    </row>
    <row r="6492" spans="1:7">
      <c r="A6492" s="77">
        <f t="shared" ca="1" si="590"/>
        <v>46045</v>
      </c>
      <c r="B6492" s="80">
        <v>0.10486111111111111</v>
      </c>
      <c r="C6492" s="76" t="s">
        <v>866</v>
      </c>
      <c r="D6492" s="210" t="s">
        <v>909</v>
      </c>
      <c r="E6492" s="79"/>
      <c r="F6492" s="79"/>
    </row>
    <row r="6493" spans="1:7">
      <c r="A6493" s="77">
        <f t="shared" ca="1" si="590"/>
        <v>46045</v>
      </c>
      <c r="B6493" s="80">
        <f t="shared" ca="1" si="591"/>
        <v>46045.118545254627</v>
      </c>
      <c r="C6493" s="76" t="s">
        <v>866</v>
      </c>
      <c r="D6493" s="76" t="s">
        <v>902</v>
      </c>
      <c r="E6493" s="79" t="s">
        <v>2961</v>
      </c>
      <c r="F6493" s="79"/>
    </row>
    <row r="6494" spans="1:7">
      <c r="A6494" s="77">
        <f t="shared" ca="1" si="590"/>
        <v>46045</v>
      </c>
      <c r="B6494" s="80">
        <f t="shared" ca="1" si="591"/>
        <v>46045.119446180557</v>
      </c>
      <c r="C6494" s="76" t="s">
        <v>866</v>
      </c>
      <c r="D6494" s="76" t="s">
        <v>902</v>
      </c>
      <c r="E6494" s="79" t="s">
        <v>2961</v>
      </c>
      <c r="F6494" s="79"/>
    </row>
    <row r="6495" spans="1:7">
      <c r="A6495" s="77">
        <f t="shared" ref="A6495:C6526" ca="1" si="592">IF(C6495&lt;&gt;0,IF(A6495=0,TODAY(),A6495),)</f>
        <v>46045</v>
      </c>
      <c r="B6495" s="80">
        <f t="shared" ref="B6495:B6526" ca="1" si="593">IF(C6495&lt;&gt;0,IF(B6495=0,NOW(),B6495),)</f>
        <v>46045.119462615738</v>
      </c>
      <c r="C6495" s="76" t="s">
        <v>866</v>
      </c>
      <c r="D6495" s="76" t="s">
        <v>902</v>
      </c>
      <c r="E6495" s="79" t="s">
        <v>2961</v>
      </c>
      <c r="F6495" s="79"/>
    </row>
    <row r="6496" spans="1:7">
      <c r="A6496" s="77">
        <f t="shared" ca="1" si="592"/>
        <v>46045</v>
      </c>
      <c r="B6496" s="80">
        <f t="shared" ca="1" si="593"/>
        <v>46045.120133217592</v>
      </c>
      <c r="C6496" s="76" t="s">
        <v>866</v>
      </c>
      <c r="D6496" s="76" t="s">
        <v>902</v>
      </c>
      <c r="E6496" s="79" t="s">
        <v>2961</v>
      </c>
      <c r="F6496" s="79"/>
    </row>
    <row r="6497" spans="1:6">
      <c r="A6497" s="77">
        <f t="shared" ca="1" si="592"/>
        <v>46045</v>
      </c>
      <c r="B6497" s="80">
        <f t="shared" ca="1" si="593"/>
        <v>46045.139665277777</v>
      </c>
      <c r="C6497" s="76" t="s">
        <v>866</v>
      </c>
      <c r="D6497" s="76" t="s">
        <v>902</v>
      </c>
      <c r="E6497" s="79" t="s">
        <v>2961</v>
      </c>
      <c r="F6497" s="79"/>
    </row>
    <row r="6498" spans="1:6">
      <c r="A6498" s="77">
        <f t="shared" ca="1" si="592"/>
        <v>46045</v>
      </c>
      <c r="B6498" s="80">
        <f t="shared" ca="1" si="593"/>
        <v>46045.150144212967</v>
      </c>
      <c r="C6498" s="76" t="s">
        <v>866</v>
      </c>
      <c r="D6498" s="76" t="s">
        <v>902</v>
      </c>
      <c r="E6498" s="79" t="s">
        <v>2961</v>
      </c>
      <c r="F6498" s="79"/>
    </row>
    <row r="6499" spans="1:6">
      <c r="A6499" s="77">
        <f t="shared" ca="1" si="592"/>
        <v>46045</v>
      </c>
      <c r="B6499" s="80">
        <f t="shared" ca="1" si="593"/>
        <v>46045.153020138889</v>
      </c>
      <c r="C6499" s="76" t="s">
        <v>866</v>
      </c>
      <c r="D6499" s="76" t="s">
        <v>902</v>
      </c>
      <c r="E6499" s="79" t="s">
        <v>2961</v>
      </c>
      <c r="F6499" s="79"/>
    </row>
    <row r="6500" spans="1:6">
      <c r="A6500" s="77">
        <f t="shared" ca="1" si="592"/>
        <v>46045</v>
      </c>
      <c r="B6500" s="80">
        <f t="shared" ca="1" si="593"/>
        <v>46045.153020138889</v>
      </c>
      <c r="C6500" s="76" t="s">
        <v>866</v>
      </c>
      <c r="D6500" s="76" t="s">
        <v>902</v>
      </c>
      <c r="E6500" s="79" t="s">
        <v>2961</v>
      </c>
      <c r="F6500" s="79"/>
    </row>
    <row r="6501" spans="1:6">
      <c r="A6501" s="77">
        <f t="shared" ref="A6501" ca="1" si="594">IF(C6501&lt;&gt;0,IF(A6501=0,TODAY(),A6501),)</f>
        <v>46045</v>
      </c>
      <c r="B6501" s="80">
        <f t="shared" ref="B6501" ca="1" si="595">IF(C6501&lt;&gt;0,IF(B6501=0,NOW(),B6501),)</f>
        <v>46045.162853819442</v>
      </c>
      <c r="C6501" s="76" t="s">
        <v>866</v>
      </c>
      <c r="D6501" s="76" t="s">
        <v>902</v>
      </c>
      <c r="E6501" s="79" t="s">
        <v>2961</v>
      </c>
      <c r="F6501" s="79"/>
    </row>
    <row r="6502" spans="1:6">
      <c r="A6502" s="77">
        <f t="shared" ca="1" si="592"/>
        <v>46045</v>
      </c>
      <c r="B6502" s="80">
        <f t="shared" ca="1" si="593"/>
        <v>46045.165152777779</v>
      </c>
      <c r="C6502" s="76" t="s">
        <v>866</v>
      </c>
      <c r="D6502" s="76" t="s">
        <v>902</v>
      </c>
      <c r="E6502" s="79" t="s">
        <v>2961</v>
      </c>
      <c r="F6502" s="79"/>
    </row>
    <row r="6503" spans="1:6">
      <c r="A6503" s="77">
        <f t="shared" ca="1" si="592"/>
        <v>46045</v>
      </c>
      <c r="B6503" s="80">
        <f t="shared" ca="1" si="593"/>
        <v>46045.165162384263</v>
      </c>
      <c r="C6503" s="76" t="s">
        <v>866</v>
      </c>
      <c r="D6503" s="76" t="s">
        <v>902</v>
      </c>
      <c r="E6503" s="79" t="s">
        <v>2961</v>
      </c>
      <c r="F6503" s="79"/>
    </row>
    <row r="6504" spans="1:6">
      <c r="A6504" s="77">
        <f t="shared" ca="1" si="592"/>
        <v>46045</v>
      </c>
      <c r="B6504" s="80">
        <f t="shared" ca="1" si="593"/>
        <v>46045.169632060184</v>
      </c>
      <c r="C6504" s="76" t="s">
        <v>866</v>
      </c>
      <c r="D6504" s="76" t="s">
        <v>902</v>
      </c>
      <c r="E6504" s="79" t="s">
        <v>2961</v>
      </c>
      <c r="F6504" s="79"/>
    </row>
    <row r="6505" spans="1:6">
      <c r="A6505" s="77">
        <f t="shared" ca="1" si="592"/>
        <v>46045</v>
      </c>
      <c r="B6505" s="80">
        <f t="shared" ca="1" si="593"/>
        <v>46045.171710648145</v>
      </c>
      <c r="C6505" s="76" t="s">
        <v>866</v>
      </c>
      <c r="D6505" s="76" t="s">
        <v>902</v>
      </c>
      <c r="E6505" s="79" t="s">
        <v>2067</v>
      </c>
      <c r="F6505" s="79"/>
    </row>
    <row r="6506" spans="1:6">
      <c r="A6506" s="77">
        <f t="shared" ca="1" si="592"/>
        <v>46045</v>
      </c>
      <c r="B6506" s="80">
        <f t="shared" ca="1" si="593"/>
        <v>46045.189856597222</v>
      </c>
      <c r="C6506" s="76" t="s">
        <v>866</v>
      </c>
      <c r="D6506" s="76" t="s">
        <v>902</v>
      </c>
      <c r="E6506" s="76" t="s">
        <v>2464</v>
      </c>
      <c r="F6506" s="79"/>
    </row>
    <row r="6507" spans="1:6">
      <c r="A6507" s="77">
        <f t="shared" ca="1" si="592"/>
        <v>46045</v>
      </c>
      <c r="B6507" s="80">
        <f t="shared" ca="1" si="593"/>
        <v>46045.208779050925</v>
      </c>
      <c r="C6507" s="76" t="s">
        <v>866</v>
      </c>
      <c r="D6507" s="76" t="s">
        <v>902</v>
      </c>
      <c r="E6507" s="79" t="s">
        <v>2961</v>
      </c>
      <c r="F6507" s="79"/>
    </row>
    <row r="6508" spans="1:6">
      <c r="A6508" s="77">
        <f t="shared" ca="1" si="592"/>
        <v>46045</v>
      </c>
      <c r="B6508" s="80">
        <f t="shared" ca="1" si="593"/>
        <v>46045.21183576389</v>
      </c>
      <c r="C6508" s="76" t="s">
        <v>866</v>
      </c>
      <c r="D6508" s="76" t="s">
        <v>902</v>
      </c>
      <c r="E6508" s="79" t="s">
        <v>2961</v>
      </c>
      <c r="F6508" s="79"/>
    </row>
    <row r="6509" spans="1:6">
      <c r="A6509" s="77">
        <f t="shared" ca="1" si="592"/>
        <v>46045</v>
      </c>
      <c r="B6509" s="80">
        <f t="shared" ca="1" si="593"/>
        <v>46045.21795648148</v>
      </c>
      <c r="C6509" s="76" t="s">
        <v>866</v>
      </c>
      <c r="D6509" s="76" t="s">
        <v>902</v>
      </c>
      <c r="E6509" s="76" t="s">
        <v>2464</v>
      </c>
      <c r="F6509" s="79"/>
    </row>
    <row r="6510" spans="1:6">
      <c r="A6510" s="77">
        <f t="shared" ca="1" si="592"/>
        <v>46045</v>
      </c>
      <c r="B6510" s="80">
        <f t="shared" ca="1" si="593"/>
        <v>46045.220717592594</v>
      </c>
      <c r="C6510" s="76" t="s">
        <v>866</v>
      </c>
      <c r="D6510" s="210" t="s">
        <v>922</v>
      </c>
      <c r="E6510" s="79"/>
      <c r="F6510" s="79"/>
    </row>
    <row r="6511" spans="1:6">
      <c r="A6511" s="77">
        <f t="shared" ca="1" si="592"/>
        <v>46045</v>
      </c>
      <c r="B6511" s="80">
        <f t="shared" ca="1" si="593"/>
        <v>46045.283937384258</v>
      </c>
      <c r="C6511" s="76" t="s">
        <v>866</v>
      </c>
      <c r="D6511" s="210" t="s">
        <v>1098</v>
      </c>
      <c r="E6511" s="79"/>
      <c r="F6511" s="79"/>
    </row>
    <row r="6512" spans="1:6">
      <c r="A6512" s="77">
        <f t="shared" ca="1" si="592"/>
        <v>46045</v>
      </c>
      <c r="B6512" s="80">
        <f t="shared" ca="1" si="593"/>
        <v>46045.363175925922</v>
      </c>
      <c r="C6512" s="76" t="s">
        <v>870</v>
      </c>
      <c r="D6512" s="210" t="s">
        <v>906</v>
      </c>
      <c r="E6512" s="79"/>
      <c r="F6512" s="79"/>
    </row>
    <row r="6513" spans="1:7">
      <c r="A6513" s="77">
        <f t="shared" ca="1" si="592"/>
        <v>46045</v>
      </c>
      <c r="B6513" s="80">
        <v>0.36458333333333331</v>
      </c>
      <c r="C6513" s="76" t="s">
        <v>870</v>
      </c>
      <c r="D6513" s="210" t="s">
        <v>1098</v>
      </c>
      <c r="E6513" s="79"/>
      <c r="F6513" s="79"/>
      <c r="G6513" s="76" t="s">
        <v>3406</v>
      </c>
    </row>
    <row r="6514" spans="1:7">
      <c r="A6514" s="77">
        <f t="shared" ca="1" si="592"/>
        <v>46045</v>
      </c>
      <c r="B6514" s="80">
        <f t="shared" ca="1" si="593"/>
        <v>46045.379908564813</v>
      </c>
      <c r="C6514" s="76" t="s">
        <v>870</v>
      </c>
      <c r="D6514" s="210" t="s">
        <v>906</v>
      </c>
      <c r="E6514" s="79"/>
      <c r="F6514" s="79"/>
    </row>
    <row r="6515" spans="1:7">
      <c r="A6515" s="77">
        <f t="shared" ca="1" si="592"/>
        <v>46045</v>
      </c>
      <c r="B6515" s="80">
        <f t="shared" ca="1" si="593"/>
        <v>46045.434055092592</v>
      </c>
      <c r="C6515" s="76" t="s">
        <v>870</v>
      </c>
      <c r="D6515" s="210" t="s">
        <v>909</v>
      </c>
      <c r="E6515" s="79"/>
      <c r="F6515" s="79"/>
    </row>
    <row r="6516" spans="1:7">
      <c r="A6516" s="77">
        <f t="shared" ca="1" si="592"/>
        <v>46045</v>
      </c>
      <c r="B6516" s="80">
        <f t="shared" ca="1" si="593"/>
        <v>46045.443789814817</v>
      </c>
      <c r="C6516" s="76" t="s">
        <v>870</v>
      </c>
      <c r="D6516" s="76" t="s">
        <v>902</v>
      </c>
      <c r="E6516" s="76" t="s">
        <v>3387</v>
      </c>
      <c r="F6516" s="79"/>
    </row>
    <row r="6517" spans="1:7">
      <c r="A6517" s="77">
        <f t="shared" ca="1" si="592"/>
        <v>46045</v>
      </c>
      <c r="B6517" s="80">
        <f t="shared" ca="1" si="593"/>
        <v>46045.451317824074</v>
      </c>
      <c r="C6517" s="76" t="s">
        <v>870</v>
      </c>
      <c r="D6517" s="76" t="s">
        <v>902</v>
      </c>
      <c r="E6517" s="76" t="s">
        <v>3407</v>
      </c>
      <c r="F6517" s="79"/>
    </row>
    <row r="6518" spans="1:7">
      <c r="A6518" s="77">
        <f t="shared" ca="1" si="592"/>
        <v>46045</v>
      </c>
      <c r="B6518" s="80">
        <f t="shared" ca="1" si="593"/>
        <v>46045.453634606478</v>
      </c>
      <c r="C6518" s="76" t="s">
        <v>870</v>
      </c>
      <c r="D6518" s="76" t="s">
        <v>902</v>
      </c>
      <c r="E6518" s="76" t="s">
        <v>3387</v>
      </c>
      <c r="F6518" s="79"/>
    </row>
    <row r="6519" spans="1:7">
      <c r="A6519" s="77">
        <f t="shared" ca="1" si="592"/>
        <v>46045</v>
      </c>
      <c r="B6519" s="80">
        <f t="shared" ca="1" si="593"/>
        <v>46045.454631134256</v>
      </c>
      <c r="C6519" s="76" t="s">
        <v>870</v>
      </c>
      <c r="D6519" s="76" t="s">
        <v>902</v>
      </c>
      <c r="E6519" s="76" t="s">
        <v>3387</v>
      </c>
      <c r="F6519" s="79"/>
    </row>
    <row r="6520" spans="1:7">
      <c r="A6520" s="77">
        <f t="shared" ca="1" si="592"/>
        <v>46045</v>
      </c>
      <c r="B6520" s="80">
        <f t="shared" ca="1" si="593"/>
        <v>46045.455198958334</v>
      </c>
      <c r="C6520" s="76" t="s">
        <v>870</v>
      </c>
      <c r="D6520" s="76" t="s">
        <v>902</v>
      </c>
      <c r="E6520" s="76" t="s">
        <v>3387</v>
      </c>
      <c r="F6520" s="79"/>
    </row>
    <row r="6521" spans="1:7">
      <c r="A6521" s="77">
        <f t="shared" ca="1" si="592"/>
        <v>46045</v>
      </c>
      <c r="B6521" s="80">
        <f t="shared" ca="1" si="593"/>
        <v>46045.456116898145</v>
      </c>
      <c r="C6521" s="76" t="s">
        <v>870</v>
      </c>
      <c r="D6521" s="76" t="s">
        <v>902</v>
      </c>
      <c r="E6521" s="76" t="s">
        <v>3387</v>
      </c>
      <c r="F6521" s="79"/>
    </row>
    <row r="6522" spans="1:7">
      <c r="A6522" s="77">
        <f t="shared" ca="1" si="592"/>
        <v>46045</v>
      </c>
      <c r="B6522" s="80">
        <f t="shared" ca="1" si="593"/>
        <v>46045.457085879629</v>
      </c>
      <c r="C6522" s="76" t="s">
        <v>870</v>
      </c>
      <c r="D6522" s="76" t="s">
        <v>902</v>
      </c>
      <c r="E6522" s="76" t="s">
        <v>3387</v>
      </c>
      <c r="F6522" s="79"/>
    </row>
    <row r="6523" spans="1:7">
      <c r="A6523" s="77">
        <f t="shared" ca="1" si="592"/>
        <v>46045</v>
      </c>
      <c r="B6523" s="80">
        <f t="shared" ca="1" si="593"/>
        <v>46045.462033912037</v>
      </c>
      <c r="C6523" s="76" t="s">
        <v>870</v>
      </c>
      <c r="D6523" s="76" t="s">
        <v>902</v>
      </c>
      <c r="E6523" s="79" t="s">
        <v>1505</v>
      </c>
      <c r="F6523" s="79"/>
    </row>
    <row r="6524" spans="1:7">
      <c r="A6524" s="77">
        <f t="shared" ca="1" si="592"/>
        <v>46045</v>
      </c>
      <c r="B6524" s="80">
        <f t="shared" ca="1" si="593"/>
        <v>46045.46469479167</v>
      </c>
      <c r="C6524" s="76" t="s">
        <v>870</v>
      </c>
      <c r="D6524" s="76" t="s">
        <v>902</v>
      </c>
      <c r="E6524" s="76" t="s">
        <v>1920</v>
      </c>
      <c r="F6524" s="79"/>
    </row>
    <row r="6525" spans="1:7">
      <c r="A6525" s="77">
        <f t="shared" ca="1" si="592"/>
        <v>46045</v>
      </c>
      <c r="B6525" s="80">
        <f ca="1">IF(C6525&lt;&gt;0,IF(B6525=0,NOW(),B6525),)</f>
        <v>46045.508599768516</v>
      </c>
      <c r="C6525" s="76" t="s">
        <v>870</v>
      </c>
      <c r="D6525" s="76" t="s">
        <v>902</v>
      </c>
      <c r="E6525" s="76" t="s">
        <v>2389</v>
      </c>
      <c r="F6525" s="79" t="s">
        <v>1213</v>
      </c>
    </row>
    <row r="6526" spans="1:7">
      <c r="A6526" s="77">
        <f t="shared" ca="1" si="592"/>
        <v>46045</v>
      </c>
      <c r="B6526" s="80">
        <f t="shared" ca="1" si="593"/>
        <v>46045.523944444445</v>
      </c>
      <c r="C6526" s="76" t="s">
        <v>870</v>
      </c>
      <c r="D6526" s="76" t="s">
        <v>902</v>
      </c>
      <c r="E6526" s="76" t="s">
        <v>2389</v>
      </c>
      <c r="F6526" s="79" t="s">
        <v>1213</v>
      </c>
    </row>
    <row r="6527" spans="1:7">
      <c r="A6527" s="77">
        <f t="shared" ref="A6527:A6554" ca="1" si="596">IF(C6527&lt;&gt;0,IF(A6527=0,TODAY(),A6527),)</f>
        <v>46045</v>
      </c>
      <c r="B6527" s="80">
        <f t="shared" ref="B6527:B6554" ca="1" si="597">IF(C6527&lt;&gt;0,IF(B6527=0,NOW(),B6527),)</f>
        <v>46045.526487499999</v>
      </c>
      <c r="C6527" s="76" t="s">
        <v>870</v>
      </c>
      <c r="D6527" s="210" t="s">
        <v>922</v>
      </c>
      <c r="E6527" s="79"/>
      <c r="F6527" s="79"/>
    </row>
    <row r="6528" spans="1:7">
      <c r="A6528" s="77">
        <f t="shared" ca="1" si="596"/>
        <v>46045</v>
      </c>
      <c r="B6528" s="80">
        <f t="shared" ca="1" si="597"/>
        <v>46045.559503240744</v>
      </c>
      <c r="C6528" s="76" t="s">
        <v>870</v>
      </c>
      <c r="D6528" s="76" t="s">
        <v>902</v>
      </c>
      <c r="E6528" s="76" t="s">
        <v>3408</v>
      </c>
      <c r="F6528" s="79"/>
    </row>
    <row r="6529" spans="1:6">
      <c r="A6529" s="77">
        <f t="shared" ca="1" si="596"/>
        <v>46045</v>
      </c>
      <c r="B6529" s="80">
        <f t="shared" ca="1" si="597"/>
        <v>46045.600907870372</v>
      </c>
      <c r="C6529" s="76" t="s">
        <v>870</v>
      </c>
      <c r="D6529" s="210" t="s">
        <v>1098</v>
      </c>
      <c r="E6529" s="79"/>
      <c r="F6529" s="79"/>
    </row>
    <row r="6530" spans="1:6">
      <c r="A6530" s="77">
        <f t="shared" ca="1" si="596"/>
        <v>46045</v>
      </c>
      <c r="B6530" s="80">
        <f t="shared" ca="1" si="597"/>
        <v>46045.647903935183</v>
      </c>
      <c r="C6530" s="76" t="s">
        <v>875</v>
      </c>
      <c r="D6530" s="210" t="s">
        <v>906</v>
      </c>
      <c r="E6530" s="79"/>
      <c r="F6530" s="79"/>
    </row>
    <row r="6531" spans="1:6">
      <c r="A6531" s="77">
        <f t="shared" ca="1" si="596"/>
        <v>46045</v>
      </c>
      <c r="B6531" s="80">
        <f t="shared" ca="1" si="597"/>
        <v>46045.720997453704</v>
      </c>
      <c r="C6531" s="76" t="s">
        <v>875</v>
      </c>
      <c r="D6531" s="210" t="s">
        <v>909</v>
      </c>
      <c r="E6531" s="79"/>
      <c r="F6531" s="79"/>
    </row>
    <row r="6532" spans="1:6">
      <c r="A6532" s="77">
        <f t="shared" ca="1" si="596"/>
        <v>46045</v>
      </c>
      <c r="B6532" s="80">
        <f t="shared" ca="1" si="597"/>
        <v>46045.723247685186</v>
      </c>
      <c r="C6532" s="76" t="s">
        <v>875</v>
      </c>
      <c r="D6532" s="76" t="s">
        <v>902</v>
      </c>
      <c r="E6532" s="79" t="s">
        <v>2961</v>
      </c>
      <c r="F6532" s="79"/>
    </row>
    <row r="6533" spans="1:6">
      <c r="A6533" s="77">
        <f t="shared" ca="1" si="596"/>
        <v>46045</v>
      </c>
      <c r="B6533" s="80">
        <f t="shared" ca="1" si="597"/>
        <v>46045.725079976852</v>
      </c>
      <c r="C6533" s="76" t="s">
        <v>875</v>
      </c>
      <c r="D6533" s="76" t="s">
        <v>902</v>
      </c>
      <c r="E6533" s="79" t="s">
        <v>2961</v>
      </c>
      <c r="F6533" s="79"/>
    </row>
    <row r="6534" spans="1:6">
      <c r="A6534" s="77">
        <f t="shared" ca="1" si="596"/>
        <v>46045</v>
      </c>
      <c r="B6534" s="80">
        <f t="shared" ca="1" si="597"/>
        <v>46045.726753240742</v>
      </c>
      <c r="C6534" s="76" t="s">
        <v>875</v>
      </c>
      <c r="D6534" s="76" t="s">
        <v>902</v>
      </c>
      <c r="E6534" s="76" t="s">
        <v>3409</v>
      </c>
      <c r="F6534" s="79"/>
    </row>
    <row r="6535" spans="1:6">
      <c r="A6535" s="77">
        <f t="shared" ca="1" si="596"/>
        <v>46045</v>
      </c>
      <c r="B6535" s="80">
        <f t="shared" ca="1" si="597"/>
        <v>46045.730944560186</v>
      </c>
      <c r="C6535" s="76" t="s">
        <v>875</v>
      </c>
      <c r="D6535" s="76" t="s">
        <v>902</v>
      </c>
      <c r="E6535" s="76" t="s">
        <v>3387</v>
      </c>
      <c r="F6535" s="79"/>
    </row>
    <row r="6536" spans="1:6">
      <c r="A6536" s="77">
        <f t="shared" ca="1" si="596"/>
        <v>46045</v>
      </c>
      <c r="B6536" s="80">
        <f t="shared" ca="1" si="597"/>
        <v>46045.747323148149</v>
      </c>
      <c r="C6536" s="76" t="s">
        <v>875</v>
      </c>
      <c r="D6536" s="76" t="s">
        <v>902</v>
      </c>
      <c r="E6536" s="79" t="s">
        <v>2961</v>
      </c>
      <c r="F6536" s="79"/>
    </row>
    <row r="6537" spans="1:6">
      <c r="A6537" s="77">
        <f t="shared" ca="1" si="596"/>
        <v>46045</v>
      </c>
      <c r="B6537" s="80">
        <f t="shared" ca="1" si="597"/>
        <v>46045.748410185188</v>
      </c>
      <c r="C6537" s="76" t="s">
        <v>875</v>
      </c>
      <c r="D6537" s="76" t="s">
        <v>902</v>
      </c>
      <c r="E6537" s="79" t="s">
        <v>2961</v>
      </c>
      <c r="F6537" s="79"/>
    </row>
    <row r="6538" spans="1:6">
      <c r="A6538" s="77">
        <f t="shared" ca="1" si="596"/>
        <v>46045</v>
      </c>
      <c r="B6538" s="80">
        <f t="shared" ca="1" si="597"/>
        <v>46045.753418981483</v>
      </c>
      <c r="C6538" s="76" t="s">
        <v>875</v>
      </c>
      <c r="D6538" s="76" t="s">
        <v>902</v>
      </c>
      <c r="E6538" s="79" t="s">
        <v>2961</v>
      </c>
      <c r="F6538" s="79"/>
    </row>
    <row r="6539" spans="1:6">
      <c r="A6539" s="77">
        <f t="shared" ca="1" si="596"/>
        <v>46045</v>
      </c>
      <c r="B6539" s="80">
        <f t="shared" ca="1" si="597"/>
        <v>46045.755857523145</v>
      </c>
      <c r="C6539" s="76" t="s">
        <v>875</v>
      </c>
      <c r="D6539" s="76" t="s">
        <v>902</v>
      </c>
      <c r="E6539" s="76" t="s">
        <v>3387</v>
      </c>
      <c r="F6539" s="79"/>
    </row>
    <row r="6540" spans="1:6">
      <c r="A6540" s="77">
        <f t="shared" ca="1" si="596"/>
        <v>46045</v>
      </c>
      <c r="B6540" s="80">
        <f t="shared" ca="1" si="597"/>
        <v>46045.756251388892</v>
      </c>
      <c r="C6540" s="76" t="s">
        <v>875</v>
      </c>
      <c r="D6540" s="76" t="s">
        <v>902</v>
      </c>
      <c r="E6540" s="79" t="s">
        <v>2961</v>
      </c>
      <c r="F6540" s="79"/>
    </row>
    <row r="6541" spans="1:6">
      <c r="A6541" s="77">
        <f t="shared" ca="1" si="596"/>
        <v>46045</v>
      </c>
      <c r="B6541" s="80">
        <f t="shared" ca="1" si="597"/>
        <v>46045.758714699077</v>
      </c>
      <c r="C6541" s="76" t="s">
        <v>875</v>
      </c>
      <c r="D6541" s="76" t="s">
        <v>902</v>
      </c>
      <c r="E6541" s="76" t="s">
        <v>3387</v>
      </c>
      <c r="F6541" s="79"/>
    </row>
    <row r="6542" spans="1:6">
      <c r="A6542" s="77">
        <f t="shared" ca="1" si="596"/>
        <v>46045</v>
      </c>
      <c r="B6542" s="80">
        <f t="shared" ca="1" si="597"/>
        <v>46045.767130208333</v>
      </c>
      <c r="C6542" s="76" t="s">
        <v>875</v>
      </c>
      <c r="D6542" s="76" t="s">
        <v>902</v>
      </c>
      <c r="E6542" s="79" t="s">
        <v>2961</v>
      </c>
      <c r="F6542" s="79"/>
    </row>
    <row r="6543" spans="1:6">
      <c r="A6543" s="77">
        <f t="shared" ca="1" si="596"/>
        <v>46045</v>
      </c>
      <c r="B6543" s="80">
        <f t="shared" ca="1" si="597"/>
        <v>46045.772315277776</v>
      </c>
      <c r="C6543" s="76" t="s">
        <v>875</v>
      </c>
      <c r="D6543" s="76" t="s">
        <v>902</v>
      </c>
      <c r="E6543" s="79" t="s">
        <v>3397</v>
      </c>
      <c r="F6543" s="79"/>
    </row>
    <row r="6544" spans="1:6">
      <c r="A6544" s="77">
        <f t="shared" ca="1" si="596"/>
        <v>46045</v>
      </c>
      <c r="B6544" s="80">
        <f t="shared" ca="1" si="597"/>
        <v>46045.776744791663</v>
      </c>
      <c r="C6544" s="76" t="s">
        <v>875</v>
      </c>
      <c r="D6544" s="76" t="s">
        <v>902</v>
      </c>
      <c r="E6544" s="79" t="s">
        <v>2961</v>
      </c>
      <c r="F6544" s="79"/>
    </row>
    <row r="6545" spans="1:6">
      <c r="A6545" s="77">
        <f t="shared" ca="1" si="596"/>
        <v>46045</v>
      </c>
      <c r="B6545" s="80">
        <f t="shared" ca="1" si="597"/>
        <v>46045.783570486114</v>
      </c>
      <c r="C6545" s="76" t="s">
        <v>875</v>
      </c>
      <c r="D6545" s="76" t="s">
        <v>902</v>
      </c>
      <c r="E6545" s="79" t="s">
        <v>3410</v>
      </c>
      <c r="F6545" s="79"/>
    </row>
    <row r="6546" spans="1:6">
      <c r="A6546" s="77">
        <f t="shared" ca="1" si="596"/>
        <v>46045</v>
      </c>
      <c r="B6546" s="80">
        <f t="shared" ca="1" si="597"/>
        <v>46045.783670717596</v>
      </c>
      <c r="C6546" s="76" t="s">
        <v>875</v>
      </c>
      <c r="D6546" s="76" t="s">
        <v>902</v>
      </c>
      <c r="E6546" s="76" t="s">
        <v>3411</v>
      </c>
      <c r="F6546" s="79"/>
    </row>
    <row r="6547" spans="1:6">
      <c r="A6547" s="77">
        <f t="shared" ca="1" si="596"/>
        <v>46045</v>
      </c>
      <c r="B6547" s="80">
        <f t="shared" ca="1" si="597"/>
        <v>46045.784522800925</v>
      </c>
      <c r="C6547" s="76" t="s">
        <v>875</v>
      </c>
      <c r="D6547" s="76" t="s">
        <v>902</v>
      </c>
      <c r="E6547" s="79" t="s">
        <v>3410</v>
      </c>
      <c r="F6547" s="79"/>
    </row>
    <row r="6548" spans="1:6">
      <c r="A6548" s="77">
        <f t="shared" ca="1" si="596"/>
        <v>46045</v>
      </c>
      <c r="B6548" s="80">
        <f t="shared" ca="1" si="597"/>
        <v>46045.785498726851</v>
      </c>
      <c r="C6548" s="76" t="s">
        <v>875</v>
      </c>
      <c r="D6548" s="76" t="s">
        <v>902</v>
      </c>
      <c r="E6548" s="79" t="s">
        <v>3410</v>
      </c>
      <c r="F6548" s="79"/>
    </row>
    <row r="6549" spans="1:6">
      <c r="A6549" s="77">
        <f t="shared" ca="1" si="596"/>
        <v>46045</v>
      </c>
      <c r="B6549" s="80">
        <f t="shared" ca="1" si="597"/>
        <v>46045.7855837963</v>
      </c>
      <c r="C6549" s="76" t="s">
        <v>875</v>
      </c>
      <c r="D6549" s="76" t="s">
        <v>902</v>
      </c>
      <c r="E6549" s="76" t="s">
        <v>3412</v>
      </c>
      <c r="F6549" s="79"/>
    </row>
    <row r="6550" spans="1:6">
      <c r="A6550" s="77">
        <f t="shared" ca="1" si="596"/>
        <v>46045</v>
      </c>
      <c r="B6550" s="80">
        <f t="shared" ca="1" si="597"/>
        <v>46045.785616898145</v>
      </c>
      <c r="C6550" s="76" t="s">
        <v>875</v>
      </c>
      <c r="D6550" s="76" t="s">
        <v>902</v>
      </c>
      <c r="E6550" s="79" t="s">
        <v>2961</v>
      </c>
      <c r="F6550" s="79"/>
    </row>
    <row r="6551" spans="1:6">
      <c r="A6551" s="77">
        <f t="shared" ca="1" si="596"/>
        <v>46045</v>
      </c>
      <c r="B6551" s="80">
        <f t="shared" ca="1" si="597"/>
        <v>46045.786722800927</v>
      </c>
      <c r="C6551" s="76" t="s">
        <v>875</v>
      </c>
      <c r="D6551" s="76" t="s">
        <v>902</v>
      </c>
      <c r="E6551" s="76" t="s">
        <v>3413</v>
      </c>
      <c r="F6551" s="79"/>
    </row>
    <row r="6552" spans="1:6">
      <c r="A6552" s="77">
        <f t="shared" ca="1" si="596"/>
        <v>46045</v>
      </c>
      <c r="B6552" s="80">
        <f t="shared" ca="1" si="597"/>
        <v>46045.788949305555</v>
      </c>
      <c r="C6552" s="76" t="s">
        <v>875</v>
      </c>
      <c r="D6552" s="76" t="s">
        <v>902</v>
      </c>
      <c r="E6552" s="79" t="s">
        <v>2961</v>
      </c>
      <c r="F6552" s="79"/>
    </row>
    <row r="6553" spans="1:6" s="205" customFormat="1">
      <c r="A6553" s="204">
        <f t="shared" ca="1" si="596"/>
        <v>46045</v>
      </c>
      <c r="B6553" s="93">
        <f t="shared" ca="1" si="597"/>
        <v>46045.802993981481</v>
      </c>
      <c r="C6553" s="205" t="s">
        <v>875</v>
      </c>
      <c r="D6553" s="205" t="s">
        <v>902</v>
      </c>
      <c r="E6553" s="79" t="s">
        <v>3410</v>
      </c>
      <c r="F6553" s="206"/>
    </row>
    <row r="6554" spans="1:6">
      <c r="A6554" s="77">
        <f t="shared" ca="1" si="596"/>
        <v>46045</v>
      </c>
      <c r="B6554" s="80">
        <f t="shared" ca="1" si="597"/>
        <v>46045.805736689814</v>
      </c>
      <c r="C6554" s="76" t="s">
        <v>875</v>
      </c>
      <c r="D6554" s="76" t="s">
        <v>902</v>
      </c>
      <c r="E6554" s="79" t="s">
        <v>3410</v>
      </c>
      <c r="F6554" s="79"/>
    </row>
    <row r="6555" spans="1:6">
      <c r="A6555" s="77">
        <f t="shared" ref="A6555:A6577" ca="1" si="598">IF(C6555&lt;&gt;0,IF(A6555=0,TODAY(),A6555),)</f>
        <v>46045</v>
      </c>
      <c r="B6555" s="80">
        <f t="shared" ref="B6555:B6577" ca="1" si="599">IF(C6555&lt;&gt;0,IF(B6555=0,NOW(),B6555),)</f>
        <v>46045.816033564814</v>
      </c>
      <c r="C6555" s="76" t="s">
        <v>875</v>
      </c>
      <c r="D6555" s="76" t="s">
        <v>902</v>
      </c>
      <c r="E6555" s="79" t="s">
        <v>2961</v>
      </c>
      <c r="F6555" s="79"/>
    </row>
    <row r="6556" spans="1:6">
      <c r="A6556" s="77">
        <f t="shared" ca="1" si="598"/>
        <v>46045</v>
      </c>
      <c r="B6556" s="80">
        <f t="shared" ca="1" si="599"/>
        <v>46045.818085185187</v>
      </c>
      <c r="C6556" s="76" t="s">
        <v>875</v>
      </c>
      <c r="D6556" s="76" t="s">
        <v>902</v>
      </c>
      <c r="E6556" s="79" t="s">
        <v>2956</v>
      </c>
      <c r="F6556" s="79"/>
    </row>
    <row r="6557" spans="1:6">
      <c r="A6557" s="77">
        <f t="shared" ca="1" si="598"/>
        <v>46045</v>
      </c>
      <c r="B6557" s="80">
        <f t="shared" ca="1" si="599"/>
        <v>46045.828880439818</v>
      </c>
      <c r="C6557" s="76" t="s">
        <v>875</v>
      </c>
      <c r="D6557" s="76" t="s">
        <v>902</v>
      </c>
      <c r="E6557" s="79" t="s">
        <v>2956</v>
      </c>
      <c r="F6557" s="79"/>
    </row>
    <row r="6558" spans="1:6">
      <c r="A6558" s="77">
        <f t="shared" ca="1" si="598"/>
        <v>46045</v>
      </c>
      <c r="B6558" s="80">
        <f t="shared" ca="1" si="599"/>
        <v>46045.833133680557</v>
      </c>
      <c r="C6558" s="76" t="s">
        <v>875</v>
      </c>
      <c r="D6558" s="76" t="s">
        <v>902</v>
      </c>
      <c r="E6558" s="79" t="s">
        <v>2961</v>
      </c>
      <c r="F6558" s="79"/>
    </row>
    <row r="6559" spans="1:6">
      <c r="A6559" s="77">
        <f t="shared" ca="1" si="598"/>
        <v>46045</v>
      </c>
      <c r="B6559" s="80">
        <f t="shared" ca="1" si="599"/>
        <v>46045.837665162035</v>
      </c>
      <c r="C6559" s="76" t="s">
        <v>875</v>
      </c>
      <c r="D6559" s="210" t="s">
        <v>922</v>
      </c>
      <c r="E6559" s="79"/>
      <c r="F6559" s="79"/>
    </row>
    <row r="6560" spans="1:6">
      <c r="A6560" s="77">
        <f t="shared" ca="1" si="598"/>
        <v>46046</v>
      </c>
      <c r="B6560" s="80">
        <f t="shared" ca="1" si="599"/>
        <v>46046.124802430553</v>
      </c>
      <c r="C6560" s="76" t="s">
        <v>875</v>
      </c>
      <c r="D6560" s="76" t="s">
        <v>902</v>
      </c>
      <c r="E6560" s="76" t="s">
        <v>3414</v>
      </c>
      <c r="F6560" s="79"/>
    </row>
    <row r="6561" spans="1:6">
      <c r="A6561" s="77">
        <f t="shared" ca="1" si="598"/>
        <v>46046</v>
      </c>
      <c r="B6561" s="80">
        <f t="shared" ca="1" si="599"/>
        <v>46046.124786342596</v>
      </c>
      <c r="C6561" s="76" t="s">
        <v>875</v>
      </c>
      <c r="D6561" s="210" t="s">
        <v>909</v>
      </c>
      <c r="E6561" s="79"/>
      <c r="F6561" s="79"/>
    </row>
    <row r="6562" spans="1:6">
      <c r="A6562" s="77">
        <f t="shared" ca="1" si="598"/>
        <v>46046</v>
      </c>
      <c r="B6562" s="80">
        <f t="shared" ca="1" si="599"/>
        <v>46046.134591203707</v>
      </c>
      <c r="C6562" s="76" t="s">
        <v>875</v>
      </c>
      <c r="D6562" s="76" t="s">
        <v>902</v>
      </c>
      <c r="E6562" s="76" t="s">
        <v>3387</v>
      </c>
      <c r="F6562" s="79"/>
    </row>
    <row r="6563" spans="1:6" s="205" customFormat="1">
      <c r="A6563" s="204">
        <f t="shared" ca="1" si="598"/>
        <v>46046</v>
      </c>
      <c r="B6563" s="93">
        <f t="shared" ca="1" si="599"/>
        <v>46046.138453356485</v>
      </c>
      <c r="C6563" s="76" t="s">
        <v>875</v>
      </c>
      <c r="D6563" s="205" t="s">
        <v>902</v>
      </c>
      <c r="E6563" s="206" t="s">
        <v>2961</v>
      </c>
      <c r="F6563" s="206"/>
    </row>
    <row r="6564" spans="1:6">
      <c r="A6564" s="77">
        <f t="shared" ca="1" si="598"/>
        <v>46046</v>
      </c>
      <c r="B6564" s="80">
        <f t="shared" ca="1" si="599"/>
        <v>46046.154301736111</v>
      </c>
      <c r="C6564" s="76" t="s">
        <v>875</v>
      </c>
      <c r="D6564" s="76" t="s">
        <v>902</v>
      </c>
      <c r="E6564" s="76" t="s">
        <v>3415</v>
      </c>
      <c r="F6564" s="79"/>
    </row>
    <row r="6565" spans="1:6">
      <c r="A6565" s="77">
        <f t="shared" ca="1" si="598"/>
        <v>46046</v>
      </c>
      <c r="B6565" s="80">
        <f t="shared" ca="1" si="599"/>
        <v>46046.166026736108</v>
      </c>
      <c r="C6565" s="76" t="s">
        <v>875</v>
      </c>
      <c r="D6565" s="76" t="s">
        <v>902</v>
      </c>
      <c r="E6565" s="76" t="s">
        <v>3415</v>
      </c>
      <c r="F6565" s="79"/>
    </row>
    <row r="6566" spans="1:6">
      <c r="A6566" s="77">
        <f t="shared" ca="1" si="598"/>
        <v>46046</v>
      </c>
      <c r="B6566" s="80">
        <f t="shared" ca="1" si="599"/>
        <v>46046.167070254633</v>
      </c>
      <c r="C6566" s="76" t="s">
        <v>875</v>
      </c>
      <c r="D6566" s="76" t="s">
        <v>902</v>
      </c>
      <c r="E6566" s="76" t="s">
        <v>3416</v>
      </c>
      <c r="F6566" s="79"/>
    </row>
    <row r="6567" spans="1:6">
      <c r="A6567" s="77">
        <f t="shared" ca="1" si="598"/>
        <v>46046</v>
      </c>
      <c r="B6567" s="80">
        <f t="shared" ca="1" si="599"/>
        <v>46046.179394560182</v>
      </c>
      <c r="C6567" s="76" t="s">
        <v>875</v>
      </c>
      <c r="D6567" s="76" t="s">
        <v>902</v>
      </c>
      <c r="E6567" s="76" t="s">
        <v>3387</v>
      </c>
      <c r="F6567" s="79"/>
    </row>
    <row r="6568" spans="1:6">
      <c r="A6568" s="77">
        <f t="shared" ca="1" si="598"/>
        <v>46046</v>
      </c>
      <c r="B6568" s="80">
        <f t="shared" ca="1" si="599"/>
        <v>46046.180480324074</v>
      </c>
      <c r="C6568" s="76" t="s">
        <v>875</v>
      </c>
      <c r="D6568" s="76" t="s">
        <v>902</v>
      </c>
      <c r="E6568" s="76" t="s">
        <v>3417</v>
      </c>
      <c r="F6568" s="79"/>
    </row>
    <row r="6569" spans="1:6">
      <c r="A6569" s="77">
        <f t="shared" ca="1" si="598"/>
        <v>46046</v>
      </c>
      <c r="B6569" s="80">
        <f t="shared" ca="1" si="599"/>
        <v>46046.183926967591</v>
      </c>
      <c r="C6569" s="76" t="s">
        <v>875</v>
      </c>
      <c r="D6569" s="76" t="s">
        <v>902</v>
      </c>
      <c r="E6569" s="76" t="s">
        <v>3387</v>
      </c>
      <c r="F6569" s="79"/>
    </row>
    <row r="6570" spans="1:6">
      <c r="A6570" s="77">
        <f t="shared" ca="1" si="598"/>
        <v>46046</v>
      </c>
      <c r="B6570" s="80">
        <f t="shared" ca="1" si="599"/>
        <v>46046.197553703707</v>
      </c>
      <c r="C6570" s="76" t="s">
        <v>875</v>
      </c>
      <c r="D6570" s="76" t="s">
        <v>902</v>
      </c>
      <c r="E6570" s="76" t="s">
        <v>3418</v>
      </c>
      <c r="F6570" s="79"/>
    </row>
    <row r="6571" spans="1:6">
      <c r="A6571" s="77">
        <f t="shared" ca="1" si="598"/>
        <v>46046</v>
      </c>
      <c r="B6571" s="80">
        <f t="shared" ca="1" si="599"/>
        <v>46046.203887847223</v>
      </c>
      <c r="C6571" s="76" t="s">
        <v>875</v>
      </c>
      <c r="D6571" s="76" t="s">
        <v>902</v>
      </c>
      <c r="E6571" s="76" t="s">
        <v>2956</v>
      </c>
      <c r="F6571" s="79"/>
    </row>
    <row r="6572" spans="1:6">
      <c r="A6572" s="77">
        <f t="shared" ca="1" si="598"/>
        <v>46046</v>
      </c>
      <c r="B6572" s="80">
        <f t="shared" ca="1" si="599"/>
        <v>46046.213562384262</v>
      </c>
      <c r="C6572" s="76" t="s">
        <v>875</v>
      </c>
      <c r="D6572" s="76" t="s">
        <v>902</v>
      </c>
      <c r="E6572" s="76" t="s">
        <v>2956</v>
      </c>
      <c r="F6572" s="79"/>
    </row>
    <row r="6573" spans="1:6">
      <c r="A6573" s="77">
        <f t="shared" ca="1" si="598"/>
        <v>46046</v>
      </c>
      <c r="B6573" s="80">
        <f t="shared" ca="1" si="599"/>
        <v>46046.21806712963</v>
      </c>
      <c r="C6573" s="76" t="s">
        <v>875</v>
      </c>
      <c r="D6573" s="76" t="s">
        <v>902</v>
      </c>
      <c r="E6573" s="76" t="s">
        <v>2956</v>
      </c>
      <c r="F6573" s="79"/>
    </row>
    <row r="6574" spans="1:6">
      <c r="A6574" s="77">
        <f t="shared" ca="1" si="598"/>
        <v>46046</v>
      </c>
      <c r="B6574" s="80">
        <f t="shared" ca="1" si="599"/>
        <v>46046.23334421296</v>
      </c>
      <c r="C6574" s="76" t="s">
        <v>875</v>
      </c>
      <c r="D6574" s="210" t="s">
        <v>922</v>
      </c>
      <c r="E6574" s="79"/>
      <c r="F6574" s="79"/>
    </row>
    <row r="6575" spans="1:6">
      <c r="A6575" s="77">
        <f t="shared" ca="1" si="598"/>
        <v>46046</v>
      </c>
      <c r="B6575" s="80">
        <f t="shared" ca="1" si="599"/>
        <v>46046.290223032411</v>
      </c>
      <c r="C6575" s="76" t="s">
        <v>875</v>
      </c>
      <c r="D6575" s="210" t="s">
        <v>1098</v>
      </c>
      <c r="E6575" s="79"/>
      <c r="F6575" s="79"/>
    </row>
    <row r="6576" spans="1:6">
      <c r="A6576" s="77">
        <f t="shared" ca="1" si="598"/>
        <v>46046</v>
      </c>
      <c r="B6576" s="80">
        <f t="shared" ca="1" si="599"/>
        <v>46046.344335300928</v>
      </c>
      <c r="C6576" s="76" t="s">
        <v>882</v>
      </c>
      <c r="D6576" s="210" t="s">
        <v>906</v>
      </c>
      <c r="E6576" s="79"/>
      <c r="F6576" s="79"/>
    </row>
    <row r="6577" spans="1:6">
      <c r="A6577" s="77">
        <f t="shared" ca="1" si="598"/>
        <v>46046</v>
      </c>
      <c r="B6577" s="80">
        <f t="shared" ca="1" si="599"/>
        <v>46046.350439699076</v>
      </c>
      <c r="C6577" s="76" t="s">
        <v>882</v>
      </c>
      <c r="D6577" s="210" t="s">
        <v>1098</v>
      </c>
      <c r="E6577" s="79"/>
      <c r="F6577" s="79"/>
    </row>
    <row r="6578" spans="1:6">
      <c r="A6578" s="77">
        <f t="shared" ref="A6578:A6609" ca="1" si="600">IF(C6578&lt;&gt;0,IF(A6578=0,TODAY(),A6578),)</f>
        <v>46046</v>
      </c>
      <c r="B6578" s="80">
        <v>46046.380150462966</v>
      </c>
      <c r="C6578" s="76" t="s">
        <v>882</v>
      </c>
      <c r="D6578" s="210" t="s">
        <v>906</v>
      </c>
      <c r="E6578" s="79"/>
      <c r="F6578" s="79"/>
    </row>
    <row r="6579" spans="1:6">
      <c r="A6579" s="77">
        <f t="shared" ca="1" si="600"/>
        <v>46046</v>
      </c>
      <c r="B6579" s="80">
        <f t="shared" ref="B6578:B6609" ca="1" si="601">IF(C6579&lt;&gt;0,IF(B6579=0,NOW(),B6579),)</f>
        <v>46046.448622916665</v>
      </c>
      <c r="C6579" s="76" t="s">
        <v>882</v>
      </c>
      <c r="D6579" s="76" t="s">
        <v>902</v>
      </c>
      <c r="E6579" s="76" t="s">
        <v>3419</v>
      </c>
      <c r="F6579" s="79"/>
    </row>
    <row r="6580" spans="1:6">
      <c r="A6580" s="77">
        <f t="shared" ca="1" si="600"/>
        <v>46046</v>
      </c>
      <c r="B6580" s="80">
        <f t="shared" ca="1" si="601"/>
        <v>46046.452937731483</v>
      </c>
      <c r="C6580" s="76" t="s">
        <v>882</v>
      </c>
      <c r="D6580" s="210" t="s">
        <v>909</v>
      </c>
      <c r="E6580" s="79"/>
      <c r="F6580" s="79"/>
    </row>
    <row r="6581" spans="1:6">
      <c r="A6581" s="77">
        <f t="shared" ca="1" si="600"/>
        <v>46046</v>
      </c>
      <c r="B6581" s="80">
        <f t="shared" ca="1" si="601"/>
        <v>46046.463454513891</v>
      </c>
      <c r="C6581" s="76" t="s">
        <v>882</v>
      </c>
      <c r="D6581" s="76" t="s">
        <v>902</v>
      </c>
      <c r="E6581" s="79" t="s">
        <v>1845</v>
      </c>
      <c r="F6581" s="79"/>
    </row>
    <row r="6582" spans="1:6">
      <c r="A6582" s="77">
        <f t="shared" ca="1" si="600"/>
        <v>46046</v>
      </c>
      <c r="B6582" s="80">
        <f t="shared" ca="1" si="601"/>
        <v>46046.489125115739</v>
      </c>
      <c r="C6582" s="76" t="s">
        <v>882</v>
      </c>
      <c r="D6582" s="76" t="s">
        <v>902</v>
      </c>
      <c r="E6582" s="79" t="s">
        <v>1284</v>
      </c>
      <c r="F6582" s="79"/>
    </row>
    <row r="6583" spans="1:6">
      <c r="A6583" s="77">
        <f t="shared" ca="1" si="600"/>
        <v>46046</v>
      </c>
      <c r="B6583" s="80">
        <f t="shared" ca="1" si="601"/>
        <v>46046.495514351853</v>
      </c>
      <c r="C6583" s="76" t="s">
        <v>882</v>
      </c>
      <c r="D6583" s="76" t="s">
        <v>902</v>
      </c>
      <c r="E6583" s="79" t="s">
        <v>1284</v>
      </c>
      <c r="F6583" s="79"/>
    </row>
    <row r="6584" spans="1:6">
      <c r="A6584" s="77">
        <f t="shared" ca="1" si="600"/>
        <v>46046</v>
      </c>
      <c r="B6584" s="80">
        <f t="shared" ca="1" si="601"/>
        <v>46046.499719212959</v>
      </c>
      <c r="C6584" s="76" t="s">
        <v>882</v>
      </c>
      <c r="D6584" s="76" t="s">
        <v>902</v>
      </c>
      <c r="E6584" s="79" t="s">
        <v>2961</v>
      </c>
      <c r="F6584" s="79"/>
    </row>
    <row r="6585" spans="1:6">
      <c r="A6585" s="77">
        <f t="shared" ca="1" si="600"/>
        <v>46046</v>
      </c>
      <c r="B6585" s="80">
        <f t="shared" ca="1" si="601"/>
        <v>46046.504376736113</v>
      </c>
      <c r="C6585" s="76" t="s">
        <v>882</v>
      </c>
      <c r="D6585" s="76" t="s">
        <v>902</v>
      </c>
      <c r="E6585" s="79" t="s">
        <v>2961</v>
      </c>
      <c r="F6585" s="79"/>
    </row>
    <row r="6586" spans="1:6">
      <c r="A6586" s="77">
        <f t="shared" ca="1" si="600"/>
        <v>46046</v>
      </c>
      <c r="B6586" s="80">
        <f t="shared" ca="1" si="601"/>
        <v>46046.504502662036</v>
      </c>
      <c r="C6586" s="76" t="s">
        <v>882</v>
      </c>
      <c r="D6586" s="76" t="s">
        <v>902</v>
      </c>
      <c r="E6586" s="76" t="s">
        <v>2956</v>
      </c>
      <c r="F6586" s="79"/>
    </row>
    <row r="6587" spans="1:6">
      <c r="A6587" s="77">
        <f t="shared" ca="1" si="600"/>
        <v>46046</v>
      </c>
      <c r="B6587" s="80">
        <f t="shared" ca="1" si="601"/>
        <v>46046.517195370368</v>
      </c>
      <c r="C6587" s="76" t="s">
        <v>882</v>
      </c>
      <c r="D6587" s="76" t="s">
        <v>902</v>
      </c>
      <c r="E6587" s="79" t="s">
        <v>1229</v>
      </c>
      <c r="F6587" s="79"/>
    </row>
    <row r="6588" spans="1:6">
      <c r="A6588" s="77">
        <f t="shared" ca="1" si="600"/>
        <v>46046</v>
      </c>
      <c r="B6588" s="80">
        <f t="shared" ca="1" si="601"/>
        <v>46046.527726273147</v>
      </c>
      <c r="C6588" s="76" t="s">
        <v>882</v>
      </c>
      <c r="D6588" s="76" t="s">
        <v>902</v>
      </c>
      <c r="E6588" s="76"/>
      <c r="F6588" s="76" t="s">
        <v>3420</v>
      </c>
    </row>
    <row r="6589" spans="1:6">
      <c r="A6589" s="77">
        <f t="shared" ca="1" si="600"/>
        <v>46046</v>
      </c>
      <c r="B6589" s="80">
        <f t="shared" ca="1" si="601"/>
        <v>46046.531353587961</v>
      </c>
      <c r="C6589" s="76" t="s">
        <v>882</v>
      </c>
      <c r="D6589" s="76" t="s">
        <v>902</v>
      </c>
      <c r="E6589" s="76" t="s">
        <v>3415</v>
      </c>
      <c r="F6589" s="79"/>
    </row>
    <row r="6590" spans="1:6">
      <c r="A6590" s="77">
        <f t="shared" ca="1" si="600"/>
        <v>46046</v>
      </c>
      <c r="B6590" s="80">
        <f t="shared" ca="1" si="601"/>
        <v>46046.532879976854</v>
      </c>
      <c r="C6590" s="76" t="s">
        <v>882</v>
      </c>
      <c r="D6590" s="76" t="s">
        <v>902</v>
      </c>
      <c r="E6590" s="76" t="s">
        <v>3415</v>
      </c>
      <c r="F6590" s="79"/>
    </row>
    <row r="6591" spans="1:6">
      <c r="A6591" s="77">
        <f t="shared" ca="1" si="600"/>
        <v>46046</v>
      </c>
      <c r="B6591" s="80">
        <f t="shared" ca="1" si="601"/>
        <v>46046.53289490741</v>
      </c>
      <c r="C6591" s="76" t="s">
        <v>882</v>
      </c>
      <c r="D6591" s="76" t="s">
        <v>902</v>
      </c>
      <c r="E6591" s="76" t="s">
        <v>3415</v>
      </c>
      <c r="F6591" s="79"/>
    </row>
    <row r="6592" spans="1:6">
      <c r="A6592" s="77">
        <f t="shared" ca="1" si="600"/>
        <v>46046</v>
      </c>
      <c r="B6592" s="80">
        <f t="shared" ca="1" si="601"/>
        <v>46046.533692476849</v>
      </c>
      <c r="C6592" s="76" t="s">
        <v>882</v>
      </c>
      <c r="D6592" s="76" t="s">
        <v>902</v>
      </c>
      <c r="E6592" s="76" t="s">
        <v>3415</v>
      </c>
      <c r="F6592" s="79"/>
    </row>
    <row r="6593" spans="1:7">
      <c r="A6593" s="77">
        <f t="shared" ca="1" si="600"/>
        <v>46046</v>
      </c>
      <c r="B6593" s="80">
        <f t="shared" ca="1" si="601"/>
        <v>46046.53369837963</v>
      </c>
      <c r="C6593" s="76" t="s">
        <v>882</v>
      </c>
      <c r="D6593" s="76" t="s">
        <v>902</v>
      </c>
      <c r="E6593" s="76" t="s">
        <v>3415</v>
      </c>
      <c r="F6593" s="79"/>
    </row>
    <row r="6594" spans="1:7">
      <c r="A6594" s="77">
        <f t="shared" ca="1" si="600"/>
        <v>46046</v>
      </c>
      <c r="B6594" s="80">
        <f t="shared" ca="1" si="601"/>
        <v>46046.538371759256</v>
      </c>
      <c r="C6594" s="76" t="s">
        <v>882</v>
      </c>
      <c r="D6594" s="76" t="s">
        <v>902</v>
      </c>
      <c r="E6594" s="76" t="s">
        <v>3421</v>
      </c>
      <c r="F6594" s="79"/>
      <c r="G6594" s="76" t="s">
        <v>3421</v>
      </c>
    </row>
    <row r="6595" spans="1:7">
      <c r="A6595" s="77">
        <f t="shared" ca="1" si="600"/>
        <v>46046</v>
      </c>
      <c r="B6595" s="80">
        <f t="shared" ca="1" si="601"/>
        <v>46046.586519328703</v>
      </c>
      <c r="C6595" s="76" t="s">
        <v>882</v>
      </c>
      <c r="D6595" s="76" t="s">
        <v>902</v>
      </c>
      <c r="E6595" s="76" t="s">
        <v>1025</v>
      </c>
      <c r="F6595" s="79"/>
      <c r="G6595" s="76" t="s">
        <v>1025</v>
      </c>
    </row>
    <row r="6596" spans="1:7">
      <c r="A6596" s="77">
        <f t="shared" ca="1" si="600"/>
        <v>46046</v>
      </c>
      <c r="B6596" s="80">
        <f t="shared" ca="1" si="601"/>
        <v>46046.593988541666</v>
      </c>
      <c r="C6596" s="76" t="s">
        <v>882</v>
      </c>
      <c r="D6596" s="76" t="s">
        <v>902</v>
      </c>
      <c r="E6596" s="79" t="s">
        <v>2961</v>
      </c>
      <c r="F6596" s="79"/>
    </row>
    <row r="6597" spans="1:7">
      <c r="A6597" s="77">
        <f t="shared" ca="1" si="600"/>
        <v>46046</v>
      </c>
      <c r="B6597" s="80">
        <f t="shared" ca="1" si="601"/>
        <v>46046.601989467592</v>
      </c>
      <c r="C6597" s="76" t="s">
        <v>882</v>
      </c>
      <c r="D6597" s="76" t="s">
        <v>902</v>
      </c>
      <c r="E6597" s="79" t="s">
        <v>2961</v>
      </c>
      <c r="F6597" s="79"/>
    </row>
    <row r="6598" spans="1:7">
      <c r="A6598" s="77">
        <f t="shared" ca="1" si="600"/>
        <v>46046</v>
      </c>
      <c r="B6598" s="80">
        <f t="shared" ca="1" si="601"/>
        <v>46046.60707337963</v>
      </c>
      <c r="C6598" s="76" t="s">
        <v>882</v>
      </c>
      <c r="D6598" s="76" t="s">
        <v>902</v>
      </c>
      <c r="E6598" s="76" t="s">
        <v>3387</v>
      </c>
      <c r="F6598" s="79"/>
    </row>
    <row r="6599" spans="1:7">
      <c r="A6599" s="77">
        <f t="shared" ca="1" si="600"/>
        <v>46046</v>
      </c>
      <c r="B6599" s="80">
        <f t="shared" ca="1" si="601"/>
        <v>46046.612083564818</v>
      </c>
      <c r="C6599" s="76" t="s">
        <v>882</v>
      </c>
      <c r="D6599" s="76" t="s">
        <v>902</v>
      </c>
      <c r="E6599" s="79"/>
      <c r="F6599" s="79" t="s">
        <v>1003</v>
      </c>
      <c r="G6599" s="76" t="s">
        <v>3422</v>
      </c>
    </row>
    <row r="6600" spans="1:7">
      <c r="A6600" s="77">
        <f t="shared" ca="1" si="600"/>
        <v>46046</v>
      </c>
      <c r="B6600" s="80">
        <f t="shared" ca="1" si="601"/>
        <v>46046.621162847223</v>
      </c>
      <c r="C6600" s="76" t="s">
        <v>882</v>
      </c>
      <c r="D6600" s="76" t="s">
        <v>902</v>
      </c>
      <c r="E6600" s="29" t="s">
        <v>2961</v>
      </c>
      <c r="F6600" s="79"/>
    </row>
    <row r="6601" spans="1:7">
      <c r="A6601" s="77">
        <f t="shared" ca="1" si="600"/>
        <v>46046</v>
      </c>
      <c r="B6601" s="80">
        <f t="shared" ca="1" si="601"/>
        <v>46046.622797453703</v>
      </c>
      <c r="C6601" s="76" t="s">
        <v>882</v>
      </c>
      <c r="D6601" s="76" t="s">
        <v>902</v>
      </c>
      <c r="E6601" s="79" t="s">
        <v>1229</v>
      </c>
      <c r="F6601" s="79"/>
    </row>
    <row r="6602" spans="1:7">
      <c r="A6602" s="77">
        <f t="shared" ca="1" si="600"/>
        <v>46046</v>
      </c>
      <c r="B6602" s="80">
        <f t="shared" ca="1" si="601"/>
        <v>46046.629014004633</v>
      </c>
      <c r="C6602" s="76" t="s">
        <v>882</v>
      </c>
      <c r="D6602" s="76" t="s">
        <v>902</v>
      </c>
      <c r="E6602" s="76" t="s">
        <v>3387</v>
      </c>
      <c r="F6602" s="79"/>
    </row>
    <row r="6603" spans="1:7">
      <c r="A6603" s="77">
        <f t="shared" ca="1" si="600"/>
        <v>46046</v>
      </c>
      <c r="B6603" s="80">
        <f t="shared" ca="1" si="601"/>
        <v>46046.650232638887</v>
      </c>
      <c r="C6603" s="76" t="s">
        <v>882</v>
      </c>
      <c r="D6603" s="76" t="s">
        <v>902</v>
      </c>
      <c r="E6603" s="76" t="s">
        <v>3423</v>
      </c>
      <c r="F6603" s="79"/>
    </row>
    <row r="6604" spans="1:7">
      <c r="A6604" s="77">
        <f t="shared" ca="1" si="600"/>
        <v>46046</v>
      </c>
      <c r="B6604" s="80">
        <f t="shared" ca="1" si="601"/>
        <v>46046.65408414352</v>
      </c>
      <c r="C6604" s="76" t="s">
        <v>882</v>
      </c>
      <c r="D6604" s="76" t="s">
        <v>902</v>
      </c>
      <c r="E6604" s="76" t="s">
        <v>3415</v>
      </c>
      <c r="F6604" s="79"/>
    </row>
    <row r="6605" spans="1:7">
      <c r="A6605" s="77">
        <f t="shared" ca="1" si="600"/>
        <v>46046</v>
      </c>
      <c r="B6605" s="80">
        <f t="shared" ca="1" si="601"/>
        <v>46046.658929745368</v>
      </c>
      <c r="C6605" s="76" t="s">
        <v>882</v>
      </c>
      <c r="D6605" s="76" t="s">
        <v>902</v>
      </c>
      <c r="E6605" s="76" t="s">
        <v>3364</v>
      </c>
      <c r="F6605" s="79"/>
      <c r="G6605" s="76" t="s">
        <v>3364</v>
      </c>
    </row>
    <row r="6606" spans="1:7">
      <c r="A6606" s="77">
        <f t="shared" ca="1" si="600"/>
        <v>46046</v>
      </c>
      <c r="B6606" s="80">
        <f t="shared" ca="1" si="601"/>
        <v>46046.667520717594</v>
      </c>
      <c r="C6606" s="76" t="s">
        <v>882</v>
      </c>
      <c r="D6606" s="76" t="s">
        <v>902</v>
      </c>
      <c r="E6606" s="76" t="s">
        <v>3423</v>
      </c>
      <c r="F6606" s="79"/>
    </row>
    <row r="6607" spans="1:7">
      <c r="A6607" s="77">
        <f t="shared" ca="1" si="600"/>
        <v>46046</v>
      </c>
      <c r="B6607" s="80">
        <f t="shared" ca="1" si="601"/>
        <v>46046.670288310183</v>
      </c>
      <c r="C6607" s="76" t="s">
        <v>882</v>
      </c>
      <c r="D6607" s="76" t="s">
        <v>902</v>
      </c>
      <c r="E6607" s="76" t="s">
        <v>3423</v>
      </c>
      <c r="F6607" s="79"/>
    </row>
    <row r="6608" spans="1:7">
      <c r="A6608" s="77">
        <f t="shared" ca="1" si="600"/>
        <v>46046</v>
      </c>
      <c r="B6608" s="80">
        <f t="shared" ca="1" si="601"/>
        <v>46046.686224537036</v>
      </c>
      <c r="C6608" s="76" t="s">
        <v>882</v>
      </c>
      <c r="D6608" s="76" t="s">
        <v>902</v>
      </c>
      <c r="E6608" s="76" t="s">
        <v>3424</v>
      </c>
      <c r="F6608" s="79"/>
    </row>
    <row r="6609" spans="1:7">
      <c r="A6609" s="77">
        <f t="shared" ca="1" si="600"/>
        <v>46046</v>
      </c>
      <c r="B6609" s="80">
        <f t="shared" ca="1" si="601"/>
        <v>46046.686228009261</v>
      </c>
      <c r="C6609" s="76" t="s">
        <v>882</v>
      </c>
      <c r="D6609" s="150" t="s">
        <v>1007</v>
      </c>
      <c r="E6609" s="76" t="s">
        <v>3424</v>
      </c>
      <c r="F6609" s="79"/>
    </row>
    <row r="6610" spans="1:7">
      <c r="A6610" s="77">
        <f t="shared" ref="A6610:A6638" ca="1" si="602">IF(C6610&lt;&gt;0,IF(A6610=0,TODAY(),A6610),)</f>
        <v>46046</v>
      </c>
      <c r="B6610" s="80">
        <f t="shared" ref="B6610:B6641" ca="1" si="603">IF(C6610&lt;&gt;0,IF(B6610=0,NOW(),B6610),)</f>
        <v>46046.690230208333</v>
      </c>
      <c r="C6610" s="76" t="s">
        <v>882</v>
      </c>
      <c r="D6610" s="76" t="s">
        <v>902</v>
      </c>
      <c r="E6610" s="76" t="s">
        <v>3415</v>
      </c>
      <c r="F6610" s="79"/>
    </row>
    <row r="6611" spans="1:7">
      <c r="A6611" s="77">
        <f t="shared" ca="1" si="602"/>
        <v>46046</v>
      </c>
      <c r="B6611" s="80">
        <f t="shared" ca="1" si="603"/>
        <v>46046.69847974537</v>
      </c>
      <c r="C6611" s="76" t="s">
        <v>882</v>
      </c>
      <c r="D6611" s="76" t="s">
        <v>902</v>
      </c>
      <c r="E6611" s="76" t="s">
        <v>3364</v>
      </c>
      <c r="F6611" s="79"/>
    </row>
    <row r="6612" spans="1:7">
      <c r="A6612" s="77">
        <f t="shared" ca="1" si="602"/>
        <v>46046</v>
      </c>
      <c r="B6612" s="80">
        <f t="shared" ca="1" si="603"/>
        <v>46046.703496527778</v>
      </c>
      <c r="C6612" s="76" t="s">
        <v>882</v>
      </c>
      <c r="D6612" s="76" t="s">
        <v>902</v>
      </c>
      <c r="E6612" s="79"/>
      <c r="F6612" s="79" t="s">
        <v>1213</v>
      </c>
    </row>
    <row r="6613" spans="1:7">
      <c r="A6613" s="77">
        <f t="shared" ca="1" si="602"/>
        <v>46046</v>
      </c>
      <c r="B6613" s="80">
        <f t="shared" ca="1" si="603"/>
        <v>46046.705149768517</v>
      </c>
      <c r="C6613" s="76" t="s">
        <v>882</v>
      </c>
      <c r="D6613" s="76" t="s">
        <v>902</v>
      </c>
      <c r="E6613" s="79"/>
      <c r="F6613" s="79"/>
      <c r="G6613" s="76" t="s">
        <v>3425</v>
      </c>
    </row>
    <row r="6614" spans="1:7">
      <c r="A6614" s="77">
        <f t="shared" ca="1" si="602"/>
        <v>46046</v>
      </c>
      <c r="B6614" s="80">
        <f t="shared" ca="1" si="603"/>
        <v>46046.708635185183</v>
      </c>
      <c r="C6614" s="76" t="s">
        <v>882</v>
      </c>
      <c r="D6614" s="76" t="s">
        <v>902</v>
      </c>
      <c r="E6614" s="76" t="s">
        <v>3426</v>
      </c>
      <c r="F6614" s="79"/>
      <c r="G6614" s="76" t="s">
        <v>3426</v>
      </c>
    </row>
    <row r="6615" spans="1:7">
      <c r="A6615" s="77">
        <f t="shared" ca="1" si="602"/>
        <v>46046</v>
      </c>
      <c r="B6615" s="80">
        <f t="shared" ca="1" si="603"/>
        <v>46046.70928171296</v>
      </c>
      <c r="C6615" s="76" t="s">
        <v>882</v>
      </c>
      <c r="D6615" s="76" t="s">
        <v>902</v>
      </c>
      <c r="E6615" s="76" t="s">
        <v>3426</v>
      </c>
      <c r="F6615" s="79"/>
    </row>
    <row r="6616" spans="1:7">
      <c r="A6616" s="77">
        <f t="shared" ca="1" si="602"/>
        <v>46046</v>
      </c>
      <c r="B6616" s="80">
        <f t="shared" ca="1" si="603"/>
        <v>46046.709673611113</v>
      </c>
      <c r="C6616" s="76" t="s">
        <v>882</v>
      </c>
      <c r="D6616" s="76" t="s">
        <v>902</v>
      </c>
      <c r="E6616" s="76" t="s">
        <v>3426</v>
      </c>
      <c r="F6616" s="79"/>
    </row>
    <row r="6617" spans="1:7">
      <c r="A6617" s="77">
        <f t="shared" ca="1" si="602"/>
        <v>46046</v>
      </c>
      <c r="B6617" s="80">
        <f t="shared" ca="1" si="603"/>
        <v>46046.716140625002</v>
      </c>
      <c r="C6617" s="76" t="s">
        <v>882</v>
      </c>
      <c r="D6617" s="150" t="s">
        <v>3427</v>
      </c>
      <c r="E6617" s="76" t="s">
        <v>3428</v>
      </c>
      <c r="F6617" s="79"/>
    </row>
    <row r="6618" spans="1:7">
      <c r="A6618" s="77">
        <f t="shared" ca="1" si="602"/>
        <v>46046</v>
      </c>
      <c r="B6618" s="80">
        <f t="shared" ca="1" si="603"/>
        <v>46046.722300578702</v>
      </c>
      <c r="C6618" s="76" t="s">
        <v>882</v>
      </c>
      <c r="D6618" s="76" t="s">
        <v>902</v>
      </c>
      <c r="E6618" s="76" t="s">
        <v>3415</v>
      </c>
      <c r="F6618" s="79"/>
    </row>
    <row r="6619" spans="1:7">
      <c r="A6619" s="77">
        <f t="shared" ca="1" si="602"/>
        <v>46046</v>
      </c>
      <c r="B6619" s="80">
        <f t="shared" ca="1" si="603"/>
        <v>46046.722410648152</v>
      </c>
      <c r="C6619" s="76" t="s">
        <v>882</v>
      </c>
      <c r="D6619" s="76" t="s">
        <v>902</v>
      </c>
      <c r="E6619" s="76" t="s">
        <v>3415</v>
      </c>
      <c r="F6619" s="79"/>
    </row>
    <row r="6620" spans="1:7">
      <c r="A6620" s="77">
        <f t="shared" ca="1" si="602"/>
        <v>46046</v>
      </c>
      <c r="B6620" s="80">
        <f t="shared" ca="1" si="603"/>
        <v>46046.729907175926</v>
      </c>
      <c r="C6620" s="76" t="s">
        <v>882</v>
      </c>
      <c r="D6620" s="210" t="s">
        <v>922</v>
      </c>
      <c r="E6620" s="79"/>
      <c r="F6620" s="79"/>
    </row>
    <row r="6621" spans="1:7">
      <c r="A6621" s="77">
        <f t="shared" ca="1" si="602"/>
        <v>46046</v>
      </c>
      <c r="B6621" s="80">
        <f t="shared" ca="1" si="603"/>
        <v>46046.77823275463</v>
      </c>
      <c r="C6621" s="76" t="s">
        <v>882</v>
      </c>
      <c r="D6621" s="210" t="s">
        <v>1098</v>
      </c>
      <c r="E6621" s="79"/>
      <c r="F6621" s="79"/>
    </row>
    <row r="6622" spans="1:7">
      <c r="A6622" s="77">
        <f t="shared" ca="1" si="602"/>
        <v>46046</v>
      </c>
      <c r="B6622" s="80">
        <f t="shared" ca="1" si="603"/>
        <v>46046.848601736114</v>
      </c>
      <c r="C6622" s="76" t="s">
        <v>886</v>
      </c>
      <c r="D6622" s="210" t="s">
        <v>906</v>
      </c>
      <c r="E6622" s="79"/>
      <c r="F6622" s="79"/>
    </row>
    <row r="6623" spans="1:7">
      <c r="A6623" s="77">
        <f t="shared" ca="1" si="602"/>
        <v>46046</v>
      </c>
      <c r="B6623" s="80">
        <f t="shared" ca="1" si="603"/>
        <v>46046.918346990744</v>
      </c>
      <c r="C6623" s="76" t="s">
        <v>886</v>
      </c>
      <c r="D6623" s="210" t="s">
        <v>909</v>
      </c>
      <c r="E6623" s="79"/>
      <c r="F6623" s="79"/>
    </row>
    <row r="6624" spans="1:7">
      <c r="A6624" s="77">
        <f t="shared" ca="1" si="602"/>
        <v>46046</v>
      </c>
      <c r="B6624" s="80">
        <f t="shared" ca="1" si="603"/>
        <v>46046.922061805555</v>
      </c>
      <c r="C6624" s="76" t="s">
        <v>886</v>
      </c>
      <c r="D6624" s="76" t="s">
        <v>902</v>
      </c>
      <c r="E6624" s="76" t="s">
        <v>3373</v>
      </c>
      <c r="F6624" s="79"/>
    </row>
    <row r="6625" spans="1:7">
      <c r="A6625" s="77">
        <f t="shared" ca="1" si="602"/>
        <v>46046</v>
      </c>
      <c r="B6625" s="80">
        <f t="shared" ca="1" si="603"/>
        <v>46046.922605902779</v>
      </c>
      <c r="C6625" s="76" t="s">
        <v>886</v>
      </c>
      <c r="D6625" s="76" t="s">
        <v>902</v>
      </c>
      <c r="E6625" s="76" t="s">
        <v>3415</v>
      </c>
      <c r="F6625" s="79"/>
    </row>
    <row r="6626" spans="1:7">
      <c r="A6626" s="77">
        <f t="shared" ca="1" si="602"/>
        <v>46046</v>
      </c>
      <c r="B6626" s="80">
        <f t="shared" ca="1" si="603"/>
        <v>46046.923309606478</v>
      </c>
      <c r="C6626" s="76" t="s">
        <v>886</v>
      </c>
      <c r="D6626" s="76" t="s">
        <v>902</v>
      </c>
      <c r="E6626" s="76" t="s">
        <v>3373</v>
      </c>
      <c r="F6626" s="79"/>
    </row>
    <row r="6627" spans="1:7">
      <c r="A6627" s="77">
        <f t="shared" ca="1" si="602"/>
        <v>46046</v>
      </c>
      <c r="B6627" s="80">
        <f t="shared" ca="1" si="603"/>
        <v>46046.92592199074</v>
      </c>
      <c r="C6627" s="76" t="s">
        <v>886</v>
      </c>
      <c r="D6627" s="76" t="s">
        <v>902</v>
      </c>
      <c r="E6627" s="76" t="s">
        <v>3415</v>
      </c>
      <c r="F6627" s="79"/>
    </row>
    <row r="6628" spans="1:7">
      <c r="A6628" s="77">
        <f t="shared" ca="1" si="602"/>
        <v>46046</v>
      </c>
      <c r="B6628" s="80">
        <f t="shared" ca="1" si="603"/>
        <v>46046.927799305558</v>
      </c>
      <c r="C6628" s="76" t="s">
        <v>886</v>
      </c>
      <c r="D6628" s="76" t="s">
        <v>902</v>
      </c>
      <c r="E6628" s="76" t="s">
        <v>3373</v>
      </c>
      <c r="F6628" s="79"/>
    </row>
    <row r="6629" spans="1:7">
      <c r="A6629" s="77">
        <f t="shared" ca="1" si="602"/>
        <v>46046</v>
      </c>
      <c r="B6629" s="80">
        <f t="shared" ca="1" si="603"/>
        <v>46046.949030208336</v>
      </c>
      <c r="C6629" s="76" t="s">
        <v>886</v>
      </c>
      <c r="D6629" s="150" t="s">
        <v>1007</v>
      </c>
      <c r="E6629" s="79"/>
      <c r="F6629" s="79"/>
      <c r="G6629" s="76" t="s">
        <v>3429</v>
      </c>
    </row>
    <row r="6630" spans="1:7">
      <c r="A6630" s="77">
        <f t="shared" ca="1" si="602"/>
        <v>46046</v>
      </c>
      <c r="B6630" s="80">
        <f t="shared" ca="1" si="603"/>
        <v>46046.967023958336</v>
      </c>
      <c r="C6630" s="76" t="s">
        <v>886</v>
      </c>
      <c r="D6630" s="76" t="s">
        <v>902</v>
      </c>
      <c r="E6630" s="76" t="s">
        <v>3373</v>
      </c>
      <c r="F6630" s="79"/>
    </row>
    <row r="6631" spans="1:7">
      <c r="A6631" s="77">
        <f t="shared" ca="1" si="602"/>
        <v>46046</v>
      </c>
      <c r="B6631" s="80">
        <f t="shared" ca="1" si="603"/>
        <v>46046.974133796299</v>
      </c>
      <c r="C6631" s="76" t="s">
        <v>886</v>
      </c>
      <c r="D6631" s="76" t="s">
        <v>902</v>
      </c>
      <c r="E6631" s="76" t="s">
        <v>3430</v>
      </c>
      <c r="F6631" s="79"/>
    </row>
    <row r="6632" spans="1:7">
      <c r="A6632" s="77">
        <f t="shared" ca="1" si="602"/>
        <v>46046</v>
      </c>
      <c r="B6632" s="80">
        <f t="shared" ca="1" si="603"/>
        <v>46046.974176504627</v>
      </c>
      <c r="C6632" s="76" t="s">
        <v>886</v>
      </c>
      <c r="D6632" s="76" t="s">
        <v>902</v>
      </c>
      <c r="E6632" s="76" t="s">
        <v>3387</v>
      </c>
      <c r="F6632" s="79"/>
    </row>
    <row r="6633" spans="1:7">
      <c r="A6633" s="77">
        <f t="shared" ca="1" si="602"/>
        <v>46046</v>
      </c>
      <c r="B6633" s="80">
        <f t="shared" ca="1" si="603"/>
        <v>46046.98689375</v>
      </c>
      <c r="C6633" s="76" t="s">
        <v>886</v>
      </c>
      <c r="D6633" s="76" t="s">
        <v>902</v>
      </c>
      <c r="E6633" s="76" t="s">
        <v>3373</v>
      </c>
      <c r="F6633" s="79"/>
    </row>
    <row r="6634" spans="1:7">
      <c r="A6634" s="77">
        <f t="shared" ca="1" si="602"/>
        <v>46046</v>
      </c>
      <c r="B6634" s="80">
        <f t="shared" ca="1" si="603"/>
        <v>46046.998889120368</v>
      </c>
      <c r="C6634" s="76" t="s">
        <v>886</v>
      </c>
      <c r="D6634" s="76" t="s">
        <v>902</v>
      </c>
      <c r="E6634" s="76" t="s">
        <v>3373</v>
      </c>
      <c r="F6634" s="79"/>
    </row>
    <row r="6635" spans="1:7">
      <c r="A6635" s="77">
        <f t="shared" ca="1" si="602"/>
        <v>46046</v>
      </c>
      <c r="B6635" s="80">
        <f t="shared" ca="1" si="603"/>
        <v>46046.999438425926</v>
      </c>
      <c r="C6635" s="76" t="s">
        <v>886</v>
      </c>
      <c r="D6635" s="76" t="s">
        <v>902</v>
      </c>
      <c r="E6635" s="76" t="s">
        <v>3373</v>
      </c>
      <c r="F6635" s="79"/>
    </row>
    <row r="6636" spans="1:7">
      <c r="A6636" s="77">
        <f t="shared" ca="1" si="602"/>
        <v>46047</v>
      </c>
      <c r="B6636" s="80">
        <f t="shared" ca="1" si="603"/>
        <v>46047.000310069445</v>
      </c>
      <c r="C6636" s="76" t="s">
        <v>886</v>
      </c>
      <c r="D6636" s="76" t="s">
        <v>902</v>
      </c>
      <c r="E6636" s="76" t="s">
        <v>3373</v>
      </c>
      <c r="F6636" s="79"/>
    </row>
    <row r="6637" spans="1:7">
      <c r="A6637" s="77">
        <f t="shared" ca="1" si="602"/>
        <v>46047</v>
      </c>
      <c r="B6637" s="80">
        <f t="shared" ca="1" si="603"/>
        <v>46047.003920601848</v>
      </c>
      <c r="C6637" s="76" t="s">
        <v>886</v>
      </c>
      <c r="D6637" s="76" t="s">
        <v>902</v>
      </c>
      <c r="E6637" s="76" t="s">
        <v>3373</v>
      </c>
      <c r="F6637" s="79"/>
    </row>
    <row r="6638" spans="1:7">
      <c r="A6638" s="77">
        <f t="shared" ca="1" si="602"/>
        <v>46047</v>
      </c>
      <c r="B6638" s="80">
        <f t="shared" ca="1" si="603"/>
        <v>46047.005874074071</v>
      </c>
      <c r="C6638" s="76" t="s">
        <v>886</v>
      </c>
      <c r="D6638" s="76" t="s">
        <v>902</v>
      </c>
      <c r="E6638" s="76" t="s">
        <v>3373</v>
      </c>
      <c r="F6638" s="79"/>
    </row>
    <row r="6639" spans="1:7">
      <c r="A6639" s="77">
        <f t="shared" ref="A6639:A6670" ca="1" si="604">IF(C6639&lt;&gt;0,IF(A6639=0,TODAY(),A6639),)</f>
        <v>46047</v>
      </c>
      <c r="B6639" s="80">
        <f t="shared" ref="B6639:B6670" ca="1" si="605">IF(C6639&lt;&gt;0,IF(B6639=0,NOW(),B6639),)</f>
        <v>46047.012440740742</v>
      </c>
      <c r="C6639" s="76" t="s">
        <v>886</v>
      </c>
      <c r="D6639" s="76" t="s">
        <v>902</v>
      </c>
      <c r="E6639" s="76" t="s">
        <v>3373</v>
      </c>
      <c r="F6639" s="79"/>
    </row>
    <row r="6640" spans="1:7">
      <c r="A6640" s="77">
        <f t="shared" ca="1" si="604"/>
        <v>46047</v>
      </c>
      <c r="B6640" s="80">
        <f t="shared" ca="1" si="605"/>
        <v>46047.012699652776</v>
      </c>
      <c r="C6640" s="76" t="s">
        <v>886</v>
      </c>
      <c r="D6640" s="76" t="s">
        <v>902</v>
      </c>
      <c r="E6640" s="76" t="s">
        <v>3373</v>
      </c>
      <c r="F6640" s="79"/>
      <c r="G6640" s="76" t="s">
        <v>3431</v>
      </c>
    </row>
    <row r="6641" spans="1:6">
      <c r="A6641" s="77">
        <f t="shared" ca="1" si="604"/>
        <v>46047</v>
      </c>
      <c r="B6641" s="80">
        <f t="shared" ca="1" si="605"/>
        <v>46047.012815162037</v>
      </c>
      <c r="C6641" s="76" t="s">
        <v>886</v>
      </c>
      <c r="D6641" s="76" t="s">
        <v>902</v>
      </c>
      <c r="E6641" s="76" t="s">
        <v>3387</v>
      </c>
      <c r="F6641" s="79"/>
    </row>
    <row r="6642" spans="1:6">
      <c r="A6642" s="77">
        <f t="shared" ca="1" si="604"/>
        <v>46047</v>
      </c>
      <c r="B6642" s="80">
        <f t="shared" ca="1" si="605"/>
        <v>46047.014050925929</v>
      </c>
      <c r="C6642" s="76" t="s">
        <v>886</v>
      </c>
      <c r="D6642" s="76" t="s">
        <v>902</v>
      </c>
      <c r="E6642" s="76" t="s">
        <v>3373</v>
      </c>
      <c r="F6642" s="79"/>
    </row>
    <row r="6643" spans="1:6">
      <c r="A6643" s="77">
        <f t="shared" ca="1" si="604"/>
        <v>46047</v>
      </c>
      <c r="B6643" s="80">
        <f t="shared" ca="1" si="605"/>
        <v>46047.018127430558</v>
      </c>
      <c r="C6643" s="76" t="s">
        <v>886</v>
      </c>
      <c r="D6643" s="76" t="s">
        <v>902</v>
      </c>
      <c r="E6643" s="76" t="s">
        <v>3415</v>
      </c>
      <c r="F6643" s="79"/>
    </row>
    <row r="6644" spans="1:6">
      <c r="A6644" s="77">
        <f t="shared" ca="1" si="604"/>
        <v>46047</v>
      </c>
      <c r="B6644" s="80">
        <f t="shared" ca="1" si="605"/>
        <v>46047.024582175924</v>
      </c>
      <c r="C6644" s="76" t="s">
        <v>886</v>
      </c>
      <c r="D6644" s="76" t="s">
        <v>902</v>
      </c>
      <c r="E6644" s="76" t="s">
        <v>3432</v>
      </c>
      <c r="F6644" s="79"/>
    </row>
    <row r="6645" spans="1:6">
      <c r="A6645" s="77">
        <f t="shared" ca="1" si="604"/>
        <v>46047</v>
      </c>
      <c r="B6645" s="80">
        <f t="shared" ca="1" si="605"/>
        <v>46047.025642824075</v>
      </c>
      <c r="C6645" s="76" t="s">
        <v>886</v>
      </c>
      <c r="D6645" s="76" t="s">
        <v>902</v>
      </c>
      <c r="E6645" s="76" t="s">
        <v>3387</v>
      </c>
      <c r="F6645" s="79"/>
    </row>
    <row r="6646" spans="1:6">
      <c r="A6646" s="77">
        <f t="shared" ca="1" si="604"/>
        <v>46047</v>
      </c>
      <c r="B6646" s="80">
        <f t="shared" ca="1" si="605"/>
        <v>46047.027618865737</v>
      </c>
      <c r="C6646" s="76" t="s">
        <v>886</v>
      </c>
      <c r="D6646" s="76" t="s">
        <v>902</v>
      </c>
      <c r="E6646" s="76" t="s">
        <v>3432</v>
      </c>
      <c r="F6646" s="79"/>
    </row>
    <row r="6647" spans="1:6">
      <c r="A6647" s="77">
        <f t="shared" ca="1" si="604"/>
        <v>46047</v>
      </c>
      <c r="B6647" s="80">
        <f t="shared" ca="1" si="605"/>
        <v>46047.030774999999</v>
      </c>
      <c r="C6647" s="76" t="s">
        <v>886</v>
      </c>
      <c r="D6647" s="76" t="s">
        <v>902</v>
      </c>
      <c r="E6647" s="76" t="s">
        <v>3432</v>
      </c>
      <c r="F6647" s="79"/>
    </row>
    <row r="6648" spans="1:6">
      <c r="A6648" s="77">
        <f t="shared" ca="1" si="604"/>
        <v>46047</v>
      </c>
      <c r="B6648" s="80">
        <f t="shared" ca="1" si="605"/>
        <v>46047.035896412039</v>
      </c>
      <c r="C6648" s="76" t="s">
        <v>886</v>
      </c>
      <c r="D6648" s="76" t="s">
        <v>902</v>
      </c>
      <c r="E6648" s="76" t="s">
        <v>3387</v>
      </c>
      <c r="F6648" s="79"/>
    </row>
    <row r="6649" spans="1:6">
      <c r="A6649" s="77">
        <f t="shared" ca="1" si="604"/>
        <v>46047</v>
      </c>
      <c r="B6649" s="80">
        <f t="shared" ca="1" si="605"/>
        <v>46047.040497337963</v>
      </c>
      <c r="C6649" s="76" t="s">
        <v>886</v>
      </c>
      <c r="D6649" s="76" t="s">
        <v>902</v>
      </c>
      <c r="E6649" s="76" t="s">
        <v>3387</v>
      </c>
      <c r="F6649" s="79"/>
    </row>
    <row r="6650" spans="1:6">
      <c r="A6650" s="77">
        <f t="shared" ca="1" si="604"/>
        <v>46047</v>
      </c>
      <c r="B6650" s="80">
        <f t="shared" ca="1" si="605"/>
        <v>46047.044708217596</v>
      </c>
      <c r="C6650" s="76" t="s">
        <v>886</v>
      </c>
      <c r="D6650" s="76" t="s">
        <v>902</v>
      </c>
      <c r="E6650" s="76" t="s">
        <v>3432</v>
      </c>
      <c r="F6650" s="79"/>
    </row>
    <row r="6651" spans="1:6">
      <c r="A6651" s="77">
        <f t="shared" ca="1" si="604"/>
        <v>46047</v>
      </c>
      <c r="B6651" s="80">
        <f t="shared" ca="1" si="605"/>
        <v>46047.04622916667</v>
      </c>
      <c r="C6651" s="76" t="s">
        <v>886</v>
      </c>
      <c r="D6651" s="76" t="s">
        <v>902</v>
      </c>
      <c r="E6651" s="76" t="s">
        <v>3387</v>
      </c>
      <c r="F6651" s="79"/>
    </row>
    <row r="6652" spans="1:6">
      <c r="A6652" s="77">
        <f t="shared" ca="1" si="604"/>
        <v>46047</v>
      </c>
      <c r="B6652" s="80">
        <f t="shared" ca="1" si="605"/>
        <v>46047.054648726851</v>
      </c>
      <c r="C6652" s="76" t="s">
        <v>886</v>
      </c>
      <c r="D6652" s="76" t="s">
        <v>902</v>
      </c>
      <c r="E6652" s="76" t="s">
        <v>3373</v>
      </c>
      <c r="F6652" s="79"/>
    </row>
    <row r="6653" spans="1:6">
      <c r="A6653" s="77">
        <f t="shared" ca="1" si="604"/>
        <v>46047</v>
      </c>
      <c r="B6653" s="80">
        <f t="shared" ca="1" si="605"/>
        <v>46047.061790856482</v>
      </c>
      <c r="C6653" s="76" t="s">
        <v>886</v>
      </c>
      <c r="D6653" s="76" t="s">
        <v>902</v>
      </c>
      <c r="E6653" s="76" t="s">
        <v>3387</v>
      </c>
      <c r="F6653" s="79"/>
    </row>
    <row r="6654" spans="1:6">
      <c r="A6654" s="77">
        <f t="shared" ca="1" si="604"/>
        <v>46047</v>
      </c>
      <c r="B6654" s="80">
        <f t="shared" ca="1" si="605"/>
        <v>46047.062238194441</v>
      </c>
      <c r="C6654" s="76" t="s">
        <v>886</v>
      </c>
      <c r="D6654" s="76" t="s">
        <v>902</v>
      </c>
      <c r="E6654" s="76" t="s">
        <v>3433</v>
      </c>
      <c r="F6654" s="79"/>
    </row>
    <row r="6655" spans="1:6">
      <c r="A6655" s="77">
        <f t="shared" ca="1" si="604"/>
        <v>46047</v>
      </c>
      <c r="B6655" s="80">
        <f t="shared" ca="1" si="605"/>
        <v>46047.063543055556</v>
      </c>
      <c r="C6655" s="76" t="s">
        <v>886</v>
      </c>
      <c r="D6655" s="76" t="s">
        <v>902</v>
      </c>
      <c r="E6655" s="79" t="s">
        <v>3397</v>
      </c>
      <c r="F6655" s="79"/>
    </row>
    <row r="6656" spans="1:6">
      <c r="A6656" s="77">
        <f t="shared" ca="1" si="604"/>
        <v>46047</v>
      </c>
      <c r="B6656" s="80">
        <f t="shared" ca="1" si="605"/>
        <v>46047.064823726854</v>
      </c>
      <c r="C6656" s="76" t="s">
        <v>886</v>
      </c>
      <c r="D6656" s="76" t="s">
        <v>902</v>
      </c>
      <c r="E6656" s="79" t="s">
        <v>3397</v>
      </c>
      <c r="F6656" s="79"/>
    </row>
    <row r="6657" spans="1:7">
      <c r="A6657" s="77">
        <f t="shared" ca="1" si="604"/>
        <v>46047</v>
      </c>
      <c r="B6657" s="80">
        <f t="shared" ca="1" si="605"/>
        <v>46047.113043750003</v>
      </c>
      <c r="C6657" s="76" t="s">
        <v>886</v>
      </c>
      <c r="D6657" s="76" t="s">
        <v>902</v>
      </c>
      <c r="E6657" s="79" t="s">
        <v>3397</v>
      </c>
      <c r="F6657" s="79"/>
    </row>
    <row r="6658" spans="1:7">
      <c r="A6658" s="77">
        <f t="shared" ca="1" si="604"/>
        <v>46047</v>
      </c>
      <c r="B6658" s="80">
        <f t="shared" ca="1" si="605"/>
        <v>46047.126520254627</v>
      </c>
      <c r="C6658" s="76" t="s">
        <v>886</v>
      </c>
      <c r="D6658" s="150" t="s">
        <v>3427</v>
      </c>
      <c r="E6658" s="79"/>
      <c r="F6658" s="79"/>
    </row>
    <row r="6659" spans="1:7">
      <c r="A6659" s="77">
        <f t="shared" ca="1" si="604"/>
        <v>46047</v>
      </c>
      <c r="B6659" s="80">
        <f t="shared" ca="1" si="605"/>
        <v>46047.137245370373</v>
      </c>
      <c r="C6659" s="76" t="s">
        <v>886</v>
      </c>
      <c r="D6659" s="76" t="s">
        <v>902</v>
      </c>
      <c r="E6659" s="79" t="s">
        <v>2961</v>
      </c>
      <c r="F6659" s="79"/>
    </row>
    <row r="6660" spans="1:7">
      <c r="A6660" s="77">
        <f t="shared" ca="1" si="604"/>
        <v>46047</v>
      </c>
      <c r="B6660" s="80">
        <f t="shared" ca="1" si="605"/>
        <v>46047.146714814815</v>
      </c>
      <c r="C6660" s="76" t="s">
        <v>886</v>
      </c>
      <c r="D6660" s="150" t="s">
        <v>3427</v>
      </c>
      <c r="E6660" s="79"/>
      <c r="F6660" s="79"/>
      <c r="G6660" s="76" t="s">
        <v>3434</v>
      </c>
    </row>
    <row r="6661" spans="1:7">
      <c r="A6661" s="77">
        <f t="shared" ca="1" si="604"/>
        <v>46047</v>
      </c>
      <c r="B6661" s="80">
        <f t="shared" ca="1" si="605"/>
        <v>46047.146890162039</v>
      </c>
      <c r="C6661" s="76" t="s">
        <v>886</v>
      </c>
      <c r="D6661" s="210" t="s">
        <v>922</v>
      </c>
      <c r="E6661" s="79"/>
      <c r="F6661" s="79"/>
    </row>
    <row r="6662" spans="1:7">
      <c r="A6662" s="77">
        <f t="shared" ca="1" si="604"/>
        <v>46047</v>
      </c>
      <c r="B6662" s="80">
        <f t="shared" ca="1" si="605"/>
        <v>46047.193742013886</v>
      </c>
      <c r="C6662" s="76" t="s">
        <v>886</v>
      </c>
      <c r="D6662" s="210" t="s">
        <v>1098</v>
      </c>
      <c r="E6662" s="79"/>
      <c r="F6662" s="79"/>
    </row>
    <row r="6663" spans="1:7">
      <c r="A6663" s="77">
        <f t="shared" ca="1" si="604"/>
        <v>46047</v>
      </c>
      <c r="B6663" s="80">
        <f t="shared" ca="1" si="605"/>
        <v>46047.363656250003</v>
      </c>
      <c r="C6663" s="76" t="s">
        <v>890</v>
      </c>
      <c r="D6663" s="210" t="s">
        <v>906</v>
      </c>
      <c r="E6663" s="79"/>
      <c r="F6663" s="79"/>
    </row>
    <row r="6664" spans="1:7">
      <c r="A6664" s="77">
        <f t="shared" ca="1" si="604"/>
        <v>46047</v>
      </c>
      <c r="B6664" s="80">
        <f t="shared" ca="1" si="605"/>
        <v>46047.434727662039</v>
      </c>
      <c r="C6664" s="76" t="s">
        <v>890</v>
      </c>
      <c r="D6664" s="210" t="s">
        <v>909</v>
      </c>
      <c r="E6664" s="79"/>
      <c r="F6664" s="79"/>
    </row>
    <row r="6665" spans="1:7">
      <c r="A6665" s="77">
        <f t="shared" ca="1" si="604"/>
        <v>46047</v>
      </c>
      <c r="B6665" s="80">
        <f t="shared" ca="1" si="605"/>
        <v>46047.443076967589</v>
      </c>
      <c r="C6665" s="76" t="s">
        <v>890</v>
      </c>
      <c r="D6665" s="76" t="s">
        <v>902</v>
      </c>
      <c r="E6665" s="79" t="s">
        <v>3385</v>
      </c>
      <c r="F6665" s="79"/>
    </row>
    <row r="6666" spans="1:7">
      <c r="A6666" s="77">
        <f t="shared" ca="1" si="604"/>
        <v>46047</v>
      </c>
      <c r="B6666" s="80">
        <f t="shared" ca="1" si="605"/>
        <v>46047.44492962963</v>
      </c>
      <c r="C6666" s="76" t="s">
        <v>890</v>
      </c>
      <c r="D6666" s="76" t="s">
        <v>902</v>
      </c>
      <c r="E6666" s="76" t="s">
        <v>3373</v>
      </c>
      <c r="F6666" s="79"/>
    </row>
    <row r="6667" spans="1:7">
      <c r="A6667" s="77">
        <f t="shared" ca="1" si="604"/>
        <v>46047</v>
      </c>
      <c r="B6667" s="80">
        <f t="shared" ca="1" si="605"/>
        <v>46047.446923958334</v>
      </c>
      <c r="C6667" s="76" t="s">
        <v>890</v>
      </c>
      <c r="D6667" s="76" t="s">
        <v>902</v>
      </c>
      <c r="E6667" s="76" t="s">
        <v>3415</v>
      </c>
      <c r="F6667" s="79"/>
    </row>
    <row r="6668" spans="1:7">
      <c r="A6668" s="77">
        <f t="shared" ca="1" si="604"/>
        <v>46047</v>
      </c>
      <c r="B6668" s="80">
        <f t="shared" ca="1" si="605"/>
        <v>46047.44968287037</v>
      </c>
      <c r="C6668" s="76" t="s">
        <v>890</v>
      </c>
      <c r="D6668" s="76" t="s">
        <v>902</v>
      </c>
      <c r="E6668" s="76" t="s">
        <v>3415</v>
      </c>
      <c r="F6668" s="79"/>
    </row>
    <row r="6669" spans="1:7">
      <c r="A6669" s="77">
        <f t="shared" ca="1" si="604"/>
        <v>46047</v>
      </c>
      <c r="B6669" s="80">
        <f t="shared" ca="1" si="605"/>
        <v>46047.455434606483</v>
      </c>
      <c r="C6669" s="76" t="s">
        <v>890</v>
      </c>
      <c r="D6669" s="76" t="s">
        <v>902</v>
      </c>
      <c r="E6669" s="76" t="s">
        <v>3373</v>
      </c>
      <c r="F6669" s="79"/>
    </row>
    <row r="6670" spans="1:7">
      <c r="A6670" s="77">
        <f t="shared" ca="1" si="604"/>
        <v>46047</v>
      </c>
      <c r="B6670" s="80">
        <f t="shared" ca="1" si="605"/>
        <v>46047.464295254627</v>
      </c>
      <c r="C6670" s="76" t="s">
        <v>890</v>
      </c>
      <c r="D6670" s="76" t="s">
        <v>902</v>
      </c>
      <c r="E6670" s="76" t="s">
        <v>3435</v>
      </c>
      <c r="F6670" s="79"/>
    </row>
    <row r="6671" spans="1:7">
      <c r="A6671" s="77">
        <f t="shared" ref="A6671:A6695" ca="1" si="606">IF(C6671&lt;&gt;0,IF(A6671=0,TODAY(),A6671),)</f>
        <v>46047</v>
      </c>
      <c r="B6671" s="80">
        <f t="shared" ref="B6671:B6702" ca="1" si="607">IF(C6671&lt;&gt;0,IF(B6671=0,NOW(),B6671),)</f>
        <v>46047.483664699073</v>
      </c>
      <c r="C6671" s="76" t="s">
        <v>890</v>
      </c>
      <c r="D6671" s="76" t="s">
        <v>902</v>
      </c>
      <c r="E6671" s="76" t="s">
        <v>3373</v>
      </c>
      <c r="F6671" s="79"/>
    </row>
    <row r="6672" spans="1:7">
      <c r="A6672" s="77">
        <f t="shared" ca="1" si="606"/>
        <v>46047</v>
      </c>
      <c r="B6672" s="80">
        <f t="shared" ca="1" si="607"/>
        <v>46047.485798958332</v>
      </c>
      <c r="C6672" s="76" t="s">
        <v>890</v>
      </c>
      <c r="D6672" s="76" t="s">
        <v>902</v>
      </c>
      <c r="E6672" s="76" t="s">
        <v>3373</v>
      </c>
      <c r="F6672" s="79"/>
    </row>
    <row r="6673" spans="1:7">
      <c r="A6673" s="77">
        <f t="shared" ca="1" si="606"/>
        <v>46047</v>
      </c>
      <c r="B6673" s="80">
        <f t="shared" ca="1" si="607"/>
        <v>46047.493115277779</v>
      </c>
      <c r="C6673" s="76" t="s">
        <v>890</v>
      </c>
      <c r="D6673" s="76" t="s">
        <v>902</v>
      </c>
      <c r="E6673" s="76" t="s">
        <v>3415</v>
      </c>
      <c r="F6673" s="79"/>
    </row>
    <row r="6674" spans="1:7">
      <c r="A6674" s="77">
        <f t="shared" ca="1" si="606"/>
        <v>46047</v>
      </c>
      <c r="B6674" s="80">
        <f t="shared" ca="1" si="607"/>
        <v>46047.494578935184</v>
      </c>
      <c r="C6674" s="76" t="s">
        <v>890</v>
      </c>
      <c r="D6674" s="76" t="s">
        <v>902</v>
      </c>
      <c r="E6674" s="76" t="s">
        <v>3415</v>
      </c>
      <c r="F6674" s="79"/>
    </row>
    <row r="6675" spans="1:7">
      <c r="A6675" s="77">
        <f t="shared" ca="1" si="606"/>
        <v>46047</v>
      </c>
      <c r="B6675" s="80">
        <f t="shared" ca="1" si="607"/>
        <v>46047.495831944441</v>
      </c>
      <c r="C6675" s="76" t="s">
        <v>890</v>
      </c>
      <c r="D6675" s="76" t="s">
        <v>902</v>
      </c>
      <c r="E6675" s="29" t="s">
        <v>3373</v>
      </c>
      <c r="F6675" s="79"/>
    </row>
    <row r="6676" spans="1:7">
      <c r="A6676" s="77">
        <f t="shared" ca="1" si="606"/>
        <v>46047</v>
      </c>
      <c r="B6676" s="80">
        <f t="shared" ca="1" si="607"/>
        <v>46047.49759201389</v>
      </c>
      <c r="C6676" s="76" t="s">
        <v>890</v>
      </c>
      <c r="D6676" s="76" t="s">
        <v>902</v>
      </c>
      <c r="E6676" s="209" t="s">
        <v>3436</v>
      </c>
      <c r="F6676" s="79"/>
    </row>
    <row r="6677" spans="1:7">
      <c r="A6677" s="77">
        <f t="shared" ca="1" si="606"/>
        <v>46047</v>
      </c>
      <c r="B6677" s="80">
        <f t="shared" ca="1" si="607"/>
        <v>46047.500543518516</v>
      </c>
      <c r="C6677" s="76" t="s">
        <v>890</v>
      </c>
      <c r="D6677" s="76" t="s">
        <v>902</v>
      </c>
      <c r="E6677" s="76" t="s">
        <v>3415</v>
      </c>
      <c r="F6677" s="79"/>
    </row>
    <row r="6678" spans="1:7">
      <c r="A6678" s="77">
        <f t="shared" ca="1" si="606"/>
        <v>46047</v>
      </c>
      <c r="B6678" s="80">
        <f t="shared" ca="1" si="607"/>
        <v>46047.500543518516</v>
      </c>
      <c r="C6678" s="76" t="s">
        <v>890</v>
      </c>
      <c r="D6678" s="76" t="s">
        <v>902</v>
      </c>
      <c r="E6678" s="29" t="s">
        <v>3373</v>
      </c>
      <c r="F6678" s="79"/>
    </row>
    <row r="6679" spans="1:7">
      <c r="A6679" s="77">
        <f t="shared" ca="1" si="606"/>
        <v>46047</v>
      </c>
      <c r="B6679" s="80">
        <f t="shared" ca="1" si="607"/>
        <v>46047.501262731479</v>
      </c>
      <c r="C6679" s="76" t="s">
        <v>890</v>
      </c>
      <c r="D6679" s="76" t="s">
        <v>902</v>
      </c>
      <c r="E6679" s="76" t="s">
        <v>3415</v>
      </c>
      <c r="F6679" s="79"/>
    </row>
    <row r="6680" spans="1:7">
      <c r="A6680" s="77">
        <f t="shared" ca="1" si="606"/>
        <v>46047</v>
      </c>
      <c r="B6680" s="80">
        <f t="shared" ca="1" si="607"/>
        <v>46047.503020138887</v>
      </c>
      <c r="C6680" s="76" t="s">
        <v>890</v>
      </c>
      <c r="D6680" s="76" t="s">
        <v>902</v>
      </c>
      <c r="E6680" s="76" t="s">
        <v>1471</v>
      </c>
      <c r="F6680" s="79"/>
      <c r="G6680" s="76" t="s">
        <v>1471</v>
      </c>
    </row>
    <row r="6681" spans="1:7">
      <c r="A6681" s="77">
        <f t="shared" ca="1" si="606"/>
        <v>46047</v>
      </c>
      <c r="B6681" s="80">
        <f t="shared" ca="1" si="607"/>
        <v>46047.503024652775</v>
      </c>
      <c r="C6681" s="76" t="s">
        <v>890</v>
      </c>
      <c r="D6681" s="76" t="s">
        <v>902</v>
      </c>
      <c r="E6681" s="76" t="s">
        <v>1471</v>
      </c>
      <c r="F6681" s="79"/>
    </row>
    <row r="6682" spans="1:7">
      <c r="A6682" s="77">
        <f t="shared" ca="1" si="606"/>
        <v>46047</v>
      </c>
      <c r="B6682" s="80">
        <f t="shared" ca="1" si="607"/>
        <v>46047.50705497685</v>
      </c>
      <c r="C6682" s="76" t="s">
        <v>890</v>
      </c>
      <c r="D6682" s="76" t="s">
        <v>902</v>
      </c>
      <c r="E6682" s="29" t="s">
        <v>3373</v>
      </c>
      <c r="F6682" s="79"/>
    </row>
    <row r="6683" spans="1:7">
      <c r="A6683" s="77">
        <f t="shared" ca="1" si="606"/>
        <v>46047</v>
      </c>
      <c r="B6683" s="80">
        <f t="shared" ca="1" si="607"/>
        <v>46047.53032395833</v>
      </c>
      <c r="C6683" s="76" t="s">
        <v>890</v>
      </c>
      <c r="D6683" s="76" t="s">
        <v>902</v>
      </c>
      <c r="E6683" s="76" t="s">
        <v>3415</v>
      </c>
      <c r="F6683" s="79"/>
    </row>
    <row r="6684" spans="1:7">
      <c r="A6684" s="77">
        <f t="shared" ca="1" si="606"/>
        <v>46047</v>
      </c>
      <c r="B6684" s="80">
        <f t="shared" ca="1" si="607"/>
        <v>46047.540375694443</v>
      </c>
      <c r="C6684" s="76" t="s">
        <v>890</v>
      </c>
      <c r="D6684" s="218" t="s">
        <v>922</v>
      </c>
      <c r="E6684" s="79"/>
      <c r="F6684" s="79"/>
    </row>
    <row r="6685" spans="1:7">
      <c r="A6685" s="77">
        <f t="shared" ca="1" si="606"/>
        <v>0</v>
      </c>
      <c r="B6685" s="80">
        <f t="shared" ca="1" si="607"/>
        <v>0</v>
      </c>
      <c r="E6685" s="79"/>
      <c r="F6685" s="79"/>
    </row>
    <row r="6686" spans="1:7">
      <c r="A6686" s="77">
        <f t="shared" ca="1" si="606"/>
        <v>0</v>
      </c>
      <c r="B6686" s="80">
        <f t="shared" ca="1" si="607"/>
        <v>0</v>
      </c>
      <c r="E6686" s="79"/>
      <c r="F6686" s="79"/>
    </row>
    <row r="6687" spans="1:7">
      <c r="A6687" s="77">
        <f t="shared" ca="1" si="606"/>
        <v>0</v>
      </c>
      <c r="B6687" s="80">
        <f t="shared" ca="1" si="607"/>
        <v>0</v>
      </c>
      <c r="E6687" s="79"/>
      <c r="F6687" s="79"/>
    </row>
    <row r="6688" spans="1:7">
      <c r="A6688" s="77">
        <f t="shared" ca="1" si="606"/>
        <v>0</v>
      </c>
      <c r="B6688" s="80">
        <f t="shared" ca="1" si="607"/>
        <v>0</v>
      </c>
      <c r="E6688" s="79"/>
      <c r="F6688" s="79"/>
    </row>
    <row r="6689" spans="1:6">
      <c r="A6689" s="77">
        <f t="shared" ca="1" si="606"/>
        <v>0</v>
      </c>
      <c r="B6689" s="80">
        <f t="shared" ca="1" si="607"/>
        <v>0</v>
      </c>
      <c r="E6689" s="79"/>
      <c r="F6689" s="79"/>
    </row>
    <row r="6690" spans="1:6">
      <c r="A6690" s="77">
        <f t="shared" ca="1" si="606"/>
        <v>0</v>
      </c>
      <c r="B6690" s="80">
        <f t="shared" ca="1" si="607"/>
        <v>0</v>
      </c>
      <c r="E6690" s="79"/>
      <c r="F6690" s="79"/>
    </row>
    <row r="6691" spans="1:6">
      <c r="A6691" s="77">
        <f t="shared" ca="1" si="606"/>
        <v>0</v>
      </c>
      <c r="B6691" s="80">
        <f t="shared" ca="1" si="607"/>
        <v>0</v>
      </c>
      <c r="E6691" s="79"/>
      <c r="F6691" s="79"/>
    </row>
    <row r="6692" spans="1:6">
      <c r="A6692" s="77">
        <f t="shared" ca="1" si="606"/>
        <v>0</v>
      </c>
      <c r="B6692" s="80">
        <f t="shared" ca="1" si="607"/>
        <v>0</v>
      </c>
      <c r="E6692" s="79"/>
      <c r="F6692" s="79"/>
    </row>
    <row r="6693" spans="1:6">
      <c r="A6693" s="77">
        <f t="shared" ca="1" si="606"/>
        <v>0</v>
      </c>
      <c r="B6693" s="80">
        <f t="shared" ca="1" si="607"/>
        <v>0</v>
      </c>
      <c r="E6693" s="79"/>
      <c r="F6693" s="79"/>
    </row>
    <row r="6694" spans="1:6">
      <c r="A6694" s="77">
        <f t="shared" ca="1" si="606"/>
        <v>0</v>
      </c>
      <c r="B6694" s="80">
        <f t="shared" ca="1" si="607"/>
        <v>0</v>
      </c>
      <c r="E6694" s="79"/>
      <c r="F6694" s="79"/>
    </row>
    <row r="6695" spans="1:6">
      <c r="A6695" s="77">
        <f t="shared" ca="1" si="606"/>
        <v>0</v>
      </c>
      <c r="B6695" s="80">
        <f t="shared" ca="1" si="607"/>
        <v>0</v>
      </c>
      <c r="E6695" s="79"/>
      <c r="F6695" s="79"/>
    </row>
    <row r="6696" spans="1:6">
      <c r="A6696" s="77">
        <f t="shared" ref="A6696:A6721" ca="1" si="608">IF(C6696&lt;&gt;0,IF(A6696=0,TODAY(),A6696),)</f>
        <v>0</v>
      </c>
      <c r="B6696" s="80">
        <f t="shared" ref="B6696:B6721" ca="1" si="609">IF(C6696&lt;&gt;0,IF(B6696=0,NOW(),B6696),)</f>
        <v>0</v>
      </c>
      <c r="E6696" s="79"/>
      <c r="F6696" s="79"/>
    </row>
    <row r="6697" spans="1:6">
      <c r="A6697" s="77">
        <f t="shared" ca="1" si="608"/>
        <v>0</v>
      </c>
      <c r="B6697" s="80">
        <f t="shared" ca="1" si="609"/>
        <v>0</v>
      </c>
      <c r="E6697" s="79"/>
      <c r="F6697" s="79"/>
    </row>
    <row r="6698" spans="1:6">
      <c r="A6698" s="77">
        <f t="shared" ca="1" si="608"/>
        <v>0</v>
      </c>
      <c r="B6698" s="80">
        <f t="shared" ca="1" si="609"/>
        <v>0</v>
      </c>
      <c r="E6698" s="79"/>
      <c r="F6698" s="79"/>
    </row>
    <row r="6699" spans="1:6">
      <c r="A6699" s="77">
        <f t="shared" ca="1" si="608"/>
        <v>0</v>
      </c>
      <c r="B6699" s="80">
        <f t="shared" ca="1" si="609"/>
        <v>0</v>
      </c>
      <c r="E6699" s="79"/>
      <c r="F6699" s="79"/>
    </row>
    <row r="6700" spans="1:6">
      <c r="A6700" s="77">
        <f t="shared" ca="1" si="608"/>
        <v>0</v>
      </c>
      <c r="B6700" s="80">
        <f t="shared" ca="1" si="609"/>
        <v>0</v>
      </c>
      <c r="E6700" s="79"/>
      <c r="F6700" s="79"/>
    </row>
    <row r="6701" spans="1:6">
      <c r="A6701" s="77">
        <f t="shared" ca="1" si="608"/>
        <v>0</v>
      </c>
      <c r="B6701" s="80">
        <f t="shared" ca="1" si="609"/>
        <v>0</v>
      </c>
      <c r="E6701" s="79"/>
      <c r="F6701" s="79"/>
    </row>
    <row r="6702" spans="1:6">
      <c r="A6702" s="77">
        <f t="shared" ca="1" si="608"/>
        <v>0</v>
      </c>
      <c r="B6702" s="80">
        <f t="shared" ca="1" si="609"/>
        <v>0</v>
      </c>
      <c r="E6702" s="79"/>
      <c r="F6702" s="79"/>
    </row>
    <row r="6703" spans="1:6">
      <c r="A6703" s="77">
        <f t="shared" ca="1" si="608"/>
        <v>0</v>
      </c>
      <c r="B6703" s="80">
        <f t="shared" ca="1" si="609"/>
        <v>0</v>
      </c>
      <c r="E6703" s="79"/>
      <c r="F6703" s="79"/>
    </row>
    <row r="6704" spans="1:6">
      <c r="A6704" s="77">
        <f t="shared" ca="1" si="608"/>
        <v>0</v>
      </c>
      <c r="B6704" s="80">
        <f t="shared" ca="1" si="609"/>
        <v>0</v>
      </c>
      <c r="E6704" s="79"/>
      <c r="F6704" s="79"/>
    </row>
    <row r="6705" spans="1:6">
      <c r="A6705" s="77">
        <f t="shared" ca="1" si="608"/>
        <v>0</v>
      </c>
      <c r="B6705" s="80">
        <f t="shared" ca="1" si="609"/>
        <v>0</v>
      </c>
      <c r="E6705" s="79"/>
      <c r="F6705" s="79"/>
    </row>
    <row r="6706" spans="1:6">
      <c r="A6706" s="77">
        <f t="shared" ca="1" si="608"/>
        <v>0</v>
      </c>
      <c r="B6706" s="80">
        <f t="shared" ca="1" si="609"/>
        <v>0</v>
      </c>
      <c r="E6706" s="79"/>
      <c r="F6706" s="79"/>
    </row>
    <row r="6707" spans="1:6">
      <c r="A6707" s="77">
        <f t="shared" ca="1" si="608"/>
        <v>0</v>
      </c>
      <c r="B6707" s="80">
        <f t="shared" ca="1" si="609"/>
        <v>0</v>
      </c>
      <c r="E6707" s="79"/>
      <c r="F6707" s="79"/>
    </row>
    <row r="6708" spans="1:6">
      <c r="A6708" s="77">
        <f t="shared" ca="1" si="608"/>
        <v>0</v>
      </c>
      <c r="B6708" s="80">
        <f t="shared" ca="1" si="609"/>
        <v>0</v>
      </c>
      <c r="E6708" s="79"/>
      <c r="F6708" s="79"/>
    </row>
    <row r="6709" spans="1:6">
      <c r="A6709" s="77">
        <f t="shared" ca="1" si="608"/>
        <v>0</v>
      </c>
      <c r="B6709" s="80">
        <f t="shared" ca="1" si="609"/>
        <v>0</v>
      </c>
      <c r="E6709" s="79"/>
      <c r="F6709" s="79"/>
    </row>
    <row r="6710" spans="1:6">
      <c r="A6710" s="77">
        <f t="shared" ca="1" si="608"/>
        <v>0</v>
      </c>
      <c r="B6710" s="80">
        <f t="shared" ca="1" si="609"/>
        <v>0</v>
      </c>
      <c r="E6710" s="79"/>
      <c r="F6710" s="79"/>
    </row>
    <row r="6711" spans="1:6">
      <c r="A6711" s="77">
        <f t="shared" ca="1" si="608"/>
        <v>0</v>
      </c>
      <c r="B6711" s="80">
        <f t="shared" ca="1" si="609"/>
        <v>0</v>
      </c>
      <c r="E6711" s="79"/>
      <c r="F6711" s="79"/>
    </row>
    <row r="6712" spans="1:6">
      <c r="A6712" s="77">
        <f t="shared" ca="1" si="608"/>
        <v>0</v>
      </c>
      <c r="B6712" s="80">
        <f t="shared" ca="1" si="609"/>
        <v>0</v>
      </c>
      <c r="E6712" s="79"/>
      <c r="F6712" s="79"/>
    </row>
    <row r="6713" spans="1:6">
      <c r="A6713" s="77">
        <f t="shared" ca="1" si="608"/>
        <v>0</v>
      </c>
      <c r="B6713" s="80">
        <f t="shared" ca="1" si="609"/>
        <v>0</v>
      </c>
      <c r="E6713" s="79"/>
      <c r="F6713" s="79"/>
    </row>
    <row r="6714" spans="1:6">
      <c r="A6714" s="77">
        <f t="shared" ca="1" si="608"/>
        <v>0</v>
      </c>
      <c r="B6714" s="80">
        <f t="shared" ca="1" si="609"/>
        <v>0</v>
      </c>
      <c r="E6714" s="79"/>
      <c r="F6714" s="79"/>
    </row>
    <row r="6715" spans="1:6">
      <c r="A6715" s="77">
        <f t="shared" ca="1" si="608"/>
        <v>0</v>
      </c>
      <c r="B6715" s="80">
        <f t="shared" ca="1" si="609"/>
        <v>0</v>
      </c>
      <c r="E6715" s="79"/>
      <c r="F6715" s="79"/>
    </row>
    <row r="6716" spans="1:6">
      <c r="A6716" s="77">
        <f t="shared" ca="1" si="608"/>
        <v>0</v>
      </c>
      <c r="B6716" s="80">
        <f t="shared" ca="1" si="609"/>
        <v>0</v>
      </c>
      <c r="E6716" s="79"/>
      <c r="F6716" s="79"/>
    </row>
    <row r="6717" spans="1:6">
      <c r="A6717" s="77">
        <f t="shared" ca="1" si="608"/>
        <v>0</v>
      </c>
      <c r="B6717" s="80">
        <f t="shared" ca="1" si="609"/>
        <v>0</v>
      </c>
      <c r="E6717" s="79"/>
      <c r="F6717" s="79"/>
    </row>
    <row r="6718" spans="1:6">
      <c r="A6718" s="77">
        <f t="shared" ca="1" si="608"/>
        <v>0</v>
      </c>
      <c r="B6718" s="80">
        <f t="shared" ca="1" si="609"/>
        <v>0</v>
      </c>
      <c r="E6718" s="79"/>
      <c r="F6718" s="79"/>
    </row>
    <row r="6719" spans="1:6">
      <c r="A6719" s="77">
        <f t="shared" ca="1" si="608"/>
        <v>0</v>
      </c>
      <c r="B6719" s="80">
        <f t="shared" ca="1" si="609"/>
        <v>0</v>
      </c>
      <c r="E6719" s="79"/>
      <c r="F6719" s="79"/>
    </row>
    <row r="6720" spans="1:6">
      <c r="A6720" s="77">
        <f t="shared" ca="1" si="608"/>
        <v>0</v>
      </c>
      <c r="B6720" s="80">
        <f t="shared" ca="1" si="609"/>
        <v>0</v>
      </c>
      <c r="E6720" s="79"/>
      <c r="F6720" s="79"/>
    </row>
    <row r="6721" spans="1:6">
      <c r="A6721" s="77">
        <f t="shared" ca="1" si="608"/>
        <v>0</v>
      </c>
      <c r="B6721" s="80">
        <f t="shared" ca="1" si="609"/>
        <v>0</v>
      </c>
      <c r="E6721" s="79"/>
      <c r="F6721" s="79"/>
    </row>
    <row r="6722" spans="1:6">
      <c r="E6722" s="79"/>
      <c r="F6722" s="79"/>
    </row>
  </sheetData>
  <phoneticPr fontId="16" type="noConversion"/>
  <pageMargins left="0.7" right="0.7" top="0.75" bottom="0.75" header="0.3" footer="0.3"/>
  <pageSetup paperSize="9" orientation="portrait" r:id="rId1"/>
  <ignoredErrors>
    <ignoredError sqref="A72:A108 A49:A71 A2:A48 B108 B288 B6409" calculatedColumn="1"/>
    <ignoredError sqref="C4469 F4469:G4469" evalError="1"/>
  </ignoredErrors>
  <tableParts count="1">
    <tablePart r:id="rId2"/>
  </tableParts>
  <extLst>
    <ext xmlns:x14="http://schemas.microsoft.com/office/spreadsheetml/2009/9/main" uri="{CCE6A557-97BC-4b89-ADB6-D9C93CAAB3DF}">
      <x14:dataValidations xmlns:xm="http://schemas.microsoft.com/office/excel/2006/main" count="5">
        <x14:dataValidation type="list" showInputMessage="1" xr:uid="{6CCD274A-E51F-4831-93EF-AAF2DA2DAAC8}">
          <x14:formula1>
            <xm:f>Liste!$J$2:$J$29</xm:f>
          </x14:formula1>
          <xm:sqref>F1:F233 F235:F675 G823 F677:F822 G918 F824:F917 F6378:F6380 G1250 F944:F1249 F6382:F6390 F1251:F2697 F2711:F3325 F3327:F3764 F3766:F4672 F919:F942 F4674:F5504 F5506:F6130 F6132:F6376 F6392:F6417 F6419:F6587 F6589:F1048576</xm:sqref>
        </x14:dataValidation>
        <x14:dataValidation type="list" allowBlank="1" showInputMessage="1" showErrorMessage="1" xr:uid="{14FD53DB-1899-4092-A743-41C0BD30D118}">
          <x14:formula1>
            <xm:f>Liste!$E$2:$E$10</xm:f>
          </x14:formula1>
          <xm:sqref>C870:C911</xm:sqref>
        </x14:dataValidation>
        <x14:dataValidation type="list" showInputMessage="1" xr:uid="{9FF1DB0D-67E6-48DC-B0CB-F176AB5B9C35}">
          <x14:formula1>
            <xm:f>Liste!$G$2:$G$124</xm:f>
          </x14:formula1>
          <xm:sqref>F5505 G4546 F3326 G4809 F676 G4590 F854 G4977 G1846 G1848:G1849 F234 G4601 G2192:G2193 C5467 G4652 G2186 G2188:G2190 F4913 G4950 G2157 G4706 G1557 G1555 G1553 G1559 G4471 G4795 F943 G4529</xm:sqref>
        </x14:dataValidation>
        <x14:dataValidation type="list" showInputMessage="1" showErrorMessage="1" xr:uid="{02C0522B-7062-41DE-9E4A-3F77117D95BC}">
          <x14:formula1>
            <xm:f>Liste!$G:$G</xm:f>
          </x14:formula1>
          <xm:sqref>E1:E6437 E6439:E6441 E6445 E6447 E6449 E6452:E6456 E6459:E6469 G6474 E6471:E6474 E6476:E6477 E6481:E6483 E6487 E6490 E6492:E6505 E6507:E6508 E6510:E6516 E6518:E6523 E6525:E6527 E6529:E6533 E6535:E6544 E6550 E6552 E6555 E6558 E6560:E6561 E6563 E6574:E6578 E6580:E6585 E6587 E6596:E6597 E6599 E6601 E6612:E6613 E6620:E6623 E6629 E6655:E6665 E6684:E1048576</xm:sqref>
        </x14:dataValidation>
        <x14:dataValidation type="list" allowBlank="1" showInputMessage="1" showErrorMessage="1" xr:uid="{91CC5461-EEAA-4061-A638-4910138569E9}">
          <x14:formula1>
            <xm:f>Liste!$E$2:$E$11</xm:f>
          </x14:formula1>
          <xm:sqref>E578 D1364:E1365 D1:D1363 D1366:D1048576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624D-77E7-43C0-8140-A64ACBD6EF3B}">
  <sheetPr>
    <tabColor rgb="FFFF7979"/>
  </sheetPr>
  <dimension ref="A1:JM1083"/>
  <sheetViews>
    <sheetView zoomScaleNormal="100" workbookViewId="0">
      <pane ySplit="1" topLeftCell="A517" activePane="bottomLeft" state="frozen"/>
      <selection pane="bottomLeft" activeCell="D553" sqref="D553"/>
      <selection activeCell="E148" sqref="E148"/>
    </sheetView>
  </sheetViews>
  <sheetFormatPr defaultColWidth="8.88671875" defaultRowHeight="15"/>
  <cols>
    <col min="1" max="1" width="14.88671875" style="105" bestFit="1" customWidth="1"/>
    <col min="2" max="2" width="30.109375" style="105" bestFit="1" customWidth="1"/>
    <col min="3" max="3" width="8.88671875" style="112" bestFit="1" customWidth="1"/>
    <col min="4" max="4" width="9.77734375" style="105" bestFit="1" customWidth="1"/>
    <col min="5" max="5" width="6.88671875" style="106" bestFit="1" customWidth="1"/>
    <col min="6" max="6" width="10.44140625" style="108" bestFit="1" customWidth="1"/>
    <col min="7" max="8" width="7.21875" style="192" bestFit="1" customWidth="1"/>
    <col min="9" max="9" width="27.44140625" style="105" bestFit="1" customWidth="1"/>
    <col min="10" max="10" width="15.44140625" style="105" bestFit="1" customWidth="1"/>
    <col min="11" max="11" width="9.44140625" style="105" bestFit="1" customWidth="1"/>
    <col min="12" max="12" width="67.77734375" style="105" bestFit="1" customWidth="1"/>
    <col min="13" max="13" width="70" style="74" bestFit="1" customWidth="1"/>
    <col min="14" max="14" width="28.88671875" style="107" bestFit="1" customWidth="1"/>
    <col min="15" max="15" width="4.109375" style="104" bestFit="1" customWidth="1"/>
    <col min="16" max="16" width="105" style="104" bestFit="1" customWidth="1"/>
    <col min="17" max="17" width="198.88671875" style="104" bestFit="1" customWidth="1"/>
    <col min="18" max="272" width="8.88671875" style="104"/>
    <col min="273" max="273" width="1.6640625" style="104" bestFit="1" customWidth="1"/>
    <col min="274" max="16384" width="8.88671875" style="104"/>
  </cols>
  <sheetData>
    <row r="1" spans="1:16" ht="15.75">
      <c r="A1" s="193" t="s">
        <v>0</v>
      </c>
      <c r="B1" s="193" t="s">
        <v>1</v>
      </c>
      <c r="C1" s="16" t="s">
        <v>2</v>
      </c>
      <c r="D1" s="17" t="s">
        <v>3437</v>
      </c>
      <c r="E1" s="178" t="s">
        <v>3438</v>
      </c>
      <c r="F1" s="194" t="s">
        <v>3439</v>
      </c>
      <c r="G1" s="195" t="s">
        <v>3440</v>
      </c>
      <c r="H1" s="195" t="s">
        <v>3441</v>
      </c>
      <c r="I1" s="17" t="s">
        <v>3442</v>
      </c>
      <c r="J1" s="17" t="s">
        <v>3443</v>
      </c>
      <c r="K1" s="17" t="s">
        <v>3444</v>
      </c>
      <c r="L1" s="17" t="s">
        <v>3445</v>
      </c>
      <c r="M1" s="18" t="s">
        <v>14</v>
      </c>
      <c r="N1" s="18" t="s">
        <v>3446</v>
      </c>
      <c r="O1" s="33" t="s">
        <v>3447</v>
      </c>
      <c r="P1" s="175" t="s">
        <v>3448</v>
      </c>
    </row>
    <row r="2" spans="1:16">
      <c r="A2" s="1" t="s">
        <v>16</v>
      </c>
      <c r="B2" s="1" t="s">
        <v>17</v>
      </c>
      <c r="C2" s="20">
        <v>45966</v>
      </c>
      <c r="D2" s="105" t="s">
        <v>37</v>
      </c>
      <c r="E2" s="106">
        <v>45966.337401273151</v>
      </c>
      <c r="F2" s="108">
        <v>538</v>
      </c>
      <c r="G2" s="192">
        <v>36.714961000000002</v>
      </c>
      <c r="H2" s="192">
        <v>12.086144000000001</v>
      </c>
      <c r="I2" s="105" t="s">
        <v>3449</v>
      </c>
      <c r="J2" s="183" t="s">
        <v>1007</v>
      </c>
      <c r="K2" s="105" t="s">
        <v>3450</v>
      </c>
      <c r="L2" s="105" t="s">
        <v>1464</v>
      </c>
      <c r="M2" s="217" t="s">
        <v>3451</v>
      </c>
    </row>
    <row r="3" spans="1:16">
      <c r="A3" s="1" t="s">
        <v>16</v>
      </c>
      <c r="B3" s="1" t="s">
        <v>17</v>
      </c>
      <c r="C3" s="20">
        <v>45966</v>
      </c>
      <c r="D3" s="105" t="s">
        <v>37</v>
      </c>
      <c r="E3" s="106">
        <v>45966.337401273151</v>
      </c>
      <c r="F3" s="108">
        <v>538</v>
      </c>
      <c r="G3" s="192">
        <v>36.714961000000002</v>
      </c>
      <c r="H3" s="192">
        <v>12.086144000000001</v>
      </c>
      <c r="I3" s="105" t="s">
        <v>3452</v>
      </c>
      <c r="J3" s="183" t="s">
        <v>1007</v>
      </c>
      <c r="K3" s="105" t="s">
        <v>3450</v>
      </c>
      <c r="L3" s="105" t="s">
        <v>1464</v>
      </c>
      <c r="M3" s="217"/>
    </row>
    <row r="4" spans="1:16">
      <c r="A4" s="1" t="s">
        <v>16</v>
      </c>
      <c r="B4" s="1" t="s">
        <v>17</v>
      </c>
      <c r="C4" s="20">
        <v>45966</v>
      </c>
      <c r="D4" s="105" t="s">
        <v>37</v>
      </c>
      <c r="E4" s="106">
        <v>45966.337401273151</v>
      </c>
      <c r="F4" s="108">
        <v>538</v>
      </c>
      <c r="G4" s="192">
        <v>36.714961000000002</v>
      </c>
      <c r="H4" s="192">
        <v>12.086144000000001</v>
      </c>
      <c r="I4" s="105" t="s">
        <v>3453</v>
      </c>
      <c r="J4" s="183" t="s">
        <v>1007</v>
      </c>
      <c r="K4" s="105" t="s">
        <v>3450</v>
      </c>
      <c r="L4" s="105" t="s">
        <v>1464</v>
      </c>
      <c r="M4" s="217"/>
    </row>
    <row r="5" spans="1:16">
      <c r="A5" s="1" t="s">
        <v>16</v>
      </c>
      <c r="B5" s="1" t="s">
        <v>17</v>
      </c>
      <c r="C5" s="20">
        <v>45966</v>
      </c>
      <c r="D5" s="105" t="s">
        <v>37</v>
      </c>
      <c r="E5" s="106">
        <v>45966.337401273151</v>
      </c>
      <c r="F5" s="108">
        <v>538</v>
      </c>
      <c r="G5" s="192">
        <v>36.714961000000002</v>
      </c>
      <c r="H5" s="192">
        <v>12.086144000000001</v>
      </c>
      <c r="I5" s="105" t="s">
        <v>3454</v>
      </c>
      <c r="J5" s="183" t="s">
        <v>1007</v>
      </c>
      <c r="K5" s="105" t="s">
        <v>3455</v>
      </c>
      <c r="L5" s="105" t="s">
        <v>1464</v>
      </c>
      <c r="M5" s="217"/>
    </row>
    <row r="6" spans="1:16">
      <c r="A6" s="1" t="s">
        <v>16</v>
      </c>
      <c r="B6" s="1" t="s">
        <v>17</v>
      </c>
      <c r="C6" s="20">
        <v>45966</v>
      </c>
      <c r="D6" s="105" t="s">
        <v>59</v>
      </c>
      <c r="E6" s="106">
        <v>45966.715900000003</v>
      </c>
      <c r="F6" s="108">
        <v>524</v>
      </c>
      <c r="G6" s="192">
        <v>36.703186000000002</v>
      </c>
      <c r="H6" s="192">
        <v>12.066761</v>
      </c>
      <c r="I6" s="105" t="s">
        <v>3456</v>
      </c>
      <c r="J6" s="183" t="s">
        <v>1007</v>
      </c>
      <c r="K6" s="105" t="s">
        <v>3450</v>
      </c>
      <c r="L6" s="105" t="s">
        <v>1169</v>
      </c>
      <c r="M6" s="217" t="s">
        <v>3457</v>
      </c>
    </row>
    <row r="7" spans="1:16">
      <c r="A7" s="1" t="s">
        <v>16</v>
      </c>
      <c r="B7" s="1" t="s">
        <v>17</v>
      </c>
      <c r="C7" s="20">
        <v>45966</v>
      </c>
      <c r="D7" s="105" t="s">
        <v>59</v>
      </c>
      <c r="E7" s="106">
        <v>45966.715900000003</v>
      </c>
      <c r="F7" s="108">
        <v>524</v>
      </c>
      <c r="G7" s="192">
        <v>36.703186000000002</v>
      </c>
      <c r="H7" s="192">
        <v>12.066761</v>
      </c>
      <c r="I7" s="105" t="s">
        <v>3458</v>
      </c>
      <c r="J7" s="183" t="s">
        <v>1007</v>
      </c>
      <c r="K7" s="105" t="s">
        <v>3450</v>
      </c>
      <c r="L7" s="105" t="s">
        <v>1169</v>
      </c>
      <c r="M7" s="217"/>
    </row>
    <row r="8" spans="1:16">
      <c r="A8" s="1" t="s">
        <v>16</v>
      </c>
      <c r="B8" s="1" t="s">
        <v>17</v>
      </c>
      <c r="C8" s="20">
        <v>45966</v>
      </c>
      <c r="D8" s="105" t="s">
        <v>59</v>
      </c>
      <c r="E8" s="106">
        <v>45966.715900000003</v>
      </c>
      <c r="F8" s="108">
        <v>524</v>
      </c>
      <c r="G8" s="192">
        <v>36.703186000000002</v>
      </c>
      <c r="H8" s="192">
        <v>12.066761</v>
      </c>
      <c r="I8" s="105" t="s">
        <v>3459</v>
      </c>
      <c r="J8" s="183" t="s">
        <v>1007</v>
      </c>
      <c r="K8" s="105" t="s">
        <v>3450</v>
      </c>
      <c r="L8" s="105" t="s">
        <v>1169</v>
      </c>
      <c r="M8" s="217"/>
    </row>
    <row r="9" spans="1:16">
      <c r="A9" s="1" t="s">
        <v>16</v>
      </c>
      <c r="B9" s="1" t="s">
        <v>17</v>
      </c>
      <c r="C9" s="20">
        <v>45966</v>
      </c>
      <c r="D9" s="105" t="s">
        <v>59</v>
      </c>
      <c r="E9" s="106">
        <v>45966.715900000003</v>
      </c>
      <c r="F9" s="108">
        <v>524</v>
      </c>
      <c r="G9" s="192">
        <v>36.703186000000002</v>
      </c>
      <c r="H9" s="192">
        <v>12.066761</v>
      </c>
      <c r="I9" s="105" t="s">
        <v>3460</v>
      </c>
      <c r="J9" s="183" t="s">
        <v>1007</v>
      </c>
      <c r="K9" s="105" t="s">
        <v>3450</v>
      </c>
      <c r="L9" s="105" t="s">
        <v>3461</v>
      </c>
      <c r="M9" s="74" t="s">
        <v>3462</v>
      </c>
    </row>
    <row r="10" spans="1:16">
      <c r="A10" s="1" t="s">
        <v>16</v>
      </c>
      <c r="B10" s="1" t="s">
        <v>17</v>
      </c>
      <c r="C10" s="20">
        <v>45967</v>
      </c>
      <c r="D10" s="105" t="s">
        <v>68</v>
      </c>
      <c r="E10" s="106">
        <f ca="1">IF(F10&lt;&gt;0,IF(E10=0,NOW(),E10),)</f>
        <v>45967.717422800924</v>
      </c>
      <c r="F10" s="108">
        <v>1019</v>
      </c>
      <c r="G10" s="192">
        <v>36.710934999999999</v>
      </c>
      <c r="H10" s="192">
        <v>12.113013</v>
      </c>
      <c r="I10" s="105" t="s">
        <v>3463</v>
      </c>
      <c r="J10" s="183" t="s">
        <v>1070</v>
      </c>
      <c r="M10" s="74" t="s">
        <v>3464</v>
      </c>
      <c r="N10" s="107" t="s">
        <v>3465</v>
      </c>
    </row>
    <row r="11" spans="1:16">
      <c r="A11" s="1" t="s">
        <v>16</v>
      </c>
      <c r="B11" s="1" t="s">
        <v>77</v>
      </c>
      <c r="C11" s="20">
        <v>45967</v>
      </c>
      <c r="D11" s="105" t="s">
        <v>78</v>
      </c>
      <c r="E11" s="106">
        <v>45966.781875000001</v>
      </c>
      <c r="F11" s="108">
        <v>310</v>
      </c>
      <c r="G11" s="192">
        <v>36.606022000000003</v>
      </c>
      <c r="H11" s="192">
        <v>11.807453000000001</v>
      </c>
      <c r="I11" s="105" t="s">
        <v>3466</v>
      </c>
      <c r="J11" s="183" t="s">
        <v>1007</v>
      </c>
      <c r="K11" s="105" t="s">
        <v>3450</v>
      </c>
      <c r="L11" s="105" t="s">
        <v>3467</v>
      </c>
      <c r="M11" s="74" t="s">
        <v>3468</v>
      </c>
    </row>
    <row r="12" spans="1:16">
      <c r="A12" s="1" t="s">
        <v>16</v>
      </c>
      <c r="B12" s="1" t="s">
        <v>77</v>
      </c>
      <c r="C12" s="20">
        <v>45967</v>
      </c>
      <c r="D12" s="105" t="s">
        <v>78</v>
      </c>
      <c r="E12" s="106">
        <v>45966.781875000001</v>
      </c>
      <c r="F12" s="108">
        <v>310</v>
      </c>
      <c r="G12" s="192">
        <v>36.606022000000003</v>
      </c>
      <c r="H12" s="192">
        <v>11.807453000000001</v>
      </c>
      <c r="I12" s="107" t="s">
        <v>3469</v>
      </c>
      <c r="J12" s="183" t="s">
        <v>1007</v>
      </c>
      <c r="K12" s="105" t="s">
        <v>3450</v>
      </c>
      <c r="L12" s="105" t="s">
        <v>3467</v>
      </c>
      <c r="M12" s="74" t="s">
        <v>3468</v>
      </c>
    </row>
    <row r="13" spans="1:16">
      <c r="A13" s="1" t="s">
        <v>16</v>
      </c>
      <c r="B13" s="1" t="s">
        <v>77</v>
      </c>
      <c r="C13" s="20">
        <v>45967</v>
      </c>
      <c r="D13" s="105" t="s">
        <v>78</v>
      </c>
      <c r="E13" s="106">
        <v>45966.781875000001</v>
      </c>
      <c r="F13" s="108">
        <v>310</v>
      </c>
      <c r="G13" s="192">
        <v>36.606022000000003</v>
      </c>
      <c r="H13" s="192">
        <v>11.807453000000001</v>
      </c>
      <c r="I13" s="107" t="s">
        <v>3470</v>
      </c>
      <c r="J13" s="183" t="s">
        <v>1007</v>
      </c>
      <c r="K13" s="105" t="s">
        <v>3450</v>
      </c>
      <c r="L13" s="105" t="s">
        <v>3467</v>
      </c>
      <c r="M13" s="74" t="s">
        <v>3468</v>
      </c>
    </row>
    <row r="14" spans="1:16">
      <c r="A14" s="1" t="s">
        <v>16</v>
      </c>
      <c r="B14" s="1" t="s">
        <v>77</v>
      </c>
      <c r="C14" s="20">
        <v>45967</v>
      </c>
      <c r="D14" s="105" t="s">
        <v>78</v>
      </c>
      <c r="E14" s="106">
        <v>45966.781875000001</v>
      </c>
      <c r="F14" s="108">
        <v>310</v>
      </c>
      <c r="G14" s="192">
        <v>36.606022000000003</v>
      </c>
      <c r="H14" s="192">
        <v>11.807453000000001</v>
      </c>
      <c r="I14" s="33" t="s">
        <v>3471</v>
      </c>
      <c r="J14" s="183" t="s">
        <v>1007</v>
      </c>
      <c r="K14" s="107" t="s">
        <v>3472</v>
      </c>
      <c r="L14" s="105" t="s">
        <v>3467</v>
      </c>
      <c r="M14" s="74" t="s">
        <v>3468</v>
      </c>
    </row>
    <row r="15" spans="1:16">
      <c r="A15" s="1" t="s">
        <v>16</v>
      </c>
      <c r="B15" s="1" t="s">
        <v>77</v>
      </c>
      <c r="C15" s="20">
        <v>45967</v>
      </c>
      <c r="D15" s="105" t="s">
        <v>78</v>
      </c>
      <c r="E15" s="106">
        <v>45966.781875000001</v>
      </c>
      <c r="F15" s="108">
        <v>310</v>
      </c>
      <c r="G15" s="192">
        <v>36.606022000000003</v>
      </c>
      <c r="H15" s="192">
        <v>11.807453000000001</v>
      </c>
      <c r="I15" s="107" t="s">
        <v>3473</v>
      </c>
      <c r="J15" s="183" t="s">
        <v>1007</v>
      </c>
      <c r="K15" s="105" t="s">
        <v>3450</v>
      </c>
      <c r="L15" s="107" t="s">
        <v>3474</v>
      </c>
      <c r="M15" s="74" t="s">
        <v>3468</v>
      </c>
    </row>
    <row r="16" spans="1:16">
      <c r="A16" s="1" t="s">
        <v>16</v>
      </c>
      <c r="B16" s="1" t="s">
        <v>77</v>
      </c>
      <c r="C16" s="20">
        <v>45967</v>
      </c>
      <c r="D16" s="105" t="s">
        <v>78</v>
      </c>
      <c r="E16" s="106">
        <v>45966.781875000001</v>
      </c>
      <c r="F16" s="108">
        <v>310</v>
      </c>
      <c r="G16" s="192">
        <v>36.606022000000003</v>
      </c>
      <c r="H16" s="192">
        <v>11.807453000000001</v>
      </c>
      <c r="I16" s="107" t="s">
        <v>3475</v>
      </c>
      <c r="J16" s="183" t="s">
        <v>1007</v>
      </c>
      <c r="K16" s="105" t="s">
        <v>3450</v>
      </c>
      <c r="L16" s="107" t="s">
        <v>3474</v>
      </c>
      <c r="M16" s="74" t="s">
        <v>3468</v>
      </c>
    </row>
    <row r="17" spans="1:14">
      <c r="A17" s="1" t="s">
        <v>16</v>
      </c>
      <c r="B17" s="1" t="s">
        <v>77</v>
      </c>
      <c r="C17" s="20">
        <v>45967</v>
      </c>
      <c r="D17" s="105" t="s">
        <v>78</v>
      </c>
      <c r="E17" s="106">
        <v>45966.781875000001</v>
      </c>
      <c r="F17" s="108">
        <v>310</v>
      </c>
      <c r="G17" s="192">
        <v>36.606022000000003</v>
      </c>
      <c r="H17" s="192">
        <v>11.807453000000001</v>
      </c>
      <c r="I17" s="107" t="s">
        <v>3476</v>
      </c>
      <c r="J17" s="183" t="s">
        <v>1007</v>
      </c>
      <c r="K17" s="105" t="s">
        <v>3450</v>
      </c>
      <c r="L17" s="107" t="s">
        <v>3474</v>
      </c>
      <c r="M17" s="74" t="s">
        <v>3468</v>
      </c>
    </row>
    <row r="18" spans="1:14">
      <c r="A18" s="1" t="s">
        <v>16</v>
      </c>
      <c r="B18" s="1" t="s">
        <v>77</v>
      </c>
      <c r="C18" s="20">
        <v>45967</v>
      </c>
      <c r="D18" s="105" t="s">
        <v>78</v>
      </c>
      <c r="E18" s="106">
        <v>45966.781875000001</v>
      </c>
      <c r="F18" s="108">
        <v>310</v>
      </c>
      <c r="G18" s="192">
        <v>36.606022000000003</v>
      </c>
      <c r="H18" s="192">
        <v>11.807453000000001</v>
      </c>
      <c r="I18" s="107" t="s">
        <v>3477</v>
      </c>
      <c r="J18" s="183" t="s">
        <v>1007</v>
      </c>
      <c r="K18" s="105" t="s">
        <v>3450</v>
      </c>
      <c r="L18" s="107" t="s">
        <v>3474</v>
      </c>
      <c r="M18" s="74" t="s">
        <v>3468</v>
      </c>
    </row>
    <row r="19" spans="1:14">
      <c r="A19" s="105" t="s">
        <v>16</v>
      </c>
      <c r="B19" s="105" t="s">
        <v>77</v>
      </c>
      <c r="C19" s="20">
        <v>45968</v>
      </c>
      <c r="D19" s="105" t="s">
        <v>91</v>
      </c>
      <c r="E19" s="106">
        <v>0.52628472222222222</v>
      </c>
      <c r="F19" s="108">
        <v>148</v>
      </c>
      <c r="G19" s="192">
        <v>36.645541000000001</v>
      </c>
      <c r="H19" s="192">
        <v>11.741688</v>
      </c>
      <c r="I19" s="105" t="s">
        <v>3478</v>
      </c>
      <c r="J19" s="105" t="s">
        <v>1007</v>
      </c>
      <c r="K19" s="105" t="s">
        <v>3450</v>
      </c>
      <c r="L19" s="105" t="s">
        <v>3479</v>
      </c>
    </row>
    <row r="20" spans="1:14">
      <c r="A20" s="105" t="s">
        <v>16</v>
      </c>
      <c r="B20" s="105" t="s">
        <v>77</v>
      </c>
      <c r="C20" s="20">
        <v>45968</v>
      </c>
      <c r="D20" s="105" t="s">
        <v>91</v>
      </c>
      <c r="E20" s="106">
        <v>0.52628472222222222</v>
      </c>
      <c r="F20" s="108">
        <v>148</v>
      </c>
      <c r="G20" s="192">
        <v>36.645541000000001</v>
      </c>
      <c r="H20" s="192">
        <v>11.741688</v>
      </c>
      <c r="I20" s="105" t="s">
        <v>3480</v>
      </c>
      <c r="J20" s="105" t="s">
        <v>1007</v>
      </c>
      <c r="K20" s="105" t="s">
        <v>3450</v>
      </c>
      <c r="L20" s="107" t="s">
        <v>3479</v>
      </c>
    </row>
    <row r="21" spans="1:14">
      <c r="A21" s="105" t="s">
        <v>16</v>
      </c>
      <c r="B21" s="105" t="s">
        <v>77</v>
      </c>
      <c r="C21" s="20">
        <v>45968</v>
      </c>
      <c r="D21" s="105" t="s">
        <v>91</v>
      </c>
      <c r="E21" s="106">
        <v>0.52628472222222222</v>
      </c>
      <c r="F21" s="108">
        <v>148</v>
      </c>
      <c r="G21" s="192">
        <v>36.645541000000001</v>
      </c>
      <c r="H21" s="192">
        <v>11.741688</v>
      </c>
      <c r="I21" s="105" t="s">
        <v>3481</v>
      </c>
      <c r="J21" s="105" t="s">
        <v>1007</v>
      </c>
      <c r="K21" s="105" t="s">
        <v>3450</v>
      </c>
      <c r="L21" s="107" t="s">
        <v>3479</v>
      </c>
    </row>
    <row r="22" spans="1:14">
      <c r="A22" s="105" t="s">
        <v>16</v>
      </c>
      <c r="B22" s="105" t="s">
        <v>77</v>
      </c>
      <c r="C22" s="20">
        <v>45968</v>
      </c>
      <c r="D22" s="105" t="s">
        <v>91</v>
      </c>
      <c r="E22" s="106">
        <v>0.52628472222222222</v>
      </c>
      <c r="F22" s="108">
        <v>148</v>
      </c>
      <c r="G22" s="192">
        <v>36.645541000000001</v>
      </c>
      <c r="H22" s="192">
        <v>11.741688</v>
      </c>
      <c r="I22" s="105" t="s">
        <v>3481</v>
      </c>
      <c r="J22" s="105" t="s">
        <v>1007</v>
      </c>
      <c r="K22" s="105" t="s">
        <v>3450</v>
      </c>
      <c r="L22" s="107" t="s">
        <v>3479</v>
      </c>
    </row>
    <row r="23" spans="1:14">
      <c r="A23" s="105" t="s">
        <v>16</v>
      </c>
      <c r="B23" s="105" t="s">
        <v>77</v>
      </c>
      <c r="C23" s="20">
        <v>45969</v>
      </c>
      <c r="D23" s="105" t="s">
        <v>103</v>
      </c>
      <c r="E23" s="106">
        <v>0.10155092592592592</v>
      </c>
      <c r="F23" s="108">
        <v>337</v>
      </c>
      <c r="G23" s="192">
        <v>36.705585999999997</v>
      </c>
      <c r="H23" s="192">
        <v>11.737912</v>
      </c>
      <c r="I23" s="105" t="s">
        <v>3482</v>
      </c>
      <c r="J23" s="105" t="s">
        <v>1059</v>
      </c>
      <c r="K23" s="107" t="s">
        <v>3483</v>
      </c>
      <c r="L23" s="107" t="s">
        <v>3484</v>
      </c>
      <c r="M23" s="74" t="s">
        <v>3485</v>
      </c>
    </row>
    <row r="24" spans="1:14">
      <c r="A24" s="105" t="s">
        <v>16</v>
      </c>
      <c r="B24" s="105" t="s">
        <v>77</v>
      </c>
      <c r="C24" s="20">
        <v>45969</v>
      </c>
      <c r="D24" s="105" t="s">
        <v>103</v>
      </c>
      <c r="E24" s="106">
        <v>0.10155092592592592</v>
      </c>
      <c r="F24" s="108">
        <v>337</v>
      </c>
      <c r="G24" s="192">
        <v>36.705585999999997</v>
      </c>
      <c r="H24" s="192">
        <v>11.737912</v>
      </c>
      <c r="I24" s="105" t="s">
        <v>3486</v>
      </c>
      <c r="J24" s="105" t="s">
        <v>1059</v>
      </c>
      <c r="K24" s="107" t="s">
        <v>3483</v>
      </c>
      <c r="L24" s="107" t="s">
        <v>3487</v>
      </c>
      <c r="M24" s="74" t="s">
        <v>3488</v>
      </c>
    </row>
    <row r="25" spans="1:14">
      <c r="A25" s="105" t="s">
        <v>16</v>
      </c>
      <c r="B25" s="105" t="s">
        <v>77</v>
      </c>
      <c r="C25" s="20">
        <v>45969</v>
      </c>
      <c r="D25" s="105" t="s">
        <v>103</v>
      </c>
      <c r="E25" s="106">
        <v>0.10155092592592592</v>
      </c>
      <c r="F25" s="108">
        <v>337</v>
      </c>
      <c r="G25" s="192">
        <v>36.705585999999997</v>
      </c>
      <c r="H25" s="192">
        <v>11.737912</v>
      </c>
      <c r="I25" s="105" t="s">
        <v>3489</v>
      </c>
      <c r="J25" s="105" t="s">
        <v>1059</v>
      </c>
      <c r="K25" s="107"/>
      <c r="L25" s="107" t="s">
        <v>3490</v>
      </c>
      <c r="M25" s="74" t="s">
        <v>3491</v>
      </c>
    </row>
    <row r="26" spans="1:14">
      <c r="A26" s="105" t="s">
        <v>16</v>
      </c>
      <c r="B26" s="105" t="s">
        <v>77</v>
      </c>
      <c r="C26" s="20">
        <v>45969</v>
      </c>
      <c r="D26" s="105" t="s">
        <v>107</v>
      </c>
      <c r="E26" s="106">
        <v>0.2092013888888889</v>
      </c>
      <c r="F26" s="108">
        <v>416</v>
      </c>
      <c r="G26" s="192">
        <v>36.703156</v>
      </c>
      <c r="H26" s="192">
        <v>11.726747</v>
      </c>
      <c r="I26" s="105" t="s">
        <v>3492</v>
      </c>
      <c r="J26" s="105" t="s">
        <v>1007</v>
      </c>
      <c r="K26" s="105" t="s">
        <v>3450</v>
      </c>
      <c r="L26" s="107" t="s">
        <v>1267</v>
      </c>
    </row>
    <row r="27" spans="1:14">
      <c r="A27" s="105" t="s">
        <v>16</v>
      </c>
      <c r="B27" s="105" t="s">
        <v>77</v>
      </c>
      <c r="C27" s="20">
        <v>45969</v>
      </c>
      <c r="D27" s="105" t="s">
        <v>107</v>
      </c>
      <c r="E27" s="106">
        <v>0.2092013888888889</v>
      </c>
      <c r="F27" s="108">
        <v>416</v>
      </c>
      <c r="G27" s="192">
        <v>36.703156</v>
      </c>
      <c r="H27" s="192">
        <v>11.726747</v>
      </c>
      <c r="I27" s="105" t="s">
        <v>3493</v>
      </c>
      <c r="J27" s="105" t="s">
        <v>1007</v>
      </c>
      <c r="K27" s="105" t="s">
        <v>3450</v>
      </c>
      <c r="L27" s="107" t="s">
        <v>1267</v>
      </c>
    </row>
    <row r="28" spans="1:14">
      <c r="A28" s="105" t="s">
        <v>16</v>
      </c>
      <c r="B28" s="105" t="s">
        <v>77</v>
      </c>
      <c r="C28" s="20">
        <v>45969</v>
      </c>
      <c r="D28" s="105" t="s">
        <v>107</v>
      </c>
      <c r="E28" s="106">
        <v>0.2092013888888889</v>
      </c>
      <c r="F28" s="108">
        <v>416</v>
      </c>
      <c r="G28" s="192">
        <v>36.703156</v>
      </c>
      <c r="H28" s="192">
        <v>11.726747</v>
      </c>
      <c r="I28" s="105" t="s">
        <v>3494</v>
      </c>
      <c r="J28" s="105" t="s">
        <v>1007</v>
      </c>
      <c r="K28" s="105" t="s">
        <v>3450</v>
      </c>
      <c r="L28" s="107" t="s">
        <v>1267</v>
      </c>
    </row>
    <row r="29" spans="1:14">
      <c r="A29" s="105" t="s">
        <v>16</v>
      </c>
      <c r="B29" s="105" t="s">
        <v>77</v>
      </c>
      <c r="C29" s="20">
        <v>45969</v>
      </c>
      <c r="D29" s="105" t="s">
        <v>107</v>
      </c>
      <c r="E29" s="106">
        <v>0.22795138888888888</v>
      </c>
      <c r="F29" s="108">
        <v>415</v>
      </c>
      <c r="G29" s="192">
        <v>36.701937999999998</v>
      </c>
      <c r="H29" s="192">
        <v>11.727354999999999</v>
      </c>
      <c r="I29" s="105" t="s">
        <v>3495</v>
      </c>
      <c r="J29" s="105" t="s">
        <v>1007</v>
      </c>
      <c r="K29" s="105" t="s">
        <v>3450</v>
      </c>
      <c r="L29" s="107" t="s">
        <v>1269</v>
      </c>
    </row>
    <row r="30" spans="1:14">
      <c r="A30" s="105" t="s">
        <v>16</v>
      </c>
      <c r="B30" s="105" t="s">
        <v>77</v>
      </c>
      <c r="C30" s="20">
        <v>45969</v>
      </c>
      <c r="D30" s="105" t="s">
        <v>107</v>
      </c>
      <c r="E30" s="106">
        <v>0.22795138888888888</v>
      </c>
      <c r="F30" s="108">
        <v>415</v>
      </c>
      <c r="G30" s="192">
        <v>36.701937999999998</v>
      </c>
      <c r="H30" s="192">
        <v>11.727354999999999</v>
      </c>
      <c r="I30" s="105" t="s">
        <v>3496</v>
      </c>
      <c r="J30" s="105" t="s">
        <v>1007</v>
      </c>
      <c r="K30" s="105" t="s">
        <v>3450</v>
      </c>
      <c r="L30" s="107" t="s">
        <v>1269</v>
      </c>
    </row>
    <row r="31" spans="1:14">
      <c r="A31" s="107" t="s">
        <v>16</v>
      </c>
      <c r="B31" s="107" t="s">
        <v>77</v>
      </c>
      <c r="C31" s="20">
        <v>45969</v>
      </c>
      <c r="D31" s="105" t="s">
        <v>107</v>
      </c>
      <c r="E31" s="106">
        <v>0.22795138888888888</v>
      </c>
      <c r="F31" s="108">
        <v>415</v>
      </c>
      <c r="G31" s="192">
        <v>36.701937999999998</v>
      </c>
      <c r="H31" s="192">
        <v>11.727354999999999</v>
      </c>
      <c r="I31" s="107" t="s">
        <v>3497</v>
      </c>
      <c r="J31" s="107" t="s">
        <v>1007</v>
      </c>
      <c r="K31" s="105" t="s">
        <v>3450</v>
      </c>
      <c r="L31" s="107" t="s">
        <v>1269</v>
      </c>
    </row>
    <row r="32" spans="1:14">
      <c r="A32" s="109" t="s">
        <v>16</v>
      </c>
      <c r="B32" s="107" t="s">
        <v>77</v>
      </c>
      <c r="C32" s="20">
        <v>45969</v>
      </c>
      <c r="D32" s="109" t="s">
        <v>3498</v>
      </c>
      <c r="E32" s="109" t="s">
        <v>329</v>
      </c>
      <c r="F32" s="109" t="s">
        <v>329</v>
      </c>
      <c r="G32" s="179"/>
      <c r="H32" s="179"/>
      <c r="I32" s="107" t="s">
        <v>3499</v>
      </c>
      <c r="J32" s="109" t="s">
        <v>1007</v>
      </c>
      <c r="K32" s="105" t="s">
        <v>3450</v>
      </c>
      <c r="L32" s="109" t="s">
        <v>3500</v>
      </c>
      <c r="M32" s="196" t="s">
        <v>3501</v>
      </c>
      <c r="N32" s="109"/>
    </row>
    <row r="33" spans="1:16">
      <c r="A33" s="109" t="s">
        <v>16</v>
      </c>
      <c r="B33" s="107" t="s">
        <v>77</v>
      </c>
      <c r="C33" s="20">
        <v>45969</v>
      </c>
      <c r="D33" s="109" t="s">
        <v>3498</v>
      </c>
      <c r="E33" s="109" t="s">
        <v>329</v>
      </c>
      <c r="F33" s="109" t="s">
        <v>329</v>
      </c>
      <c r="G33" s="179"/>
      <c r="H33" s="179"/>
      <c r="I33" s="107" t="s">
        <v>3502</v>
      </c>
      <c r="J33" s="109" t="s">
        <v>1007</v>
      </c>
      <c r="K33" s="105" t="s">
        <v>3450</v>
      </c>
      <c r="L33" s="109" t="s">
        <v>3503</v>
      </c>
      <c r="M33" s="196" t="s">
        <v>3501</v>
      </c>
      <c r="N33" s="109"/>
    </row>
    <row r="34" spans="1:16">
      <c r="A34" s="109" t="s">
        <v>16</v>
      </c>
      <c r="B34" s="107" t="s">
        <v>77</v>
      </c>
      <c r="C34" s="20">
        <v>45969</v>
      </c>
      <c r="D34" s="109" t="s">
        <v>84</v>
      </c>
      <c r="E34" s="184">
        <v>0.67013888888888884</v>
      </c>
      <c r="F34" s="109">
        <v>284</v>
      </c>
      <c r="G34" s="192">
        <v>36.628216999999999</v>
      </c>
      <c r="H34" s="192">
        <v>11.761825</v>
      </c>
      <c r="I34" s="109" t="s">
        <v>3504</v>
      </c>
      <c r="J34" s="109" t="s">
        <v>1059</v>
      </c>
      <c r="K34" s="109" t="s">
        <v>3483</v>
      </c>
      <c r="L34" s="109" t="s">
        <v>3484</v>
      </c>
      <c r="M34" s="74" t="s">
        <v>3485</v>
      </c>
    </row>
    <row r="35" spans="1:16">
      <c r="A35" s="109" t="s">
        <v>16</v>
      </c>
      <c r="B35" s="107" t="s">
        <v>77</v>
      </c>
      <c r="C35" s="20">
        <v>45969</v>
      </c>
      <c r="D35" s="109" t="s">
        <v>84</v>
      </c>
      <c r="E35" s="184">
        <v>0.67013888888888884</v>
      </c>
      <c r="F35" s="109">
        <v>284</v>
      </c>
      <c r="G35" s="192">
        <v>36.628216999999999</v>
      </c>
      <c r="H35" s="192">
        <v>11.761825</v>
      </c>
      <c r="I35" s="109" t="s">
        <v>3505</v>
      </c>
      <c r="J35" s="109" t="s">
        <v>1059</v>
      </c>
      <c r="K35" s="109" t="s">
        <v>3483</v>
      </c>
      <c r="L35" s="109" t="s">
        <v>3487</v>
      </c>
      <c r="M35" s="74" t="s">
        <v>3488</v>
      </c>
    </row>
    <row r="36" spans="1:16">
      <c r="A36" s="109" t="s">
        <v>16</v>
      </c>
      <c r="B36" s="107" t="s">
        <v>77</v>
      </c>
      <c r="C36" s="20">
        <v>45969</v>
      </c>
      <c r="D36" s="109" t="s">
        <v>84</v>
      </c>
      <c r="E36" s="184">
        <v>0.67013888888888884</v>
      </c>
      <c r="F36" s="109">
        <v>284</v>
      </c>
      <c r="G36" s="192">
        <v>36.628216999999999</v>
      </c>
      <c r="H36" s="192">
        <v>11.761825</v>
      </c>
      <c r="I36" s="109" t="s">
        <v>3506</v>
      </c>
      <c r="J36" s="109" t="s">
        <v>1059</v>
      </c>
      <c r="K36" s="109"/>
      <c r="L36" s="109" t="s">
        <v>3490</v>
      </c>
      <c r="M36" s="74" t="s">
        <v>3491</v>
      </c>
    </row>
    <row r="37" spans="1:16">
      <c r="A37" s="109" t="s">
        <v>16</v>
      </c>
      <c r="B37" s="107" t="s">
        <v>124</v>
      </c>
      <c r="C37" s="20">
        <v>45969</v>
      </c>
      <c r="D37" s="109" t="s">
        <v>132</v>
      </c>
      <c r="E37" s="184">
        <v>0.31324074074074076</v>
      </c>
      <c r="F37" s="109" t="s">
        <v>3507</v>
      </c>
      <c r="G37" s="179"/>
      <c r="H37" s="179"/>
      <c r="I37" s="109" t="s">
        <v>3508</v>
      </c>
      <c r="J37" s="109" t="s">
        <v>1007</v>
      </c>
      <c r="K37" s="105" t="s">
        <v>3450</v>
      </c>
      <c r="L37" s="109" t="s">
        <v>3509</v>
      </c>
      <c r="M37" s="74" t="s">
        <v>3510</v>
      </c>
    </row>
    <row r="38" spans="1:16">
      <c r="A38" s="109" t="s">
        <v>16</v>
      </c>
      <c r="B38" s="107" t="s">
        <v>124</v>
      </c>
      <c r="C38" s="20">
        <v>45969</v>
      </c>
      <c r="D38" s="109" t="s">
        <v>132</v>
      </c>
      <c r="E38" s="184">
        <v>0.31324074074074076</v>
      </c>
      <c r="F38" s="109" t="s">
        <v>3507</v>
      </c>
      <c r="G38" s="179"/>
      <c r="H38" s="179"/>
      <c r="I38" s="109" t="s">
        <v>3511</v>
      </c>
      <c r="J38" s="109" t="s">
        <v>1007</v>
      </c>
      <c r="K38" s="105" t="s">
        <v>3450</v>
      </c>
      <c r="L38" s="109" t="s">
        <v>3509</v>
      </c>
      <c r="M38" s="74" t="s">
        <v>3510</v>
      </c>
    </row>
    <row r="39" spans="1:16">
      <c r="A39" s="109" t="s">
        <v>16</v>
      </c>
      <c r="B39" s="107" t="s">
        <v>124</v>
      </c>
      <c r="C39" s="20">
        <v>45969</v>
      </c>
      <c r="D39" s="109" t="s">
        <v>132</v>
      </c>
      <c r="E39" s="184">
        <v>0.31324074074074076</v>
      </c>
      <c r="F39" s="109" t="s">
        <v>3507</v>
      </c>
      <c r="G39" s="179"/>
      <c r="H39" s="179"/>
      <c r="I39" s="109" t="s">
        <v>3512</v>
      </c>
      <c r="J39" s="109" t="s">
        <v>1007</v>
      </c>
      <c r="K39" s="105" t="s">
        <v>3450</v>
      </c>
      <c r="L39" s="109" t="s">
        <v>3509</v>
      </c>
      <c r="M39" s="74" t="s">
        <v>3510</v>
      </c>
    </row>
    <row r="40" spans="1:16">
      <c r="A40" s="107" t="s">
        <v>16</v>
      </c>
      <c r="B40" s="107" t="s">
        <v>124</v>
      </c>
      <c r="C40" s="20">
        <v>45970</v>
      </c>
      <c r="D40" s="105" t="s">
        <v>125</v>
      </c>
      <c r="E40" s="106">
        <v>6.3194444444444442E-2</v>
      </c>
      <c r="F40" s="108">
        <v>635</v>
      </c>
      <c r="G40" s="192">
        <v>36.025114000000002</v>
      </c>
      <c r="H40" s="192">
        <v>12.719253999999999</v>
      </c>
      <c r="I40" s="109" t="s">
        <v>3513</v>
      </c>
      <c r="J40" s="183" t="s">
        <v>1070</v>
      </c>
      <c r="M40" s="74" t="s">
        <v>3514</v>
      </c>
      <c r="N40" s="107" t="s">
        <v>3465</v>
      </c>
    </row>
    <row r="41" spans="1:16">
      <c r="A41" s="109" t="s">
        <v>16</v>
      </c>
      <c r="B41" s="109" t="s">
        <v>124</v>
      </c>
      <c r="C41" s="28">
        <v>45970</v>
      </c>
      <c r="D41" s="109" t="s">
        <v>129</v>
      </c>
      <c r="E41" s="106">
        <v>0.21111111111111111</v>
      </c>
      <c r="F41" s="108">
        <v>598</v>
      </c>
      <c r="G41" s="192">
        <v>36.028669000000001</v>
      </c>
      <c r="H41" s="192">
        <v>12.745053</v>
      </c>
      <c r="I41" s="109" t="s">
        <v>3515</v>
      </c>
      <c r="J41" s="109" t="s">
        <v>1007</v>
      </c>
      <c r="K41" s="105" t="s">
        <v>3450</v>
      </c>
      <c r="L41" s="109" t="s">
        <v>1464</v>
      </c>
      <c r="M41" s="196" t="s">
        <v>3516</v>
      </c>
      <c r="N41" s="109"/>
    </row>
    <row r="42" spans="1:16">
      <c r="A42" s="109" t="s">
        <v>16</v>
      </c>
      <c r="B42" s="109" t="s">
        <v>124</v>
      </c>
      <c r="C42" s="28">
        <v>45970</v>
      </c>
      <c r="D42" s="109" t="s">
        <v>129</v>
      </c>
      <c r="E42" s="106">
        <v>0.21111111111111111</v>
      </c>
      <c r="F42" s="108">
        <v>598</v>
      </c>
      <c r="G42" s="192">
        <v>36.028669000000001</v>
      </c>
      <c r="H42" s="192">
        <v>12.745053</v>
      </c>
      <c r="I42" s="109" t="s">
        <v>3517</v>
      </c>
      <c r="J42" s="109" t="s">
        <v>1007</v>
      </c>
      <c r="K42" s="105" t="s">
        <v>3450</v>
      </c>
      <c r="L42" s="109" t="s">
        <v>1464</v>
      </c>
      <c r="M42" s="196" t="s">
        <v>3516</v>
      </c>
      <c r="N42" s="109"/>
    </row>
    <row r="43" spans="1:16">
      <c r="A43" s="109" t="s">
        <v>16</v>
      </c>
      <c r="B43" s="109" t="s">
        <v>124</v>
      </c>
      <c r="C43" s="28">
        <v>45970</v>
      </c>
      <c r="D43" s="109" t="s">
        <v>129</v>
      </c>
      <c r="E43" s="106">
        <v>0.21111111111111111</v>
      </c>
      <c r="F43" s="108">
        <v>598</v>
      </c>
      <c r="G43" s="192">
        <v>36.028669000000001</v>
      </c>
      <c r="H43" s="192">
        <v>12.745053</v>
      </c>
      <c r="I43" s="109" t="s">
        <v>3518</v>
      </c>
      <c r="J43" s="109" t="s">
        <v>1007</v>
      </c>
      <c r="K43" s="105" t="s">
        <v>3450</v>
      </c>
      <c r="L43" s="109" t="s">
        <v>1464</v>
      </c>
      <c r="M43" s="196" t="s">
        <v>3516</v>
      </c>
      <c r="N43" s="109"/>
    </row>
    <row r="44" spans="1:16">
      <c r="A44" s="109" t="s">
        <v>16</v>
      </c>
      <c r="B44" s="109" t="s">
        <v>124</v>
      </c>
      <c r="C44" s="28">
        <v>45970</v>
      </c>
      <c r="D44" s="109" t="s">
        <v>139</v>
      </c>
      <c r="E44" s="106">
        <v>0.60420138888888886</v>
      </c>
      <c r="F44" s="108">
        <v>719</v>
      </c>
      <c r="G44" s="192">
        <v>36.036645999999998</v>
      </c>
      <c r="H44" s="192">
        <v>12.778877</v>
      </c>
      <c r="I44" s="105" t="s">
        <v>3519</v>
      </c>
      <c r="J44" s="183" t="s">
        <v>1070</v>
      </c>
      <c r="M44" s="74" t="s">
        <v>3520</v>
      </c>
      <c r="N44" s="107" t="s">
        <v>3465</v>
      </c>
    </row>
    <row r="45" spans="1:16">
      <c r="A45" s="109" t="s">
        <v>16</v>
      </c>
      <c r="B45" s="109" t="s">
        <v>124</v>
      </c>
      <c r="C45" s="28">
        <v>45970</v>
      </c>
      <c r="D45" s="109" t="s">
        <v>139</v>
      </c>
      <c r="E45" s="106">
        <v>0.61231481481481487</v>
      </c>
      <c r="F45" s="108">
        <v>719</v>
      </c>
      <c r="G45" s="192">
        <v>36.036645999999998</v>
      </c>
      <c r="H45" s="192">
        <v>12.778877</v>
      </c>
      <c r="I45" s="105" t="s">
        <v>3521</v>
      </c>
      <c r="J45" s="109" t="s">
        <v>1007</v>
      </c>
      <c r="K45" s="105" t="s">
        <v>3450</v>
      </c>
      <c r="L45" s="109" t="s">
        <v>1464</v>
      </c>
    </row>
    <row r="46" spans="1:16">
      <c r="A46" s="109" t="s">
        <v>16</v>
      </c>
      <c r="B46" s="109" t="s">
        <v>124</v>
      </c>
      <c r="C46" s="28">
        <v>45970</v>
      </c>
      <c r="D46" s="109" t="s">
        <v>139</v>
      </c>
      <c r="E46" s="106">
        <v>0.61231481481481487</v>
      </c>
      <c r="F46" s="108">
        <v>719</v>
      </c>
      <c r="G46" s="192">
        <v>36.036645999999998</v>
      </c>
      <c r="H46" s="192">
        <v>12.778877</v>
      </c>
      <c r="I46" s="105" t="s">
        <v>3522</v>
      </c>
      <c r="J46" s="109" t="s">
        <v>1007</v>
      </c>
      <c r="K46" s="105" t="s">
        <v>3450</v>
      </c>
      <c r="L46" s="109" t="s">
        <v>1464</v>
      </c>
    </row>
    <row r="47" spans="1:16">
      <c r="A47" s="109" t="s">
        <v>16</v>
      </c>
      <c r="B47" s="109" t="s">
        <v>124</v>
      </c>
      <c r="C47" s="28">
        <v>45970</v>
      </c>
      <c r="D47" s="109" t="s">
        <v>139</v>
      </c>
      <c r="E47" s="106">
        <v>0.61231481481481487</v>
      </c>
      <c r="F47" s="108">
        <v>719</v>
      </c>
      <c r="G47" s="192">
        <v>36.036645999999998</v>
      </c>
      <c r="H47" s="192">
        <v>12.778877</v>
      </c>
      <c r="I47" s="105" t="s">
        <v>3523</v>
      </c>
      <c r="J47" s="109" t="s">
        <v>1007</v>
      </c>
      <c r="K47" s="105" t="s">
        <v>3450</v>
      </c>
      <c r="L47" s="109" t="s">
        <v>1464</v>
      </c>
      <c r="M47" s="197"/>
      <c r="N47" s="105"/>
      <c r="O47" s="113"/>
    </row>
    <row r="48" spans="1:16">
      <c r="A48" s="109" t="s">
        <v>16</v>
      </c>
      <c r="B48" s="109" t="s">
        <v>124</v>
      </c>
      <c r="C48" s="28">
        <v>45970</v>
      </c>
      <c r="D48" s="109" t="s">
        <v>139</v>
      </c>
      <c r="E48" s="106">
        <v>0.61231481481481487</v>
      </c>
      <c r="F48" s="108">
        <v>719</v>
      </c>
      <c r="G48" s="192">
        <v>36.036645999999998</v>
      </c>
      <c r="H48" s="192">
        <v>12.778877</v>
      </c>
      <c r="I48" s="111" t="s">
        <v>3524</v>
      </c>
      <c r="J48" s="109" t="s">
        <v>1007</v>
      </c>
      <c r="K48" s="105" t="s">
        <v>3472</v>
      </c>
      <c r="L48" s="109" t="s">
        <v>1464</v>
      </c>
      <c r="M48" s="197" t="s">
        <v>3525</v>
      </c>
      <c r="N48" s="105"/>
      <c r="O48" s="113"/>
      <c r="P48" s="185" t="s">
        <v>3526</v>
      </c>
    </row>
    <row r="49" spans="1:16" ht="15" customHeight="1">
      <c r="A49" s="109" t="s">
        <v>16</v>
      </c>
      <c r="B49" s="109" t="s">
        <v>124</v>
      </c>
      <c r="C49" s="28">
        <v>45970</v>
      </c>
      <c r="D49" s="109" t="s">
        <v>136</v>
      </c>
      <c r="E49" s="106">
        <v>0.46164351851851854</v>
      </c>
      <c r="F49" s="108">
        <v>643</v>
      </c>
      <c r="G49" s="192">
        <v>36.041561999999999</v>
      </c>
      <c r="H49" s="192">
        <v>12.766038</v>
      </c>
      <c r="I49" s="105" t="s">
        <v>3527</v>
      </c>
      <c r="J49" s="109" t="s">
        <v>1007</v>
      </c>
      <c r="K49" s="105" t="s">
        <v>3472</v>
      </c>
      <c r="L49" s="109" t="s">
        <v>3528</v>
      </c>
      <c r="M49" s="198" t="s">
        <v>1332</v>
      </c>
      <c r="N49" s="183"/>
      <c r="O49" s="113"/>
      <c r="P49" s="113"/>
    </row>
    <row r="50" spans="1:16" ht="15" customHeight="1">
      <c r="A50" s="109" t="s">
        <v>16</v>
      </c>
      <c r="B50" s="109" t="s">
        <v>124</v>
      </c>
      <c r="C50" s="28">
        <v>45970</v>
      </c>
      <c r="D50" s="109" t="s">
        <v>143</v>
      </c>
      <c r="E50" s="106">
        <v>45970.792685185188</v>
      </c>
      <c r="F50" s="108">
        <v>812</v>
      </c>
      <c r="G50" s="192">
        <v>36.059063000000002</v>
      </c>
      <c r="H50" s="192">
        <v>12.784338999999999</v>
      </c>
      <c r="I50" s="105" t="s">
        <v>3529</v>
      </c>
      <c r="J50" s="109" t="s">
        <v>1007</v>
      </c>
      <c r="K50" s="105" t="s">
        <v>3450</v>
      </c>
      <c r="L50" s="109" t="s">
        <v>3530</v>
      </c>
      <c r="M50" s="197" t="s">
        <v>3531</v>
      </c>
      <c r="N50" s="105"/>
      <c r="O50" s="113"/>
      <c r="P50" s="113"/>
    </row>
    <row r="51" spans="1:16" ht="15" customHeight="1">
      <c r="A51" s="109" t="s">
        <v>16</v>
      </c>
      <c r="B51" s="109" t="s">
        <v>124</v>
      </c>
      <c r="C51" s="28">
        <v>45970</v>
      </c>
      <c r="D51" s="109" t="s">
        <v>143</v>
      </c>
      <c r="E51" s="106">
        <v>45970.792685185188</v>
      </c>
      <c r="F51" s="108">
        <v>812</v>
      </c>
      <c r="G51" s="192">
        <v>36.059063000000002</v>
      </c>
      <c r="H51" s="192">
        <v>12.784338999999999</v>
      </c>
      <c r="I51" s="105" t="s">
        <v>3532</v>
      </c>
      <c r="J51" s="109" t="s">
        <v>1007</v>
      </c>
      <c r="K51" s="105" t="s">
        <v>3450</v>
      </c>
      <c r="L51" s="109" t="s">
        <v>3530</v>
      </c>
      <c r="M51" s="197" t="s">
        <v>3531</v>
      </c>
      <c r="N51" s="105"/>
      <c r="O51" s="113"/>
    </row>
    <row r="52" spans="1:16" ht="15" customHeight="1">
      <c r="A52" s="109" t="s">
        <v>16</v>
      </c>
      <c r="B52" s="109" t="s">
        <v>3533</v>
      </c>
      <c r="C52" s="28">
        <v>45971</v>
      </c>
      <c r="D52" s="109" t="s">
        <v>156</v>
      </c>
      <c r="E52" s="106">
        <v>45971.389576620371</v>
      </c>
      <c r="F52" s="108">
        <v>387</v>
      </c>
      <c r="G52" s="192">
        <v>36.071869999999997</v>
      </c>
      <c r="H52" s="192">
        <v>13.023968</v>
      </c>
      <c r="I52" s="105" t="s">
        <v>3534</v>
      </c>
      <c r="J52" s="105" t="s">
        <v>1007</v>
      </c>
      <c r="K52" s="105" t="s">
        <v>3450</v>
      </c>
      <c r="L52" s="105" t="s">
        <v>1392</v>
      </c>
      <c r="M52" s="74" t="s">
        <v>1393</v>
      </c>
    </row>
    <row r="53" spans="1:16" ht="15" customHeight="1">
      <c r="A53" s="109" t="s">
        <v>16</v>
      </c>
      <c r="B53" s="109" t="s">
        <v>3533</v>
      </c>
      <c r="C53" s="28">
        <v>45971</v>
      </c>
      <c r="D53" s="109" t="s">
        <v>156</v>
      </c>
      <c r="E53" s="106">
        <v>45971.389576620371</v>
      </c>
      <c r="F53" s="108">
        <v>387</v>
      </c>
      <c r="G53" s="192">
        <v>36.071869999999997</v>
      </c>
      <c r="H53" s="192">
        <v>13.023968</v>
      </c>
      <c r="I53" s="105" t="s">
        <v>3535</v>
      </c>
      <c r="J53" s="105" t="s">
        <v>1007</v>
      </c>
      <c r="K53" s="105" t="s">
        <v>3450</v>
      </c>
      <c r="L53" s="105" t="s">
        <v>1392</v>
      </c>
      <c r="M53" s="74" t="s">
        <v>1393</v>
      </c>
    </row>
    <row r="54" spans="1:16" ht="15" customHeight="1">
      <c r="A54" s="109" t="s">
        <v>16</v>
      </c>
      <c r="B54" s="109" t="s">
        <v>3533</v>
      </c>
      <c r="C54" s="28">
        <v>45971</v>
      </c>
      <c r="D54" s="109" t="s">
        <v>156</v>
      </c>
      <c r="E54" s="106">
        <v>45971.389576620371</v>
      </c>
      <c r="F54" s="108">
        <v>387</v>
      </c>
      <c r="G54" s="192">
        <v>36.071869999999997</v>
      </c>
      <c r="H54" s="192">
        <v>13.023968</v>
      </c>
      <c r="I54" s="105" t="s">
        <v>3536</v>
      </c>
      <c r="J54" s="105" t="s">
        <v>1007</v>
      </c>
      <c r="K54" s="105" t="s">
        <v>3450</v>
      </c>
      <c r="L54" s="105" t="s">
        <v>1392</v>
      </c>
      <c r="M54" s="74" t="s">
        <v>1393</v>
      </c>
    </row>
    <row r="55" spans="1:16">
      <c r="A55" s="109" t="s">
        <v>16</v>
      </c>
      <c r="B55" s="109" t="s">
        <v>3533</v>
      </c>
      <c r="C55" s="28">
        <v>45971</v>
      </c>
      <c r="D55" s="109" t="s">
        <v>156</v>
      </c>
      <c r="E55" s="106">
        <v>0.32798611111111109</v>
      </c>
      <c r="F55" s="108">
        <v>442</v>
      </c>
      <c r="G55" s="192">
        <v>36.070332000000001</v>
      </c>
      <c r="H55" s="192">
        <v>13.025268000000001</v>
      </c>
      <c r="I55" s="105" t="s">
        <v>3537</v>
      </c>
      <c r="J55" s="105" t="s">
        <v>1007</v>
      </c>
      <c r="K55" s="105" t="s">
        <v>3450</v>
      </c>
      <c r="L55" s="105" t="s">
        <v>3538</v>
      </c>
      <c r="M55" s="74" t="s">
        <v>3539</v>
      </c>
    </row>
    <row r="56" spans="1:16">
      <c r="A56" s="109" t="s">
        <v>16</v>
      </c>
      <c r="B56" s="109" t="s">
        <v>3533</v>
      </c>
      <c r="C56" s="28">
        <v>45971</v>
      </c>
      <c r="D56" s="109" t="s">
        <v>188</v>
      </c>
      <c r="E56" s="106">
        <v>0.64368055555555559</v>
      </c>
      <c r="F56" s="108">
        <v>466</v>
      </c>
      <c r="G56" s="192">
        <v>36.038485999999999</v>
      </c>
      <c r="H56" s="192">
        <v>13.078801</v>
      </c>
      <c r="I56" s="105" t="s">
        <v>3540</v>
      </c>
      <c r="J56" s="105" t="s">
        <v>1007</v>
      </c>
      <c r="K56" s="105" t="s">
        <v>3450</v>
      </c>
      <c r="L56" s="105" t="s">
        <v>1464</v>
      </c>
      <c r="M56" s="74" t="s">
        <v>1465</v>
      </c>
    </row>
    <row r="57" spans="1:16">
      <c r="A57" s="109" t="s">
        <v>16</v>
      </c>
      <c r="B57" s="109" t="s">
        <v>3533</v>
      </c>
      <c r="C57" s="28">
        <v>45971</v>
      </c>
      <c r="D57" s="109" t="s">
        <v>188</v>
      </c>
      <c r="E57" s="106">
        <v>0.64368055555555559</v>
      </c>
      <c r="F57" s="108">
        <v>466</v>
      </c>
      <c r="G57" s="192">
        <v>36.038485999999999</v>
      </c>
      <c r="H57" s="192">
        <v>13.078801</v>
      </c>
      <c r="I57" s="105" t="s">
        <v>3541</v>
      </c>
      <c r="J57" s="105" t="s">
        <v>1007</v>
      </c>
      <c r="K57" s="105" t="s">
        <v>3450</v>
      </c>
      <c r="L57" s="105" t="s">
        <v>1464</v>
      </c>
      <c r="M57" s="74" t="s">
        <v>1465</v>
      </c>
    </row>
    <row r="58" spans="1:16">
      <c r="A58" s="109" t="s">
        <v>16</v>
      </c>
      <c r="B58" s="109" t="s">
        <v>3533</v>
      </c>
      <c r="C58" s="28">
        <v>45971</v>
      </c>
      <c r="D58" s="109" t="s">
        <v>188</v>
      </c>
      <c r="E58" s="106">
        <v>0.64368055555555559</v>
      </c>
      <c r="F58" s="108">
        <v>466</v>
      </c>
      <c r="G58" s="192">
        <v>36.038485999999999</v>
      </c>
      <c r="H58" s="192">
        <v>13.078801</v>
      </c>
      <c r="I58" s="105" t="s">
        <v>3542</v>
      </c>
      <c r="J58" s="105" t="s">
        <v>1007</v>
      </c>
      <c r="K58" s="105" t="s">
        <v>3450</v>
      </c>
      <c r="L58" s="105" t="s">
        <v>1464</v>
      </c>
      <c r="M58" s="74" t="s">
        <v>1465</v>
      </c>
    </row>
    <row r="59" spans="1:16">
      <c r="A59" s="109" t="s">
        <v>16</v>
      </c>
      <c r="B59" s="109" t="s">
        <v>3533</v>
      </c>
      <c r="C59" s="28">
        <v>45973</v>
      </c>
      <c r="D59" s="109" t="s">
        <v>206</v>
      </c>
      <c r="E59" s="106">
        <v>0.31967592592592592</v>
      </c>
      <c r="F59" s="108">
        <v>715</v>
      </c>
      <c r="G59" s="192">
        <v>36.201718999999997</v>
      </c>
      <c r="H59" s="192">
        <v>13.074482</v>
      </c>
      <c r="I59" s="105" t="s">
        <v>3543</v>
      </c>
      <c r="J59" s="105" t="s">
        <v>1007</v>
      </c>
      <c r="K59" s="105" t="s">
        <v>3450</v>
      </c>
      <c r="L59" s="105" t="s">
        <v>3544</v>
      </c>
      <c r="M59" s="74" t="s">
        <v>3539</v>
      </c>
    </row>
    <row r="60" spans="1:16">
      <c r="A60" s="109" t="s">
        <v>16</v>
      </c>
      <c r="B60" s="109" t="s">
        <v>3533</v>
      </c>
      <c r="C60" s="28">
        <v>45973</v>
      </c>
      <c r="D60" s="109" t="s">
        <v>206</v>
      </c>
      <c r="E60" s="106">
        <v>0.31967592592592592</v>
      </c>
      <c r="F60" s="108">
        <v>715</v>
      </c>
      <c r="G60" s="192">
        <v>36.201718999999997</v>
      </c>
      <c r="H60" s="192">
        <v>13.074482</v>
      </c>
      <c r="I60" s="105" t="s">
        <v>3545</v>
      </c>
      <c r="J60" s="105" t="s">
        <v>1007</v>
      </c>
      <c r="K60" s="105" t="s">
        <v>3450</v>
      </c>
      <c r="L60" s="105" t="s">
        <v>1488</v>
      </c>
      <c r="M60" s="74" t="s">
        <v>3539</v>
      </c>
    </row>
    <row r="61" spans="1:16">
      <c r="A61" s="1" t="s">
        <v>213</v>
      </c>
      <c r="B61" s="105" t="s">
        <v>214</v>
      </c>
      <c r="C61" s="28">
        <v>45975</v>
      </c>
      <c r="D61" s="105" t="s">
        <v>215</v>
      </c>
      <c r="E61" s="106">
        <v>45975.042600925924</v>
      </c>
      <c r="F61" s="108">
        <v>919</v>
      </c>
      <c r="G61" s="192">
        <v>38.559246000000002</v>
      </c>
      <c r="H61" s="192">
        <v>12.264461000000001</v>
      </c>
      <c r="I61" s="105" t="s">
        <v>3546</v>
      </c>
      <c r="J61" s="105" t="s">
        <v>1007</v>
      </c>
      <c r="K61" s="105" t="s">
        <v>3450</v>
      </c>
      <c r="L61" s="105" t="s">
        <v>1507</v>
      </c>
      <c r="M61" s="74" t="s">
        <v>3547</v>
      </c>
      <c r="O61" s="104" t="s">
        <v>3548</v>
      </c>
    </row>
    <row r="62" spans="1:16">
      <c r="A62" s="1" t="s">
        <v>213</v>
      </c>
      <c r="B62" s="105" t="s">
        <v>214</v>
      </c>
      <c r="C62" s="28">
        <v>45975</v>
      </c>
      <c r="D62" s="105" t="s">
        <v>215</v>
      </c>
      <c r="E62" s="106">
        <v>45975.042600925924</v>
      </c>
      <c r="F62" s="108">
        <v>919</v>
      </c>
      <c r="G62" s="192">
        <v>38.559246000000002</v>
      </c>
      <c r="H62" s="192">
        <v>12.264461000000001</v>
      </c>
      <c r="I62" s="105" t="s">
        <v>3549</v>
      </c>
      <c r="J62" s="105" t="s">
        <v>1007</v>
      </c>
      <c r="K62" s="105" t="s">
        <v>3450</v>
      </c>
      <c r="L62" s="105" t="s">
        <v>1507</v>
      </c>
      <c r="M62" s="74" t="s">
        <v>3547</v>
      </c>
      <c r="O62" s="104" t="s">
        <v>3548</v>
      </c>
    </row>
    <row r="63" spans="1:16">
      <c r="A63" s="1" t="s">
        <v>213</v>
      </c>
      <c r="B63" s="105" t="s">
        <v>214</v>
      </c>
      <c r="C63" s="28">
        <v>45975</v>
      </c>
      <c r="D63" s="105" t="s">
        <v>215</v>
      </c>
      <c r="E63" s="106">
        <v>45975.042600925924</v>
      </c>
      <c r="F63" s="108">
        <v>919</v>
      </c>
      <c r="G63" s="192">
        <v>38.559246000000002</v>
      </c>
      <c r="H63" s="192">
        <v>12.264461000000001</v>
      </c>
      <c r="I63" s="105" t="s">
        <v>3550</v>
      </c>
      <c r="J63" s="105" t="s">
        <v>1007</v>
      </c>
      <c r="K63" s="105" t="s">
        <v>3450</v>
      </c>
      <c r="L63" s="105" t="s">
        <v>1507</v>
      </c>
      <c r="M63" s="74" t="s">
        <v>3547</v>
      </c>
      <c r="O63" s="104" t="s">
        <v>3548</v>
      </c>
    </row>
    <row r="64" spans="1:16">
      <c r="A64" s="1" t="s">
        <v>213</v>
      </c>
      <c r="B64" s="105" t="s">
        <v>214</v>
      </c>
      <c r="C64" s="28">
        <v>45975</v>
      </c>
      <c r="D64" s="105" t="s">
        <v>215</v>
      </c>
      <c r="E64" s="106">
        <v>45975.042600925924</v>
      </c>
      <c r="F64" s="108">
        <v>919</v>
      </c>
      <c r="G64" s="192">
        <v>38.559246000000002</v>
      </c>
      <c r="H64" s="192">
        <v>12.264461000000001</v>
      </c>
      <c r="I64" s="105" t="s">
        <v>3551</v>
      </c>
      <c r="J64" s="105" t="s">
        <v>1007</v>
      </c>
      <c r="K64" s="105" t="s">
        <v>3472</v>
      </c>
      <c r="L64" s="105" t="s">
        <v>1507</v>
      </c>
      <c r="M64" s="74" t="s">
        <v>3547</v>
      </c>
      <c r="O64" s="104" t="s">
        <v>3548</v>
      </c>
    </row>
    <row r="65" spans="1:15">
      <c r="A65" s="1" t="s">
        <v>213</v>
      </c>
      <c r="B65" s="105" t="s">
        <v>214</v>
      </c>
      <c r="C65" s="28">
        <v>45975</v>
      </c>
      <c r="D65" s="105" t="s">
        <v>215</v>
      </c>
      <c r="E65" s="106">
        <v>45975.051034490738</v>
      </c>
      <c r="F65" s="108">
        <v>919</v>
      </c>
      <c r="G65" s="192">
        <v>38.559251000000003</v>
      </c>
      <c r="H65" s="192">
        <v>12.264485000000001</v>
      </c>
      <c r="I65" s="105" t="s">
        <v>3552</v>
      </c>
      <c r="J65" s="105" t="s">
        <v>1007</v>
      </c>
      <c r="K65" s="105" t="s">
        <v>3450</v>
      </c>
      <c r="L65" s="105" t="s">
        <v>1508</v>
      </c>
      <c r="M65" s="74" t="s">
        <v>3547</v>
      </c>
      <c r="O65" s="104" t="s">
        <v>3548</v>
      </c>
    </row>
    <row r="66" spans="1:15">
      <c r="A66" s="1" t="s">
        <v>213</v>
      </c>
      <c r="B66" s="105" t="s">
        <v>214</v>
      </c>
      <c r="C66" s="28">
        <v>45975</v>
      </c>
      <c r="D66" s="105" t="s">
        <v>215</v>
      </c>
      <c r="E66" s="106">
        <v>45975.051034490738</v>
      </c>
      <c r="F66" s="108">
        <v>919</v>
      </c>
      <c r="G66" s="192">
        <v>38.559251000000003</v>
      </c>
      <c r="H66" s="192">
        <v>12.264485000000001</v>
      </c>
      <c r="I66" s="105" t="s">
        <v>3553</v>
      </c>
      <c r="J66" s="105" t="s">
        <v>1007</v>
      </c>
      <c r="K66" s="105" t="s">
        <v>3450</v>
      </c>
      <c r="L66" s="105" t="s">
        <v>1508</v>
      </c>
      <c r="M66" s="74" t="s">
        <v>3547</v>
      </c>
      <c r="O66" s="104" t="s">
        <v>3548</v>
      </c>
    </row>
    <row r="67" spans="1:15">
      <c r="A67" s="1" t="s">
        <v>213</v>
      </c>
      <c r="B67" s="105" t="s">
        <v>214</v>
      </c>
      <c r="C67" s="28">
        <v>45975</v>
      </c>
      <c r="D67" s="105" t="s">
        <v>215</v>
      </c>
      <c r="E67" s="106">
        <v>45975.051034490738</v>
      </c>
      <c r="F67" s="108">
        <v>919</v>
      </c>
      <c r="G67" s="192">
        <v>38.559251000000003</v>
      </c>
      <c r="H67" s="192">
        <v>12.264485000000001</v>
      </c>
      <c r="I67" s="105" t="s">
        <v>3554</v>
      </c>
      <c r="J67" s="105" t="s">
        <v>1007</v>
      </c>
      <c r="K67" s="105" t="s">
        <v>3450</v>
      </c>
      <c r="L67" s="105" t="s">
        <v>1508</v>
      </c>
      <c r="M67" s="74" t="s">
        <v>3547</v>
      </c>
      <c r="O67" s="104" t="s">
        <v>3548</v>
      </c>
    </row>
    <row r="68" spans="1:15">
      <c r="A68" s="1" t="s">
        <v>213</v>
      </c>
      <c r="B68" s="105" t="s">
        <v>214</v>
      </c>
      <c r="C68" s="28">
        <v>45975</v>
      </c>
      <c r="D68" s="105" t="s">
        <v>229</v>
      </c>
      <c r="E68" s="106">
        <v>45975.646154050926</v>
      </c>
      <c r="F68" s="108">
        <v>666</v>
      </c>
      <c r="G68" s="192">
        <v>38.601658</v>
      </c>
      <c r="H68" s="192">
        <v>12.236198</v>
      </c>
      <c r="I68" s="105" t="s">
        <v>3555</v>
      </c>
      <c r="J68" s="105" t="s">
        <v>1007</v>
      </c>
      <c r="K68" s="105" t="s">
        <v>3450</v>
      </c>
      <c r="L68" s="105" t="s">
        <v>3556</v>
      </c>
      <c r="M68" s="74" t="s">
        <v>3547</v>
      </c>
      <c r="O68" s="104" t="s">
        <v>3548</v>
      </c>
    </row>
    <row r="69" spans="1:15">
      <c r="A69" s="1" t="s">
        <v>213</v>
      </c>
      <c r="B69" s="105" t="s">
        <v>214</v>
      </c>
      <c r="C69" s="28">
        <v>45975</v>
      </c>
      <c r="D69" s="105" t="s">
        <v>229</v>
      </c>
      <c r="E69" s="106">
        <v>45975.646154050926</v>
      </c>
      <c r="F69" s="108">
        <v>666</v>
      </c>
      <c r="G69" s="192">
        <v>38.601658</v>
      </c>
      <c r="H69" s="192">
        <v>12.236198</v>
      </c>
      <c r="I69" s="105" t="s">
        <v>3557</v>
      </c>
      <c r="J69" s="105" t="s">
        <v>1007</v>
      </c>
      <c r="K69" s="105" t="s">
        <v>3450</v>
      </c>
      <c r="L69" s="105" t="s">
        <v>3556</v>
      </c>
      <c r="O69" s="104" t="s">
        <v>3548</v>
      </c>
    </row>
    <row r="70" spans="1:15">
      <c r="A70" s="1" t="s">
        <v>213</v>
      </c>
      <c r="B70" s="105" t="s">
        <v>214</v>
      </c>
      <c r="C70" s="28">
        <v>45975</v>
      </c>
      <c r="D70" s="105" t="s">
        <v>229</v>
      </c>
      <c r="E70" s="106">
        <v>45975.646154050926</v>
      </c>
      <c r="F70" s="108">
        <v>666</v>
      </c>
      <c r="G70" s="192">
        <v>38.601658</v>
      </c>
      <c r="H70" s="192">
        <v>12.236198</v>
      </c>
      <c r="I70" s="105" t="s">
        <v>3558</v>
      </c>
      <c r="J70" s="105" t="s">
        <v>3427</v>
      </c>
      <c r="K70" s="105" t="s">
        <v>3559</v>
      </c>
      <c r="L70" s="105" t="s">
        <v>3560</v>
      </c>
    </row>
    <row r="71" spans="1:15">
      <c r="A71" s="1" t="s">
        <v>213</v>
      </c>
      <c r="B71" s="105" t="s">
        <v>214</v>
      </c>
      <c r="C71" s="28">
        <v>45975</v>
      </c>
      <c r="D71" s="105" t="s">
        <v>233</v>
      </c>
      <c r="E71" s="106">
        <v>45975.868062847221</v>
      </c>
      <c r="F71" s="108">
        <v>593</v>
      </c>
      <c r="G71" s="192">
        <v>38.607723</v>
      </c>
      <c r="H71" s="192">
        <v>12.199922000000001</v>
      </c>
      <c r="I71" s="105" t="s">
        <v>3561</v>
      </c>
      <c r="J71" s="105" t="s">
        <v>1007</v>
      </c>
      <c r="K71" s="105" t="s">
        <v>3450</v>
      </c>
      <c r="L71" s="105" t="s">
        <v>2993</v>
      </c>
      <c r="M71" s="74" t="s">
        <v>3547</v>
      </c>
      <c r="O71" s="104" t="s">
        <v>3548</v>
      </c>
    </row>
    <row r="72" spans="1:15">
      <c r="A72" s="1" t="s">
        <v>213</v>
      </c>
      <c r="B72" s="105" t="s">
        <v>214</v>
      </c>
      <c r="C72" s="28">
        <v>45975</v>
      </c>
      <c r="D72" s="105" t="s">
        <v>233</v>
      </c>
      <c r="E72" s="106">
        <v>45975.868062847221</v>
      </c>
      <c r="F72" s="108">
        <v>593</v>
      </c>
      <c r="G72" s="192">
        <v>38.607723</v>
      </c>
      <c r="H72" s="192">
        <v>12.199922000000001</v>
      </c>
      <c r="I72" s="105" t="s">
        <v>3562</v>
      </c>
      <c r="J72" s="105" t="s">
        <v>1007</v>
      </c>
      <c r="K72" s="105" t="s">
        <v>3450</v>
      </c>
      <c r="L72" s="105" t="s">
        <v>2993</v>
      </c>
      <c r="M72" s="74" t="s">
        <v>3547</v>
      </c>
      <c r="O72" s="104" t="s">
        <v>3548</v>
      </c>
    </row>
    <row r="73" spans="1:15">
      <c r="A73" s="1" t="s">
        <v>213</v>
      </c>
      <c r="B73" s="105" t="s">
        <v>214</v>
      </c>
      <c r="C73" s="28">
        <v>45975</v>
      </c>
      <c r="D73" s="105" t="s">
        <v>233</v>
      </c>
      <c r="E73" s="106">
        <v>45975.868062847221</v>
      </c>
      <c r="F73" s="108">
        <v>593</v>
      </c>
      <c r="G73" s="192">
        <v>38.607723</v>
      </c>
      <c r="H73" s="192">
        <v>12.199922000000001</v>
      </c>
      <c r="I73" s="105" t="s">
        <v>3563</v>
      </c>
      <c r="J73" s="105" t="s">
        <v>1007</v>
      </c>
      <c r="K73" s="105" t="s">
        <v>3450</v>
      </c>
      <c r="L73" s="105" t="s">
        <v>3564</v>
      </c>
      <c r="M73" s="74" t="s">
        <v>3547</v>
      </c>
      <c r="O73" s="104" t="s">
        <v>3548</v>
      </c>
    </row>
    <row r="74" spans="1:15">
      <c r="A74" s="1" t="s">
        <v>213</v>
      </c>
      <c r="B74" s="105" t="s">
        <v>214</v>
      </c>
      <c r="C74" s="28">
        <v>45976</v>
      </c>
      <c r="D74" s="105" t="s">
        <v>245</v>
      </c>
      <c r="E74" s="106">
        <v>45976.284247222226</v>
      </c>
      <c r="F74" s="108">
        <v>631</v>
      </c>
      <c r="G74" s="179">
        <v>38.601260000000003</v>
      </c>
      <c r="H74" s="179">
        <v>12.162034</v>
      </c>
      <c r="I74" s="133" t="s">
        <v>3565</v>
      </c>
      <c r="J74" s="105" t="s">
        <v>1059</v>
      </c>
      <c r="L74" s="107" t="s">
        <v>3490</v>
      </c>
      <c r="M74" s="74" t="s">
        <v>3566</v>
      </c>
    </row>
    <row r="75" spans="1:15">
      <c r="A75" s="105" t="s">
        <v>16</v>
      </c>
      <c r="B75" s="105" t="s">
        <v>252</v>
      </c>
      <c r="C75" s="112">
        <v>45977</v>
      </c>
      <c r="D75" s="105" t="s">
        <v>253</v>
      </c>
      <c r="E75" s="106">
        <v>0.12743055555555555</v>
      </c>
      <c r="F75" s="108">
        <v>511</v>
      </c>
      <c r="G75" s="192">
        <v>36.868972999999997</v>
      </c>
      <c r="H75" s="192">
        <v>11.869509000000001</v>
      </c>
      <c r="I75" s="105" t="s">
        <v>3567</v>
      </c>
      <c r="J75" s="105" t="s">
        <v>1007</v>
      </c>
      <c r="K75" s="105" t="s">
        <v>3450</v>
      </c>
      <c r="L75" s="105" t="s">
        <v>3568</v>
      </c>
      <c r="M75" s="74" t="s">
        <v>3569</v>
      </c>
      <c r="O75" s="104" t="s">
        <v>3548</v>
      </c>
    </row>
    <row r="76" spans="1:15">
      <c r="A76" s="105" t="s">
        <v>16</v>
      </c>
      <c r="B76" s="105" t="s">
        <v>252</v>
      </c>
      <c r="C76" s="112">
        <v>45977</v>
      </c>
      <c r="D76" s="105" t="s">
        <v>253</v>
      </c>
      <c r="E76" s="106">
        <v>0.12743055555555555</v>
      </c>
      <c r="F76" s="108">
        <v>511</v>
      </c>
      <c r="G76" s="192">
        <v>36.868972999999997</v>
      </c>
      <c r="H76" s="192">
        <v>11.869509000000001</v>
      </c>
      <c r="I76" s="105" t="s">
        <v>3570</v>
      </c>
      <c r="J76" s="105" t="s">
        <v>1007</v>
      </c>
      <c r="K76" s="105" t="s">
        <v>3450</v>
      </c>
      <c r="L76" s="105" t="s">
        <v>3571</v>
      </c>
      <c r="M76" s="74" t="s">
        <v>3569</v>
      </c>
      <c r="O76" s="104" t="s">
        <v>3548</v>
      </c>
    </row>
    <row r="77" spans="1:15">
      <c r="A77" s="105" t="s">
        <v>16</v>
      </c>
      <c r="B77" s="105" t="s">
        <v>252</v>
      </c>
      <c r="C77" s="112">
        <v>45977</v>
      </c>
      <c r="D77" s="105" t="s">
        <v>256</v>
      </c>
      <c r="E77" s="106">
        <v>45977.310187731484</v>
      </c>
      <c r="F77" s="108">
        <v>307</v>
      </c>
      <c r="G77" s="192">
        <v>36.860832000000002</v>
      </c>
      <c r="H77" s="192">
        <v>11.887957</v>
      </c>
      <c r="I77" s="105" t="s">
        <v>3572</v>
      </c>
      <c r="J77" s="105" t="s">
        <v>1007</v>
      </c>
      <c r="K77" s="105" t="s">
        <v>3450</v>
      </c>
      <c r="L77" s="105" t="s">
        <v>3573</v>
      </c>
      <c r="M77" s="74" t="s">
        <v>3574</v>
      </c>
      <c r="O77" s="104" t="s">
        <v>3548</v>
      </c>
    </row>
    <row r="78" spans="1:15">
      <c r="A78" s="105" t="s">
        <v>16</v>
      </c>
      <c r="B78" s="105" t="s">
        <v>252</v>
      </c>
      <c r="C78" s="112">
        <v>45977</v>
      </c>
      <c r="D78" s="105" t="s">
        <v>256</v>
      </c>
      <c r="E78" s="106">
        <v>45977.310187731484</v>
      </c>
      <c r="F78" s="108">
        <v>307</v>
      </c>
      <c r="G78" s="192">
        <v>36.860832000000002</v>
      </c>
      <c r="H78" s="192">
        <v>11.887957</v>
      </c>
      <c r="I78" s="105" t="s">
        <v>3575</v>
      </c>
      <c r="J78" s="105" t="s">
        <v>1007</v>
      </c>
      <c r="K78" s="105" t="s">
        <v>3450</v>
      </c>
      <c r="L78" s="105" t="s">
        <v>1756</v>
      </c>
      <c r="M78" s="74" t="s">
        <v>3547</v>
      </c>
      <c r="O78" s="104" t="s">
        <v>3548</v>
      </c>
    </row>
    <row r="79" spans="1:15">
      <c r="A79" s="105" t="s">
        <v>16</v>
      </c>
      <c r="B79" s="105" t="s">
        <v>252</v>
      </c>
      <c r="C79" s="112">
        <v>45977</v>
      </c>
      <c r="D79" s="105" t="s">
        <v>256</v>
      </c>
      <c r="E79" s="106">
        <v>45977.310187731484</v>
      </c>
      <c r="F79" s="108">
        <v>307</v>
      </c>
      <c r="G79" s="192">
        <v>36.860832000000002</v>
      </c>
      <c r="H79" s="192">
        <v>11.887957</v>
      </c>
      <c r="I79" s="105" t="s">
        <v>3576</v>
      </c>
      <c r="J79" s="105" t="s">
        <v>1007</v>
      </c>
      <c r="K79" s="105" t="s">
        <v>3455</v>
      </c>
      <c r="L79" s="105" t="s">
        <v>3577</v>
      </c>
      <c r="M79" s="74" t="s">
        <v>3578</v>
      </c>
      <c r="O79" s="104" t="s">
        <v>3548</v>
      </c>
    </row>
    <row r="80" spans="1:15">
      <c r="A80" s="105" t="s">
        <v>16</v>
      </c>
      <c r="B80" s="105" t="s">
        <v>252</v>
      </c>
      <c r="C80" s="112">
        <v>45977</v>
      </c>
      <c r="D80" s="105" t="s">
        <v>262</v>
      </c>
      <c r="E80" s="106">
        <v>45977.589619675928</v>
      </c>
      <c r="F80" s="108">
        <v>209</v>
      </c>
      <c r="G80" s="192">
        <v>36.857399999999998</v>
      </c>
      <c r="H80" s="192">
        <v>11.892234999999999</v>
      </c>
      <c r="I80" s="105" t="s">
        <v>3579</v>
      </c>
      <c r="J80" s="105" t="s">
        <v>1007</v>
      </c>
      <c r="K80" s="105" t="s">
        <v>3450</v>
      </c>
      <c r="L80" s="105" t="s">
        <v>1169</v>
      </c>
      <c r="M80" s="74" t="s">
        <v>3547</v>
      </c>
      <c r="O80" s="104" t="s">
        <v>3548</v>
      </c>
    </row>
    <row r="81" spans="1:15">
      <c r="A81" s="105" t="s">
        <v>16</v>
      </c>
      <c r="B81" s="105" t="s">
        <v>252</v>
      </c>
      <c r="C81" s="112">
        <v>45977</v>
      </c>
      <c r="D81" s="105" t="s">
        <v>268</v>
      </c>
      <c r="E81" s="106">
        <v>0.91403935185185181</v>
      </c>
      <c r="F81" s="108">
        <v>280</v>
      </c>
      <c r="G81" s="192">
        <v>36.849801999999997</v>
      </c>
      <c r="H81" s="192">
        <v>11.882301999999999</v>
      </c>
      <c r="I81" s="105" t="s">
        <v>3580</v>
      </c>
      <c r="J81" s="105" t="s">
        <v>1007</v>
      </c>
      <c r="K81" s="105" t="s">
        <v>3450</v>
      </c>
      <c r="L81" s="105" t="s">
        <v>1676</v>
      </c>
      <c r="O81" s="104" t="s">
        <v>3548</v>
      </c>
    </row>
    <row r="82" spans="1:15">
      <c r="A82" s="105" t="s">
        <v>16</v>
      </c>
      <c r="B82" s="105" t="s">
        <v>252</v>
      </c>
      <c r="C82" s="112">
        <v>45977</v>
      </c>
      <c r="D82" s="105" t="s">
        <v>268</v>
      </c>
      <c r="E82" s="106">
        <v>0.91403935185185181</v>
      </c>
      <c r="F82" s="108">
        <v>280</v>
      </c>
      <c r="G82" s="192">
        <v>36.849801999999997</v>
      </c>
      <c r="H82" s="192">
        <v>11.882301999999999</v>
      </c>
      <c r="I82" s="105" t="s">
        <v>3581</v>
      </c>
      <c r="J82" s="105" t="s">
        <v>1007</v>
      </c>
      <c r="K82" s="105" t="s">
        <v>3450</v>
      </c>
      <c r="L82" s="105" t="s">
        <v>1676</v>
      </c>
      <c r="O82" s="104" t="s">
        <v>3548</v>
      </c>
    </row>
    <row r="83" spans="1:15">
      <c r="A83" s="105" t="s">
        <v>16</v>
      </c>
      <c r="B83" s="105" t="s">
        <v>252</v>
      </c>
      <c r="C83" s="112">
        <v>45977</v>
      </c>
      <c r="D83" s="105" t="s">
        <v>268</v>
      </c>
      <c r="E83" s="106">
        <v>0.97388888888888892</v>
      </c>
      <c r="F83" s="108">
        <v>275</v>
      </c>
      <c r="G83" s="192">
        <v>36.849801999999997</v>
      </c>
      <c r="H83" s="192">
        <v>11.882301999999999</v>
      </c>
      <c r="I83" s="105" t="s">
        <v>3582</v>
      </c>
      <c r="J83" s="105" t="s">
        <v>1007</v>
      </c>
      <c r="K83" s="105" t="s">
        <v>3450</v>
      </c>
      <c r="L83" s="105" t="s">
        <v>1853</v>
      </c>
      <c r="O83" s="104" t="s">
        <v>3548</v>
      </c>
    </row>
    <row r="84" spans="1:15">
      <c r="A84" s="105" t="s">
        <v>16</v>
      </c>
      <c r="B84" s="105" t="s">
        <v>252</v>
      </c>
      <c r="C84" s="112">
        <v>45978</v>
      </c>
      <c r="D84" s="105" t="s">
        <v>271</v>
      </c>
      <c r="E84" s="106">
        <v>0.1451388888888889</v>
      </c>
      <c r="F84" s="108">
        <v>211</v>
      </c>
      <c r="G84" s="192">
        <v>36.853563999999999</v>
      </c>
      <c r="H84" s="192">
        <v>11.867971000000001</v>
      </c>
      <c r="I84" s="105" t="s">
        <v>3583</v>
      </c>
      <c r="J84" s="105" t="s">
        <v>1007</v>
      </c>
      <c r="K84" s="105" t="s">
        <v>3450</v>
      </c>
      <c r="L84" s="105" t="s">
        <v>3467</v>
      </c>
      <c r="M84" s="74" t="s">
        <v>3547</v>
      </c>
      <c r="O84" s="104" t="s">
        <v>3548</v>
      </c>
    </row>
    <row r="85" spans="1:15">
      <c r="A85" s="105" t="s">
        <v>16</v>
      </c>
      <c r="B85" s="105" t="s">
        <v>252</v>
      </c>
      <c r="C85" s="112">
        <v>45978</v>
      </c>
      <c r="D85" s="105" t="s">
        <v>271</v>
      </c>
      <c r="E85" s="106">
        <v>0.1451388888888889</v>
      </c>
      <c r="F85" s="108">
        <v>211</v>
      </c>
      <c r="G85" s="192">
        <v>36.853563999999999</v>
      </c>
      <c r="H85" s="192">
        <v>11.867971000000001</v>
      </c>
      <c r="I85" s="105" t="s">
        <v>3584</v>
      </c>
      <c r="J85" s="105" t="s">
        <v>1007</v>
      </c>
      <c r="K85" s="105" t="s">
        <v>3450</v>
      </c>
      <c r="L85" s="105" t="s">
        <v>3467</v>
      </c>
      <c r="M85" s="74" t="s">
        <v>3585</v>
      </c>
      <c r="O85" s="104" t="s">
        <v>3548</v>
      </c>
    </row>
    <row r="86" spans="1:15">
      <c r="A86" s="105" t="s">
        <v>16</v>
      </c>
      <c r="B86" s="105" t="s">
        <v>252</v>
      </c>
      <c r="C86" s="112">
        <v>45978</v>
      </c>
      <c r="D86" s="105" t="s">
        <v>271</v>
      </c>
      <c r="E86" s="106">
        <v>0.1451388888888889</v>
      </c>
      <c r="F86" s="108">
        <v>211</v>
      </c>
      <c r="G86" s="192">
        <v>36.853563999999999</v>
      </c>
      <c r="H86" s="192">
        <v>11.867971000000001</v>
      </c>
      <c r="I86" s="105" t="s">
        <v>3586</v>
      </c>
      <c r="J86" s="105" t="s">
        <v>1007</v>
      </c>
      <c r="K86" s="105" t="s">
        <v>3455</v>
      </c>
      <c r="L86" s="105" t="s">
        <v>3467</v>
      </c>
      <c r="M86" s="74" t="s">
        <v>3547</v>
      </c>
      <c r="O86" s="104" t="s">
        <v>3548</v>
      </c>
    </row>
    <row r="87" spans="1:15">
      <c r="A87" s="105" t="s">
        <v>16</v>
      </c>
      <c r="B87" s="105" t="s">
        <v>252</v>
      </c>
      <c r="C87" s="112">
        <v>45978</v>
      </c>
      <c r="D87" s="105" t="s">
        <v>277</v>
      </c>
      <c r="E87" s="106">
        <v>0.43611111111111112</v>
      </c>
      <c r="F87" s="108">
        <v>488</v>
      </c>
      <c r="G87" s="192">
        <v>36.834316999999999</v>
      </c>
      <c r="H87" s="192">
        <v>11.878609000000001</v>
      </c>
      <c r="I87" s="105" t="s">
        <v>3587</v>
      </c>
      <c r="J87" s="183" t="s">
        <v>1070</v>
      </c>
      <c r="N87" s="107" t="s">
        <v>3465</v>
      </c>
    </row>
    <row r="88" spans="1:15">
      <c r="A88" s="105" t="s">
        <v>16</v>
      </c>
      <c r="B88" s="105" t="s">
        <v>252</v>
      </c>
      <c r="C88" s="112">
        <v>45978</v>
      </c>
      <c r="D88" s="105" t="s">
        <v>277</v>
      </c>
      <c r="E88" s="106">
        <v>0.43611111111111112</v>
      </c>
      <c r="F88" s="108">
        <v>488</v>
      </c>
      <c r="G88" s="192">
        <v>36.834316999999999</v>
      </c>
      <c r="H88" s="192">
        <v>11.878609000000001</v>
      </c>
      <c r="I88" s="105" t="s">
        <v>3588</v>
      </c>
      <c r="J88" s="105" t="s">
        <v>3589</v>
      </c>
      <c r="K88" s="105" t="s">
        <v>3450</v>
      </c>
      <c r="L88" s="105" t="s">
        <v>3590</v>
      </c>
      <c r="M88" s="74" t="s">
        <v>3591</v>
      </c>
      <c r="O88" s="104" t="s">
        <v>3548</v>
      </c>
    </row>
    <row r="89" spans="1:15">
      <c r="A89" s="105" t="s">
        <v>16</v>
      </c>
      <c r="B89" s="105" t="s">
        <v>252</v>
      </c>
      <c r="C89" s="112">
        <v>45979</v>
      </c>
      <c r="D89" s="105" t="s">
        <v>289</v>
      </c>
      <c r="E89" s="106">
        <v>45979.035693749996</v>
      </c>
      <c r="F89" s="108">
        <v>658</v>
      </c>
      <c r="G89" s="192">
        <v>36.835976000000002</v>
      </c>
      <c r="H89" s="192">
        <v>11.851107000000001</v>
      </c>
      <c r="I89" s="105" t="s">
        <v>3592</v>
      </c>
      <c r="J89" s="105" t="s">
        <v>3589</v>
      </c>
      <c r="K89" s="105" t="s">
        <v>3450</v>
      </c>
      <c r="L89" s="105" t="s">
        <v>1756</v>
      </c>
      <c r="M89" s="74" t="s">
        <v>3547</v>
      </c>
      <c r="O89" s="104" t="s">
        <v>3548</v>
      </c>
    </row>
    <row r="90" spans="1:15">
      <c r="A90" s="105" t="s">
        <v>16</v>
      </c>
      <c r="B90" s="105" t="s">
        <v>252</v>
      </c>
      <c r="C90" s="112">
        <v>45979</v>
      </c>
      <c r="D90" s="105" t="s">
        <v>289</v>
      </c>
      <c r="E90" s="106">
        <v>45979.035694444443</v>
      </c>
      <c r="F90" s="108">
        <v>658</v>
      </c>
      <c r="G90" s="192">
        <v>36.835976000000002</v>
      </c>
      <c r="H90" s="192">
        <v>11.851107000000001</v>
      </c>
      <c r="I90" s="105" t="s">
        <v>3593</v>
      </c>
      <c r="J90" s="105" t="s">
        <v>1007</v>
      </c>
      <c r="K90" s="105" t="s">
        <v>3472</v>
      </c>
      <c r="L90" s="105" t="s">
        <v>3594</v>
      </c>
      <c r="M90" s="74" t="s">
        <v>3547</v>
      </c>
      <c r="O90" s="104" t="s">
        <v>3548</v>
      </c>
    </row>
    <row r="91" spans="1:15">
      <c r="A91" s="105" t="s">
        <v>16</v>
      </c>
      <c r="B91" s="105" t="s">
        <v>252</v>
      </c>
      <c r="C91" s="112">
        <v>45979</v>
      </c>
      <c r="D91" s="105" t="s">
        <v>289</v>
      </c>
      <c r="E91" s="106">
        <v>45979.035694444443</v>
      </c>
      <c r="F91" s="108">
        <v>658</v>
      </c>
      <c r="G91" s="192">
        <v>36.835976000000002</v>
      </c>
      <c r="H91" s="192">
        <v>11.851107000000001</v>
      </c>
      <c r="I91" s="105" t="s">
        <v>3595</v>
      </c>
      <c r="J91" s="105" t="s">
        <v>1007</v>
      </c>
      <c r="K91" s="105" t="s">
        <v>3472</v>
      </c>
      <c r="L91" s="105" t="s">
        <v>3594</v>
      </c>
      <c r="M91" s="74" t="s">
        <v>3547</v>
      </c>
      <c r="O91" s="104" t="s">
        <v>3548</v>
      </c>
    </row>
    <row r="92" spans="1:15">
      <c r="A92" s="105" t="s">
        <v>16</v>
      </c>
      <c r="B92" s="105" t="s">
        <v>252</v>
      </c>
      <c r="C92" s="112">
        <v>45979</v>
      </c>
      <c r="D92" s="105" t="s">
        <v>289</v>
      </c>
      <c r="E92" s="106">
        <v>45979.035694444443</v>
      </c>
      <c r="F92" s="108">
        <v>658</v>
      </c>
      <c r="G92" s="192">
        <v>36.835976000000002</v>
      </c>
      <c r="H92" s="192">
        <v>11.851107000000001</v>
      </c>
      <c r="I92" s="105" t="s">
        <v>3596</v>
      </c>
      <c r="J92" s="105" t="s">
        <v>3589</v>
      </c>
      <c r="K92" s="105" t="s">
        <v>3450</v>
      </c>
      <c r="L92" s="105" t="s">
        <v>1368</v>
      </c>
      <c r="M92" s="74" t="s">
        <v>3597</v>
      </c>
      <c r="O92" s="104" t="s">
        <v>3548</v>
      </c>
    </row>
    <row r="93" spans="1:15">
      <c r="A93" s="105" t="s">
        <v>16</v>
      </c>
      <c r="B93" s="105" t="s">
        <v>295</v>
      </c>
      <c r="C93" s="112">
        <v>45979</v>
      </c>
      <c r="D93" s="105" t="s">
        <v>302</v>
      </c>
      <c r="E93" s="106">
        <v>45979.845387384259</v>
      </c>
      <c r="F93" s="108">
        <v>871</v>
      </c>
      <c r="G93" s="192">
        <v>36.749085999999998</v>
      </c>
      <c r="H93" s="192">
        <v>12.374079</v>
      </c>
      <c r="I93" s="109" t="s">
        <v>3598</v>
      </c>
      <c r="J93" s="183" t="s">
        <v>1070</v>
      </c>
      <c r="N93" s="107" t="s">
        <v>3465</v>
      </c>
    </row>
    <row r="94" spans="1:15">
      <c r="A94" s="105" t="s">
        <v>16</v>
      </c>
      <c r="B94" s="105" t="s">
        <v>295</v>
      </c>
      <c r="C94" s="112">
        <v>45980</v>
      </c>
      <c r="D94" s="105" t="s">
        <v>304</v>
      </c>
      <c r="E94" s="106">
        <v>45980.090146296294</v>
      </c>
      <c r="F94" s="108">
        <v>1170</v>
      </c>
      <c r="G94" s="192">
        <v>36.725509000000002</v>
      </c>
      <c r="H94" s="192">
        <v>12.404911</v>
      </c>
      <c r="I94" s="109" t="s">
        <v>3599</v>
      </c>
      <c r="J94" s="105" t="s">
        <v>3589</v>
      </c>
      <c r="K94" s="105" t="s">
        <v>3450</v>
      </c>
      <c r="L94" s="105" t="s">
        <v>3600</v>
      </c>
      <c r="M94" s="74" t="s">
        <v>3547</v>
      </c>
      <c r="O94" s="104" t="s">
        <v>3548</v>
      </c>
    </row>
    <row r="95" spans="1:15">
      <c r="A95" s="105" t="s">
        <v>16</v>
      </c>
      <c r="B95" s="105" t="s">
        <v>295</v>
      </c>
      <c r="C95" s="112">
        <v>45980</v>
      </c>
      <c r="D95" s="105" t="s">
        <v>304</v>
      </c>
      <c r="E95" s="106">
        <v>45980.090146296294</v>
      </c>
      <c r="F95" s="108">
        <v>1170</v>
      </c>
      <c r="G95" s="192">
        <v>36.725509000000002</v>
      </c>
      <c r="H95" s="192">
        <v>12.404911</v>
      </c>
      <c r="I95" s="109" t="s">
        <v>3601</v>
      </c>
      <c r="J95" s="105" t="s">
        <v>3589</v>
      </c>
      <c r="K95" s="105" t="s">
        <v>3450</v>
      </c>
      <c r="L95" s="105" t="s">
        <v>3600</v>
      </c>
      <c r="M95" s="74" t="s">
        <v>3547</v>
      </c>
      <c r="O95" s="104" t="s">
        <v>3548</v>
      </c>
    </row>
    <row r="96" spans="1:15">
      <c r="A96" s="105" t="s">
        <v>16</v>
      </c>
      <c r="B96" s="105" t="s">
        <v>307</v>
      </c>
      <c r="C96" s="112">
        <v>45981</v>
      </c>
      <c r="D96" s="105" t="s">
        <v>311</v>
      </c>
      <c r="E96" s="106">
        <v>45980.94226851852</v>
      </c>
      <c r="F96" s="108">
        <v>436</v>
      </c>
      <c r="G96" s="192">
        <v>37.922508999999998</v>
      </c>
      <c r="H96" s="192">
        <v>11.101309000000001</v>
      </c>
      <c r="I96" s="109" t="s">
        <v>3602</v>
      </c>
      <c r="J96" s="105" t="s">
        <v>1007</v>
      </c>
      <c r="K96" s="105" t="s">
        <v>3450</v>
      </c>
      <c r="L96" s="105" t="s">
        <v>3590</v>
      </c>
      <c r="M96" s="74" t="s">
        <v>3547</v>
      </c>
      <c r="O96" s="104" t="s">
        <v>3548</v>
      </c>
    </row>
    <row r="97" spans="1:15">
      <c r="A97" s="105" t="s">
        <v>16</v>
      </c>
      <c r="B97" s="105" t="s">
        <v>307</v>
      </c>
      <c r="C97" s="112">
        <v>45981</v>
      </c>
      <c r="D97" s="105" t="s">
        <v>315</v>
      </c>
      <c r="E97" s="106">
        <v>45980.069907407407</v>
      </c>
      <c r="F97" s="108">
        <v>274</v>
      </c>
      <c r="G97" s="192">
        <v>37.921447999999998</v>
      </c>
      <c r="H97" s="192">
        <v>11.064745</v>
      </c>
      <c r="I97" s="109" t="s">
        <v>3603</v>
      </c>
      <c r="J97" s="105" t="s">
        <v>1007</v>
      </c>
      <c r="K97" s="105" t="s">
        <v>3450</v>
      </c>
      <c r="L97" s="105" t="s">
        <v>1584</v>
      </c>
      <c r="M97" s="74" t="s">
        <v>3604</v>
      </c>
      <c r="O97" s="104" t="s">
        <v>3548</v>
      </c>
    </row>
    <row r="98" spans="1:15">
      <c r="A98" s="105" t="s">
        <v>16</v>
      </c>
      <c r="B98" s="105" t="s">
        <v>307</v>
      </c>
      <c r="C98" s="112">
        <v>45981</v>
      </c>
      <c r="D98" s="105" t="s">
        <v>315</v>
      </c>
      <c r="E98" s="106">
        <v>45980.069907407407</v>
      </c>
      <c r="F98" s="108">
        <v>274</v>
      </c>
      <c r="G98" s="192">
        <v>37.921447999999998</v>
      </c>
      <c r="H98" s="192">
        <v>11.064745</v>
      </c>
      <c r="I98" s="109" t="s">
        <v>3605</v>
      </c>
      <c r="J98" s="105" t="s">
        <v>1007</v>
      </c>
      <c r="K98" s="105" t="s">
        <v>3450</v>
      </c>
      <c r="L98" s="105" t="s">
        <v>1584</v>
      </c>
      <c r="M98" s="74" t="s">
        <v>3606</v>
      </c>
      <c r="O98" s="104" t="s">
        <v>3548</v>
      </c>
    </row>
    <row r="99" spans="1:15">
      <c r="A99" s="105" t="s">
        <v>16</v>
      </c>
      <c r="B99" s="105" t="s">
        <v>307</v>
      </c>
      <c r="C99" s="112">
        <v>45981</v>
      </c>
      <c r="D99" s="105" t="s">
        <v>3607</v>
      </c>
      <c r="E99" s="106">
        <v>0.51249999999999996</v>
      </c>
      <c r="F99" s="108">
        <v>179</v>
      </c>
      <c r="G99" s="192">
        <v>37.924965999999998</v>
      </c>
      <c r="H99" s="192">
        <v>11.02547</v>
      </c>
      <c r="I99" s="105" t="s">
        <v>3608</v>
      </c>
      <c r="J99" s="105" t="s">
        <v>1007</v>
      </c>
      <c r="K99" s="105" t="s">
        <v>3472</v>
      </c>
      <c r="L99" s="105" t="s">
        <v>1584</v>
      </c>
      <c r="M99" s="74" t="s">
        <v>3547</v>
      </c>
      <c r="O99" s="104" t="s">
        <v>3548</v>
      </c>
    </row>
    <row r="100" spans="1:15">
      <c r="A100" s="105" t="s">
        <v>16</v>
      </c>
      <c r="B100" s="105" t="s">
        <v>307</v>
      </c>
      <c r="C100" s="112">
        <v>45981</v>
      </c>
      <c r="D100" s="105" t="s">
        <v>3607</v>
      </c>
      <c r="E100" s="106">
        <v>0.51249999999999996</v>
      </c>
      <c r="F100" s="108">
        <v>179</v>
      </c>
      <c r="G100" s="192">
        <v>37.924965999999998</v>
      </c>
      <c r="H100" s="192">
        <v>11.02547</v>
      </c>
      <c r="I100" s="105" t="s">
        <v>3609</v>
      </c>
      <c r="J100" s="105" t="s">
        <v>1007</v>
      </c>
      <c r="K100" s="105" t="s">
        <v>3450</v>
      </c>
      <c r="L100" s="105" t="s">
        <v>1584</v>
      </c>
      <c r="M100" s="74" t="s">
        <v>3547</v>
      </c>
      <c r="O100" s="104" t="s">
        <v>3548</v>
      </c>
    </row>
    <row r="101" spans="1:15">
      <c r="A101" s="105" t="s">
        <v>16</v>
      </c>
      <c r="B101" s="105" t="s">
        <v>307</v>
      </c>
      <c r="C101" s="112">
        <v>45981</v>
      </c>
      <c r="D101" s="105" t="s">
        <v>3607</v>
      </c>
      <c r="E101" s="106">
        <v>0.51249999999999996</v>
      </c>
      <c r="F101" s="108">
        <v>179</v>
      </c>
      <c r="G101" s="192">
        <v>37.924965999999998</v>
      </c>
      <c r="H101" s="192">
        <v>11.02547</v>
      </c>
      <c r="I101" s="105" t="s">
        <v>3610</v>
      </c>
      <c r="J101" s="105" t="s">
        <v>1007</v>
      </c>
      <c r="K101" s="105" t="s">
        <v>3450</v>
      </c>
      <c r="L101" s="105" t="s">
        <v>1584</v>
      </c>
      <c r="M101" s="74" t="s">
        <v>3547</v>
      </c>
      <c r="O101" s="104" t="s">
        <v>3548</v>
      </c>
    </row>
    <row r="102" spans="1:15">
      <c r="A102" s="105" t="s">
        <v>16</v>
      </c>
      <c r="B102" s="105" t="s">
        <v>307</v>
      </c>
      <c r="C102" s="112">
        <v>45981</v>
      </c>
      <c r="D102" s="105" t="s">
        <v>3607</v>
      </c>
      <c r="E102" s="106">
        <v>0.53472222222222221</v>
      </c>
      <c r="F102" s="108">
        <v>162</v>
      </c>
      <c r="G102" s="192">
        <v>37.924300000000002</v>
      </c>
      <c r="H102" s="192">
        <v>11.025371</v>
      </c>
      <c r="I102" s="105" t="s">
        <v>3611</v>
      </c>
      <c r="J102" s="105" t="s">
        <v>3589</v>
      </c>
      <c r="K102" s="105" t="s">
        <v>3450</v>
      </c>
      <c r="L102" s="105" t="s">
        <v>1853</v>
      </c>
      <c r="M102" s="74" t="s">
        <v>3547</v>
      </c>
      <c r="O102" s="104" t="s">
        <v>3548</v>
      </c>
    </row>
    <row r="103" spans="1:15">
      <c r="A103" s="105" t="s">
        <v>16</v>
      </c>
      <c r="B103" s="105" t="s">
        <v>307</v>
      </c>
      <c r="C103" s="112">
        <v>45981</v>
      </c>
      <c r="D103" s="105" t="s">
        <v>3607</v>
      </c>
      <c r="E103" s="106">
        <v>0.54861111111111116</v>
      </c>
      <c r="F103" s="108">
        <v>154</v>
      </c>
      <c r="G103" s="192">
        <v>37.923937000000002</v>
      </c>
      <c r="H103" s="192">
        <v>11.025392999999999</v>
      </c>
      <c r="I103" s="105" t="s">
        <v>3612</v>
      </c>
      <c r="J103" s="105" t="s">
        <v>1007</v>
      </c>
      <c r="K103" s="105" t="s">
        <v>3450</v>
      </c>
      <c r="L103" s="105" t="s">
        <v>1853</v>
      </c>
      <c r="M103" s="74" t="s">
        <v>3547</v>
      </c>
      <c r="O103" s="104" t="s">
        <v>3548</v>
      </c>
    </row>
    <row r="104" spans="1:15">
      <c r="A104" s="105" t="s">
        <v>16</v>
      </c>
      <c r="B104" s="105" t="s">
        <v>307</v>
      </c>
      <c r="C104" s="112">
        <v>45981</v>
      </c>
      <c r="D104" s="105" t="s">
        <v>3607</v>
      </c>
      <c r="E104" s="106">
        <v>0.54861111111111116</v>
      </c>
      <c r="F104" s="108">
        <v>154</v>
      </c>
      <c r="G104" s="192">
        <v>37.924965999999998</v>
      </c>
      <c r="H104" s="192">
        <v>11.02547</v>
      </c>
      <c r="I104" s="105" t="s">
        <v>3613</v>
      </c>
      <c r="J104" s="105" t="s">
        <v>3589</v>
      </c>
      <c r="K104" s="105" t="s">
        <v>3450</v>
      </c>
      <c r="L104" s="105" t="s">
        <v>3614</v>
      </c>
      <c r="M104" s="74" t="s">
        <v>3547</v>
      </c>
      <c r="O104" s="104" t="s">
        <v>3548</v>
      </c>
    </row>
    <row r="105" spans="1:15">
      <c r="A105" s="105" t="s">
        <v>16</v>
      </c>
      <c r="B105" s="105" t="s">
        <v>307</v>
      </c>
      <c r="C105" s="112">
        <v>45981</v>
      </c>
      <c r="D105" s="105" t="s">
        <v>3607</v>
      </c>
      <c r="E105" s="106">
        <v>0.56666666666666665</v>
      </c>
      <c r="F105" s="108">
        <v>149</v>
      </c>
      <c r="G105" s="192">
        <v>37.923665999999997</v>
      </c>
      <c r="H105" s="192">
        <v>11.025079</v>
      </c>
      <c r="I105" s="105" t="s">
        <v>3615</v>
      </c>
      <c r="J105" s="105" t="s">
        <v>3589</v>
      </c>
      <c r="K105" s="105" t="s">
        <v>3472</v>
      </c>
      <c r="L105" s="105" t="s">
        <v>1584</v>
      </c>
      <c r="M105" s="74" t="s">
        <v>3547</v>
      </c>
      <c r="O105" s="104" t="s">
        <v>3548</v>
      </c>
    </row>
    <row r="106" spans="1:15">
      <c r="A106" s="105" t="s">
        <v>16</v>
      </c>
      <c r="B106" s="105" t="s">
        <v>307</v>
      </c>
      <c r="C106" s="112">
        <v>45981</v>
      </c>
      <c r="D106" s="105" t="s">
        <v>3607</v>
      </c>
      <c r="E106" s="106">
        <v>0.56666666666666665</v>
      </c>
      <c r="F106" s="108">
        <v>149</v>
      </c>
      <c r="G106" s="192">
        <v>37.923665999999997</v>
      </c>
      <c r="H106" s="192">
        <v>11.025079</v>
      </c>
      <c r="I106" s="105" t="s">
        <v>3616</v>
      </c>
      <c r="J106" s="105" t="s">
        <v>3589</v>
      </c>
      <c r="K106" s="105" t="s">
        <v>3450</v>
      </c>
      <c r="L106" s="105" t="s">
        <v>1584</v>
      </c>
      <c r="M106" s="74" t="s">
        <v>3547</v>
      </c>
      <c r="O106" s="104" t="s">
        <v>3548</v>
      </c>
    </row>
    <row r="107" spans="1:15">
      <c r="A107" s="105" t="s">
        <v>16</v>
      </c>
      <c r="B107" s="105" t="s">
        <v>307</v>
      </c>
      <c r="C107" s="112">
        <v>45981</v>
      </c>
      <c r="D107" s="105" t="s">
        <v>3607</v>
      </c>
      <c r="E107" s="106">
        <v>0.56666666666666665</v>
      </c>
      <c r="F107" s="108">
        <v>149</v>
      </c>
      <c r="G107" s="192">
        <v>37.923665999999997</v>
      </c>
      <c r="H107" s="192">
        <v>11.025079</v>
      </c>
      <c r="I107" s="105" t="s">
        <v>3617</v>
      </c>
      <c r="J107" s="105" t="s">
        <v>3589</v>
      </c>
      <c r="K107" s="105" t="s">
        <v>3450</v>
      </c>
      <c r="L107" s="105" t="s">
        <v>1584</v>
      </c>
      <c r="M107" s="74" t="s">
        <v>3547</v>
      </c>
      <c r="O107" s="104" t="s">
        <v>3548</v>
      </c>
    </row>
    <row r="108" spans="1:15">
      <c r="A108" s="105" t="s">
        <v>213</v>
      </c>
      <c r="B108" s="105" t="s">
        <v>214</v>
      </c>
      <c r="C108" s="112">
        <v>45982</v>
      </c>
      <c r="D108" s="105" t="s">
        <v>249</v>
      </c>
      <c r="E108" s="106">
        <v>3.1458333333333331E-2</v>
      </c>
      <c r="F108" s="108">
        <v>767</v>
      </c>
      <c r="G108" s="192">
        <v>38.630074</v>
      </c>
      <c r="H108" s="192">
        <v>12.168153</v>
      </c>
      <c r="I108" s="105" t="s">
        <v>3618</v>
      </c>
      <c r="J108" s="105" t="s">
        <v>3589</v>
      </c>
      <c r="K108" s="105" t="s">
        <v>3450</v>
      </c>
      <c r="L108" s="105" t="s">
        <v>1862</v>
      </c>
      <c r="M108" s="74" t="s">
        <v>3547</v>
      </c>
      <c r="O108" s="104" t="s">
        <v>3548</v>
      </c>
    </row>
    <row r="109" spans="1:15">
      <c r="A109" s="105" t="s">
        <v>213</v>
      </c>
      <c r="B109" s="105" t="s">
        <v>214</v>
      </c>
      <c r="C109" s="112">
        <v>45982</v>
      </c>
      <c r="D109" s="105" t="s">
        <v>336</v>
      </c>
      <c r="E109" s="56">
        <f t="shared" ref="E109:E111" ca="1" si="0">IF(F109&lt;&gt;0,IF(E109=0,NOW(),E109),)</f>
        <v>45982.236118287037</v>
      </c>
      <c r="F109" s="108">
        <v>697</v>
      </c>
      <c r="G109" s="192">
        <v>38.651335000000003</v>
      </c>
      <c r="H109" s="192">
        <v>12.140921000000001</v>
      </c>
      <c r="I109" s="105" t="s">
        <v>3619</v>
      </c>
      <c r="J109" s="105" t="s">
        <v>3589</v>
      </c>
      <c r="K109" s="105" t="s">
        <v>3450</v>
      </c>
      <c r="L109" s="105" t="s">
        <v>2040</v>
      </c>
      <c r="M109" s="74" t="s">
        <v>3547</v>
      </c>
      <c r="O109" s="104" t="s">
        <v>3548</v>
      </c>
    </row>
    <row r="110" spans="1:15">
      <c r="A110" s="105" t="s">
        <v>213</v>
      </c>
      <c r="B110" s="105" t="s">
        <v>214</v>
      </c>
      <c r="C110" s="112">
        <v>45982</v>
      </c>
      <c r="D110" s="105" t="s">
        <v>336</v>
      </c>
      <c r="E110" s="56">
        <f t="shared" ca="1" si="0"/>
        <v>45982.236118287037</v>
      </c>
      <c r="F110" s="108">
        <v>697</v>
      </c>
      <c r="G110" s="192">
        <v>38.651335000000003</v>
      </c>
      <c r="H110" s="192">
        <v>12.140921000000001</v>
      </c>
      <c r="I110" s="105" t="s">
        <v>3620</v>
      </c>
      <c r="J110" s="105" t="s">
        <v>3589</v>
      </c>
      <c r="K110" s="105" t="s">
        <v>3450</v>
      </c>
      <c r="L110" s="105" t="s">
        <v>2040</v>
      </c>
      <c r="M110" s="74" t="s">
        <v>3547</v>
      </c>
      <c r="O110" s="104" t="s">
        <v>3548</v>
      </c>
    </row>
    <row r="111" spans="1:15">
      <c r="A111" s="105" t="s">
        <v>213</v>
      </c>
      <c r="B111" s="105" t="s">
        <v>214</v>
      </c>
      <c r="C111" s="112">
        <v>45982</v>
      </c>
      <c r="D111" s="105" t="s">
        <v>336</v>
      </c>
      <c r="E111" s="56">
        <f t="shared" ca="1" si="0"/>
        <v>45982.236118287037</v>
      </c>
      <c r="F111" s="108">
        <v>697</v>
      </c>
      <c r="G111" s="192">
        <v>38.651335000000003</v>
      </c>
      <c r="H111" s="192">
        <v>12.140921000000001</v>
      </c>
      <c r="I111" s="105" t="s">
        <v>3621</v>
      </c>
      <c r="J111" s="105" t="s">
        <v>3589</v>
      </c>
      <c r="K111" s="105" t="s">
        <v>3450</v>
      </c>
      <c r="L111" s="105" t="s">
        <v>2040</v>
      </c>
      <c r="M111" s="74" t="s">
        <v>3547</v>
      </c>
      <c r="O111" s="104" t="s">
        <v>3548</v>
      </c>
    </row>
    <row r="112" spans="1:15">
      <c r="A112" s="105" t="s">
        <v>213</v>
      </c>
      <c r="B112" s="105" t="s">
        <v>214</v>
      </c>
      <c r="C112" s="112">
        <v>45982</v>
      </c>
      <c r="D112" s="105" t="s">
        <v>336</v>
      </c>
      <c r="E112" s="56">
        <v>0.28894675925925928</v>
      </c>
      <c r="F112" s="108">
        <v>695</v>
      </c>
      <c r="G112" s="192">
        <v>38.651513000000001</v>
      </c>
      <c r="H112" s="192">
        <v>12.140841</v>
      </c>
      <c r="I112" s="105" t="s">
        <v>3622</v>
      </c>
      <c r="J112" s="105" t="s">
        <v>3589</v>
      </c>
      <c r="K112" s="105" t="s">
        <v>3450</v>
      </c>
      <c r="L112" s="105" t="s">
        <v>2562</v>
      </c>
      <c r="M112" s="74" t="s">
        <v>3547</v>
      </c>
      <c r="O112" s="104" t="s">
        <v>3548</v>
      </c>
    </row>
    <row r="113" spans="1:15">
      <c r="A113" s="105" t="s">
        <v>213</v>
      </c>
      <c r="B113" s="105" t="s">
        <v>214</v>
      </c>
      <c r="C113" s="112">
        <v>45982</v>
      </c>
      <c r="D113" s="105" t="s">
        <v>336</v>
      </c>
      <c r="E113" s="56">
        <v>0.28894675925925928</v>
      </c>
      <c r="F113" s="108">
        <v>695</v>
      </c>
      <c r="G113" s="192">
        <v>38.651513000000001</v>
      </c>
      <c r="H113" s="192">
        <v>12.140841</v>
      </c>
      <c r="I113" s="105" t="s">
        <v>3623</v>
      </c>
      <c r="J113" s="105" t="s">
        <v>3589</v>
      </c>
      <c r="K113" s="105" t="s">
        <v>3450</v>
      </c>
      <c r="L113" s="105" t="s">
        <v>2562</v>
      </c>
      <c r="M113" s="74" t="s">
        <v>3547</v>
      </c>
      <c r="O113" s="104" t="s">
        <v>3548</v>
      </c>
    </row>
    <row r="114" spans="1:15">
      <c r="A114" s="105" t="s">
        <v>213</v>
      </c>
      <c r="B114" s="105" t="s">
        <v>214</v>
      </c>
      <c r="C114" s="112">
        <v>45982</v>
      </c>
      <c r="D114" s="105" t="s">
        <v>336</v>
      </c>
      <c r="E114" s="56">
        <v>0.28894675925925928</v>
      </c>
      <c r="F114" s="108">
        <v>695</v>
      </c>
      <c r="G114" s="192">
        <v>38.651513000000001</v>
      </c>
      <c r="H114" s="192">
        <v>12.140841</v>
      </c>
      <c r="I114" s="105" t="s">
        <v>3624</v>
      </c>
      <c r="J114" s="105" t="s">
        <v>3589</v>
      </c>
      <c r="K114" s="105" t="s">
        <v>3450</v>
      </c>
      <c r="L114" s="105" t="s">
        <v>2562</v>
      </c>
      <c r="M114" s="74" t="s">
        <v>3547</v>
      </c>
      <c r="O114" s="104" t="s">
        <v>3548</v>
      </c>
    </row>
    <row r="115" spans="1:15">
      <c r="A115" s="105" t="s">
        <v>213</v>
      </c>
      <c r="B115" s="105" t="s">
        <v>214</v>
      </c>
      <c r="C115" s="112">
        <v>45982</v>
      </c>
      <c r="D115" s="105" t="s">
        <v>336</v>
      </c>
      <c r="E115" s="56">
        <f t="shared" ref="E115:E120" ca="1" si="1">IF(F115&lt;&gt;0,IF(E115=0,NOW(),E115),)</f>
        <v>45982.316536458333</v>
      </c>
      <c r="F115" s="108">
        <v>694</v>
      </c>
      <c r="G115" s="192">
        <v>38.651660999999997</v>
      </c>
      <c r="H115" s="192">
        <v>12.140981</v>
      </c>
      <c r="I115" s="105" t="s">
        <v>3625</v>
      </c>
      <c r="J115" s="105" t="s">
        <v>3589</v>
      </c>
      <c r="K115" s="105" t="s">
        <v>3450</v>
      </c>
      <c r="L115" s="105" t="s">
        <v>3626</v>
      </c>
      <c r="M115" s="74" t="s">
        <v>3547</v>
      </c>
      <c r="O115" s="104" t="s">
        <v>3548</v>
      </c>
    </row>
    <row r="116" spans="1:15">
      <c r="A116" s="105" t="s">
        <v>213</v>
      </c>
      <c r="B116" s="105" t="s">
        <v>214</v>
      </c>
      <c r="C116" s="112">
        <v>45982</v>
      </c>
      <c r="D116" s="105" t="s">
        <v>336</v>
      </c>
      <c r="E116" s="56">
        <f t="shared" ca="1" si="1"/>
        <v>45982.316536458333</v>
      </c>
      <c r="F116" s="108">
        <v>694</v>
      </c>
      <c r="G116" s="192">
        <v>38.651660999999997</v>
      </c>
      <c r="H116" s="192">
        <v>12.140981</v>
      </c>
      <c r="I116" s="105" t="s">
        <v>3627</v>
      </c>
      <c r="J116" s="105" t="s">
        <v>3589</v>
      </c>
      <c r="K116" s="105" t="s">
        <v>3450</v>
      </c>
      <c r="L116" s="105" t="s">
        <v>3628</v>
      </c>
      <c r="M116" s="74" t="s">
        <v>3547</v>
      </c>
      <c r="O116" s="104" t="s">
        <v>3548</v>
      </c>
    </row>
    <row r="117" spans="1:15">
      <c r="A117" s="105" t="s">
        <v>213</v>
      </c>
      <c r="B117" s="105" t="s">
        <v>214</v>
      </c>
      <c r="C117" s="112">
        <v>45982</v>
      </c>
      <c r="D117" s="105" t="s">
        <v>336</v>
      </c>
      <c r="E117" s="56">
        <f t="shared" ca="1" si="1"/>
        <v>45982.316536458333</v>
      </c>
      <c r="F117" s="108">
        <v>694</v>
      </c>
      <c r="G117" s="192">
        <v>38.651660999999997</v>
      </c>
      <c r="H117" s="192">
        <v>12.140981</v>
      </c>
      <c r="I117" s="105" t="s">
        <v>3629</v>
      </c>
      <c r="J117" s="105" t="s">
        <v>3589</v>
      </c>
      <c r="K117" s="105" t="s">
        <v>3450</v>
      </c>
      <c r="L117" s="105" t="s">
        <v>3630</v>
      </c>
      <c r="M117" s="74" t="s">
        <v>3547</v>
      </c>
      <c r="O117" s="104" t="s">
        <v>3548</v>
      </c>
    </row>
    <row r="118" spans="1:15">
      <c r="A118" s="105" t="s">
        <v>213</v>
      </c>
      <c r="B118" s="105" t="s">
        <v>214</v>
      </c>
      <c r="C118" s="112">
        <v>45982</v>
      </c>
      <c r="D118" s="105" t="s">
        <v>336</v>
      </c>
      <c r="E118" s="56">
        <f t="shared" ca="1" si="1"/>
        <v>45982.316536458333</v>
      </c>
      <c r="F118" s="108">
        <v>694</v>
      </c>
      <c r="G118" s="192">
        <v>38.651660999999997</v>
      </c>
      <c r="H118" s="192">
        <v>12.140981</v>
      </c>
      <c r="I118" s="105" t="s">
        <v>3631</v>
      </c>
      <c r="J118" s="105" t="s">
        <v>3589</v>
      </c>
      <c r="K118" s="105" t="s">
        <v>3559</v>
      </c>
      <c r="L118" s="105" t="s">
        <v>3632</v>
      </c>
      <c r="M118" s="74" t="s">
        <v>3547</v>
      </c>
      <c r="O118" s="104" t="s">
        <v>3548</v>
      </c>
    </row>
    <row r="119" spans="1:15">
      <c r="A119" s="105" t="s">
        <v>213</v>
      </c>
      <c r="B119" s="105" t="s">
        <v>214</v>
      </c>
      <c r="C119" s="112">
        <v>45982</v>
      </c>
      <c r="D119" s="105" t="s">
        <v>339</v>
      </c>
      <c r="E119" s="56">
        <f t="shared" ca="1" si="1"/>
        <v>45982.451306481482</v>
      </c>
      <c r="F119" s="108">
        <v>833</v>
      </c>
      <c r="G119" s="192">
        <v>38.647095999999998</v>
      </c>
      <c r="H119" s="192">
        <v>12.115845</v>
      </c>
      <c r="I119" s="105" t="s">
        <v>3633</v>
      </c>
      <c r="J119" s="105" t="s">
        <v>3589</v>
      </c>
      <c r="K119" s="105" t="s">
        <v>3450</v>
      </c>
      <c r="L119" s="105" t="s">
        <v>3634</v>
      </c>
      <c r="M119" s="74" t="s">
        <v>3591</v>
      </c>
      <c r="O119" s="104" t="s">
        <v>3548</v>
      </c>
    </row>
    <row r="120" spans="1:15">
      <c r="A120" s="105" t="s">
        <v>213</v>
      </c>
      <c r="B120" s="105" t="s">
        <v>214</v>
      </c>
      <c r="C120" s="112">
        <v>45982</v>
      </c>
      <c r="D120" s="105" t="s">
        <v>339</v>
      </c>
      <c r="E120" s="56">
        <f t="shared" ca="1" si="1"/>
        <v>45982.519006481481</v>
      </c>
      <c r="F120" s="108">
        <v>725</v>
      </c>
      <c r="G120" s="192">
        <v>38.649822</v>
      </c>
      <c r="H120" s="192">
        <v>12.123042999999999</v>
      </c>
      <c r="I120" s="105" t="s">
        <v>3635</v>
      </c>
      <c r="J120" s="183" t="s">
        <v>1070</v>
      </c>
      <c r="N120" s="107" t="s">
        <v>3465</v>
      </c>
    </row>
    <row r="121" spans="1:15">
      <c r="A121" s="105" t="s">
        <v>213</v>
      </c>
      <c r="B121" s="105" t="s">
        <v>342</v>
      </c>
      <c r="C121" s="112">
        <v>45985</v>
      </c>
      <c r="D121" s="105" t="s">
        <v>350</v>
      </c>
      <c r="E121" s="56">
        <v>0.52305555555555561</v>
      </c>
      <c r="F121" s="108">
        <v>1287</v>
      </c>
      <c r="G121" s="192">
        <v>38.282051000000003</v>
      </c>
      <c r="H121" s="192">
        <v>14.155426</v>
      </c>
      <c r="I121" s="105" t="s">
        <v>3636</v>
      </c>
      <c r="J121" s="105" t="s">
        <v>1007</v>
      </c>
      <c r="K121" s="105" t="s">
        <v>3559</v>
      </c>
      <c r="L121" s="105" t="s">
        <v>3637</v>
      </c>
      <c r="M121" s="74" t="s">
        <v>3591</v>
      </c>
      <c r="O121" s="104" t="s">
        <v>3548</v>
      </c>
    </row>
    <row r="122" spans="1:15">
      <c r="A122" s="105" t="s">
        <v>213</v>
      </c>
      <c r="B122" s="105" t="s">
        <v>342</v>
      </c>
      <c r="C122" s="112">
        <v>45985</v>
      </c>
      <c r="D122" s="105" t="s">
        <v>350</v>
      </c>
      <c r="E122" s="56">
        <v>0.52305555555555561</v>
      </c>
      <c r="F122" s="108">
        <v>1287</v>
      </c>
      <c r="G122" s="192">
        <v>38.282051000000003</v>
      </c>
      <c r="H122" s="192">
        <v>14.155426</v>
      </c>
      <c r="I122" s="105" t="s">
        <v>3638</v>
      </c>
      <c r="J122" s="105" t="s">
        <v>1007</v>
      </c>
      <c r="K122" s="105" t="s">
        <v>3450</v>
      </c>
      <c r="L122" s="105" t="s">
        <v>3637</v>
      </c>
      <c r="M122" s="74" t="s">
        <v>3591</v>
      </c>
      <c r="O122" s="104" t="s">
        <v>3548</v>
      </c>
    </row>
    <row r="123" spans="1:15">
      <c r="A123" s="105" t="s">
        <v>213</v>
      </c>
      <c r="B123" s="105" t="s">
        <v>364</v>
      </c>
      <c r="C123" s="112">
        <v>45988</v>
      </c>
      <c r="D123" s="105" t="s">
        <v>365</v>
      </c>
      <c r="E123" s="56">
        <v>6.2152777777777779E-2</v>
      </c>
      <c r="F123" s="108">
        <v>1324</v>
      </c>
      <c r="G123" s="192">
        <v>38.481307999999999</v>
      </c>
      <c r="H123" s="192">
        <v>13.853908000000001</v>
      </c>
      <c r="I123" s="105" t="s">
        <v>3639</v>
      </c>
      <c r="J123" s="183" t="s">
        <v>1070</v>
      </c>
      <c r="N123" s="107" t="s">
        <v>3465</v>
      </c>
    </row>
    <row r="124" spans="1:15">
      <c r="A124" s="105" t="s">
        <v>213</v>
      </c>
      <c r="B124" s="105" t="s">
        <v>364</v>
      </c>
      <c r="C124" s="112">
        <v>45988</v>
      </c>
      <c r="D124" s="105" t="s">
        <v>369</v>
      </c>
      <c r="E124" s="56">
        <v>0.33957175925925925</v>
      </c>
      <c r="F124" s="108">
        <v>1202</v>
      </c>
      <c r="G124" s="192">
        <v>38.517283999999997</v>
      </c>
      <c r="H124" s="192">
        <v>13.784682999999999</v>
      </c>
      <c r="I124" s="105" t="s">
        <v>3640</v>
      </c>
      <c r="J124" s="105" t="s">
        <v>3589</v>
      </c>
      <c r="K124" s="105" t="s">
        <v>3450</v>
      </c>
      <c r="L124" s="105" t="s">
        <v>2040</v>
      </c>
      <c r="M124" s="74" t="s">
        <v>3547</v>
      </c>
      <c r="O124" s="104" t="s">
        <v>3548</v>
      </c>
    </row>
    <row r="125" spans="1:15">
      <c r="A125" s="105" t="s">
        <v>213</v>
      </c>
      <c r="B125" s="105" t="s">
        <v>364</v>
      </c>
      <c r="C125" s="112">
        <v>45988</v>
      </c>
      <c r="D125" s="105" t="s">
        <v>369</v>
      </c>
      <c r="E125" s="56">
        <v>0.33957175925925925</v>
      </c>
      <c r="F125" s="108">
        <v>1202</v>
      </c>
      <c r="G125" s="192">
        <v>38.517283999999997</v>
      </c>
      <c r="H125" s="192">
        <v>13.784682999999999</v>
      </c>
      <c r="I125" s="105" t="s">
        <v>3641</v>
      </c>
      <c r="J125" s="105" t="s">
        <v>3589</v>
      </c>
      <c r="K125" s="105" t="s">
        <v>3450</v>
      </c>
      <c r="L125" s="105" t="s">
        <v>2040</v>
      </c>
      <c r="M125" s="74" t="s">
        <v>3547</v>
      </c>
      <c r="O125" s="104" t="s">
        <v>3548</v>
      </c>
    </row>
    <row r="126" spans="1:15">
      <c r="A126" s="105" t="s">
        <v>213</v>
      </c>
      <c r="B126" s="105" t="s">
        <v>364</v>
      </c>
      <c r="C126" s="112">
        <v>45988</v>
      </c>
      <c r="D126" s="105" t="s">
        <v>369</v>
      </c>
      <c r="E126" s="56">
        <v>0.33957175925925925</v>
      </c>
      <c r="F126" s="108">
        <v>1202</v>
      </c>
      <c r="G126" s="192">
        <v>38.517283999999997</v>
      </c>
      <c r="H126" s="192">
        <v>13.784682999999999</v>
      </c>
      <c r="I126" s="105" t="s">
        <v>3642</v>
      </c>
      <c r="J126" s="105" t="s">
        <v>3589</v>
      </c>
      <c r="K126" s="105" t="s">
        <v>3450</v>
      </c>
      <c r="L126" s="105" t="s">
        <v>2040</v>
      </c>
      <c r="M126" s="74" t="s">
        <v>3547</v>
      </c>
      <c r="O126" s="104" t="s">
        <v>3548</v>
      </c>
    </row>
    <row r="127" spans="1:15">
      <c r="A127" s="105" t="s">
        <v>213</v>
      </c>
      <c r="B127" s="105" t="s">
        <v>364</v>
      </c>
      <c r="C127" s="112">
        <v>45988</v>
      </c>
      <c r="D127" s="105" t="s">
        <v>369</v>
      </c>
      <c r="E127" s="56">
        <v>0.34887731481481482</v>
      </c>
      <c r="F127" s="108">
        <v>1196</v>
      </c>
      <c r="G127" s="192">
        <v>38.517249</v>
      </c>
      <c r="H127" s="192">
        <v>13.784794</v>
      </c>
      <c r="I127" s="105" t="s">
        <v>3643</v>
      </c>
      <c r="J127" s="105" t="s">
        <v>3589</v>
      </c>
      <c r="K127" s="105" t="s">
        <v>3450</v>
      </c>
      <c r="L127" s="105" t="s">
        <v>3400</v>
      </c>
      <c r="M127" s="74" t="s">
        <v>3547</v>
      </c>
      <c r="O127" s="104" t="s">
        <v>3548</v>
      </c>
    </row>
    <row r="128" spans="1:15">
      <c r="A128" s="105" t="s">
        <v>213</v>
      </c>
      <c r="B128" s="105" t="s">
        <v>364</v>
      </c>
      <c r="C128" s="112">
        <v>45988</v>
      </c>
      <c r="D128" s="105" t="s">
        <v>369</v>
      </c>
      <c r="E128" s="56">
        <v>0.34887731481481482</v>
      </c>
      <c r="F128" s="108">
        <v>1196</v>
      </c>
      <c r="G128" s="192">
        <v>38.517249</v>
      </c>
      <c r="H128" s="192">
        <v>13.784794</v>
      </c>
      <c r="I128" s="105" t="s">
        <v>3644</v>
      </c>
      <c r="J128" s="105" t="s">
        <v>3589</v>
      </c>
      <c r="K128" s="105" t="s">
        <v>3472</v>
      </c>
      <c r="L128" s="105" t="s">
        <v>3400</v>
      </c>
      <c r="M128" s="74" t="s">
        <v>3547</v>
      </c>
      <c r="O128" s="104" t="s">
        <v>3548</v>
      </c>
    </row>
    <row r="129" spans="1:15">
      <c r="A129" s="105" t="s">
        <v>213</v>
      </c>
      <c r="B129" s="105" t="s">
        <v>364</v>
      </c>
      <c r="C129" s="112">
        <v>45988</v>
      </c>
      <c r="D129" s="105" t="s">
        <v>369</v>
      </c>
      <c r="E129" s="56">
        <v>0.34887731481481499</v>
      </c>
      <c r="F129" s="108">
        <v>1196</v>
      </c>
      <c r="G129" s="192">
        <v>38.517249</v>
      </c>
      <c r="H129" s="192">
        <v>13.784794</v>
      </c>
      <c r="I129" s="105" t="s">
        <v>3645</v>
      </c>
      <c r="J129" s="105" t="s">
        <v>3589</v>
      </c>
      <c r="K129" s="105" t="s">
        <v>3450</v>
      </c>
      <c r="L129" s="105" t="s">
        <v>3400</v>
      </c>
      <c r="M129" s="74" t="s">
        <v>3547</v>
      </c>
      <c r="O129" s="104" t="s">
        <v>3548</v>
      </c>
    </row>
    <row r="130" spans="1:15">
      <c r="A130" s="105" t="s">
        <v>213</v>
      </c>
      <c r="B130" s="105" t="s">
        <v>364</v>
      </c>
      <c r="C130" s="112">
        <v>45988</v>
      </c>
      <c r="D130" s="105" t="s">
        <v>369</v>
      </c>
      <c r="E130" s="56">
        <v>0.34887731481481499</v>
      </c>
      <c r="F130" s="108">
        <v>1196</v>
      </c>
      <c r="G130" s="192">
        <v>38.517249</v>
      </c>
      <c r="H130" s="192">
        <v>13.784794</v>
      </c>
      <c r="I130" s="105" t="s">
        <v>3646</v>
      </c>
      <c r="J130" s="105" t="s">
        <v>3589</v>
      </c>
      <c r="K130" s="105" t="s">
        <v>3472</v>
      </c>
      <c r="L130" s="105" t="s">
        <v>3400</v>
      </c>
      <c r="M130" s="74" t="s">
        <v>3547</v>
      </c>
      <c r="O130" s="104" t="s">
        <v>3548</v>
      </c>
    </row>
    <row r="131" spans="1:15">
      <c r="A131" s="105" t="s">
        <v>213</v>
      </c>
      <c r="B131" s="105" t="s">
        <v>364</v>
      </c>
      <c r="C131" s="112">
        <v>45988</v>
      </c>
      <c r="D131" s="105" t="s">
        <v>369</v>
      </c>
      <c r="E131" s="56">
        <v>0.34887731481481499</v>
      </c>
      <c r="F131" s="108">
        <v>1196</v>
      </c>
      <c r="G131" s="192">
        <v>38.517249</v>
      </c>
      <c r="H131" s="192">
        <v>13.784794</v>
      </c>
      <c r="I131" s="105" t="s">
        <v>3647</v>
      </c>
      <c r="J131" s="105" t="s">
        <v>3589</v>
      </c>
      <c r="K131" s="105" t="s">
        <v>3472</v>
      </c>
      <c r="L131" s="105" t="s">
        <v>3400</v>
      </c>
      <c r="M131" s="74" t="s">
        <v>3547</v>
      </c>
      <c r="O131" s="104" t="s">
        <v>3548</v>
      </c>
    </row>
    <row r="132" spans="1:15">
      <c r="A132" s="105" t="s">
        <v>213</v>
      </c>
      <c r="B132" s="105" t="s">
        <v>364</v>
      </c>
      <c r="C132" s="112">
        <v>45988</v>
      </c>
      <c r="D132" s="105" t="s">
        <v>369</v>
      </c>
      <c r="E132" s="56">
        <v>0.5266319444444445</v>
      </c>
      <c r="F132" s="108">
        <v>1094</v>
      </c>
      <c r="G132" s="192">
        <v>38.508367</v>
      </c>
      <c r="H132" s="192">
        <v>13.796666</v>
      </c>
      <c r="I132" s="105" t="s">
        <v>3648</v>
      </c>
      <c r="J132" s="105" t="s">
        <v>3589</v>
      </c>
      <c r="K132" s="105" t="s">
        <v>3450</v>
      </c>
      <c r="L132" s="105" t="s">
        <v>3649</v>
      </c>
      <c r="M132" s="74" t="s">
        <v>3547</v>
      </c>
      <c r="O132" s="104" t="s">
        <v>3548</v>
      </c>
    </row>
    <row r="133" spans="1:15">
      <c r="A133" s="105" t="s">
        <v>213</v>
      </c>
      <c r="B133" s="105" t="s">
        <v>364</v>
      </c>
      <c r="C133" s="112">
        <v>45988</v>
      </c>
      <c r="D133" s="105" t="s">
        <v>369</v>
      </c>
      <c r="E133" s="56">
        <v>0.5266319444444445</v>
      </c>
      <c r="F133" s="108">
        <v>1094</v>
      </c>
      <c r="G133" s="192">
        <v>38.508367</v>
      </c>
      <c r="H133" s="192">
        <v>13.796666</v>
      </c>
      <c r="I133" s="105" t="s">
        <v>3650</v>
      </c>
      <c r="J133" s="105" t="s">
        <v>3589</v>
      </c>
      <c r="K133" s="105" t="s">
        <v>3450</v>
      </c>
      <c r="L133" s="105" t="s">
        <v>3649</v>
      </c>
      <c r="M133" s="74" t="s">
        <v>3547</v>
      </c>
      <c r="O133" s="104" t="s">
        <v>3548</v>
      </c>
    </row>
    <row r="134" spans="1:15">
      <c r="A134" s="105" t="s">
        <v>213</v>
      </c>
      <c r="B134" s="105" t="s">
        <v>364</v>
      </c>
      <c r="C134" s="112">
        <v>45988</v>
      </c>
      <c r="D134" s="105" t="s">
        <v>369</v>
      </c>
      <c r="E134" s="56">
        <v>0.5266319444444445</v>
      </c>
      <c r="F134" s="108">
        <v>1094</v>
      </c>
      <c r="G134" s="192">
        <v>38.508367</v>
      </c>
      <c r="H134" s="192">
        <v>13.796666</v>
      </c>
      <c r="I134" s="105" t="s">
        <v>3651</v>
      </c>
      <c r="J134" s="105" t="s">
        <v>3589</v>
      </c>
      <c r="K134" s="105" t="s">
        <v>3450</v>
      </c>
      <c r="L134" s="105" t="s">
        <v>3649</v>
      </c>
      <c r="M134" s="74" t="s">
        <v>3547</v>
      </c>
      <c r="O134" s="104" t="s">
        <v>3548</v>
      </c>
    </row>
    <row r="135" spans="1:15">
      <c r="A135" s="105" t="s">
        <v>213</v>
      </c>
      <c r="B135" s="105" t="s">
        <v>364</v>
      </c>
      <c r="C135" s="112">
        <v>45988</v>
      </c>
      <c r="D135" s="105" t="s">
        <v>372</v>
      </c>
      <c r="E135" s="56">
        <v>0.78129629629629627</v>
      </c>
      <c r="F135" s="108">
        <v>857</v>
      </c>
      <c r="G135" s="192">
        <v>38.460884999999998</v>
      </c>
      <c r="H135" s="192">
        <v>13.707252</v>
      </c>
      <c r="I135" s="105" t="s">
        <v>3652</v>
      </c>
      <c r="J135" s="105" t="s">
        <v>3589</v>
      </c>
      <c r="K135" s="105" t="s">
        <v>3450</v>
      </c>
      <c r="L135" s="105" t="s">
        <v>2040</v>
      </c>
      <c r="M135" s="74" t="s">
        <v>3547</v>
      </c>
      <c r="O135" s="104" t="s">
        <v>3548</v>
      </c>
    </row>
    <row r="136" spans="1:15">
      <c r="A136" s="105" t="s">
        <v>213</v>
      </c>
      <c r="B136" s="105" t="s">
        <v>364</v>
      </c>
      <c r="C136" s="112">
        <v>45988</v>
      </c>
      <c r="D136" s="105" t="s">
        <v>372</v>
      </c>
      <c r="E136" s="56">
        <v>0.78129629629629627</v>
      </c>
      <c r="F136" s="108">
        <v>857</v>
      </c>
      <c r="G136" s="192">
        <v>38.460884999999998</v>
      </c>
      <c r="H136" s="192">
        <v>13.707252</v>
      </c>
      <c r="I136" s="105" t="s">
        <v>3653</v>
      </c>
      <c r="J136" s="105" t="s">
        <v>3589</v>
      </c>
      <c r="K136" s="105" t="s">
        <v>3450</v>
      </c>
      <c r="L136" s="105" t="s">
        <v>2040</v>
      </c>
      <c r="M136" s="74" t="s">
        <v>3547</v>
      </c>
      <c r="O136" s="104" t="s">
        <v>3548</v>
      </c>
    </row>
    <row r="137" spans="1:15">
      <c r="A137" s="105" t="s">
        <v>213</v>
      </c>
      <c r="B137" s="105" t="s">
        <v>364</v>
      </c>
      <c r="C137" s="112">
        <v>45989</v>
      </c>
      <c r="D137" s="105" t="s">
        <v>375</v>
      </c>
      <c r="E137" s="56">
        <v>0.97212962962962968</v>
      </c>
      <c r="F137" s="108">
        <v>803</v>
      </c>
      <c r="G137" s="192">
        <v>38.424084999999998</v>
      </c>
      <c r="H137" s="192">
        <v>13.749639999999999</v>
      </c>
      <c r="I137" s="105" t="s">
        <v>3654</v>
      </c>
      <c r="J137" s="105" t="s">
        <v>3589</v>
      </c>
      <c r="K137" s="105" t="s">
        <v>3450</v>
      </c>
      <c r="L137" s="105" t="s">
        <v>3655</v>
      </c>
      <c r="M137" s="74" t="s">
        <v>3547</v>
      </c>
      <c r="O137" s="104" t="s">
        <v>3548</v>
      </c>
    </row>
    <row r="138" spans="1:15">
      <c r="A138" s="105" t="s">
        <v>213</v>
      </c>
      <c r="B138" s="105" t="s">
        <v>364</v>
      </c>
      <c r="C138" s="112">
        <v>45989</v>
      </c>
      <c r="D138" s="105" t="s">
        <v>375</v>
      </c>
      <c r="E138" s="56">
        <v>0.97212962962962968</v>
      </c>
      <c r="F138" s="108">
        <v>803</v>
      </c>
      <c r="G138" s="192">
        <v>38.424084999999998</v>
      </c>
      <c r="H138" s="192">
        <v>13.749639999999999</v>
      </c>
      <c r="I138" s="105" t="s">
        <v>3656</v>
      </c>
      <c r="J138" s="105" t="s">
        <v>3589</v>
      </c>
      <c r="K138" s="105" t="s">
        <v>3450</v>
      </c>
      <c r="L138" s="105" t="s">
        <v>3655</v>
      </c>
      <c r="M138" s="74" t="s">
        <v>3547</v>
      </c>
      <c r="O138" s="104" t="s">
        <v>3548</v>
      </c>
    </row>
    <row r="139" spans="1:15">
      <c r="A139" s="105" t="s">
        <v>213</v>
      </c>
      <c r="B139" s="105" t="s">
        <v>364</v>
      </c>
      <c r="C139" s="112">
        <v>45989</v>
      </c>
      <c r="D139" s="105" t="s">
        <v>383</v>
      </c>
      <c r="E139" s="106">
        <v>45989.642849074073</v>
      </c>
      <c r="F139" s="108">
        <v>1340</v>
      </c>
      <c r="G139" s="192">
        <v>38.439424000000002</v>
      </c>
      <c r="H139" s="192">
        <v>13.546283000000001</v>
      </c>
      <c r="I139" s="105" t="s">
        <v>3657</v>
      </c>
      <c r="J139" s="105" t="s">
        <v>3589</v>
      </c>
      <c r="K139" s="105" t="s">
        <v>3450</v>
      </c>
      <c r="L139" s="105" t="s">
        <v>3658</v>
      </c>
      <c r="M139" s="74" t="s">
        <v>3659</v>
      </c>
      <c r="O139" s="104" t="s">
        <v>3548</v>
      </c>
    </row>
    <row r="140" spans="1:15">
      <c r="A140" s="105" t="s">
        <v>213</v>
      </c>
      <c r="B140" s="105" t="s">
        <v>364</v>
      </c>
      <c r="C140" s="112">
        <v>45989</v>
      </c>
      <c r="D140" s="105" t="s">
        <v>383</v>
      </c>
      <c r="E140" s="106">
        <v>45989.642849074073</v>
      </c>
      <c r="F140" s="108">
        <v>1340</v>
      </c>
      <c r="G140" s="192">
        <v>38.439424000000002</v>
      </c>
      <c r="H140" s="192">
        <v>13.546283000000001</v>
      </c>
      <c r="I140" s="105" t="s">
        <v>3660</v>
      </c>
      <c r="J140" s="105" t="s">
        <v>3589</v>
      </c>
      <c r="K140" s="105" t="s">
        <v>3472</v>
      </c>
      <c r="L140" s="105" t="s">
        <v>3658</v>
      </c>
      <c r="M140" s="74" t="s">
        <v>3659</v>
      </c>
      <c r="O140" s="104" t="s">
        <v>3548</v>
      </c>
    </row>
    <row r="141" spans="1:15">
      <c r="A141" s="105" t="s">
        <v>213</v>
      </c>
      <c r="B141" s="105" t="s">
        <v>364</v>
      </c>
      <c r="C141" s="112">
        <v>45989</v>
      </c>
      <c r="D141" s="105" t="s">
        <v>383</v>
      </c>
      <c r="E141" s="106">
        <v>45989.642849074073</v>
      </c>
      <c r="F141" s="108">
        <v>1340</v>
      </c>
      <c r="G141" s="192">
        <v>38.439424000000002</v>
      </c>
      <c r="H141" s="192">
        <v>13.546283000000001</v>
      </c>
      <c r="I141" s="105" t="s">
        <v>3661</v>
      </c>
      <c r="J141" s="105" t="s">
        <v>3589</v>
      </c>
      <c r="K141" s="105" t="s">
        <v>3450</v>
      </c>
      <c r="L141" s="105" t="s">
        <v>3662</v>
      </c>
      <c r="M141" s="74" t="s">
        <v>3663</v>
      </c>
      <c r="O141" s="104" t="s">
        <v>3548</v>
      </c>
    </row>
    <row r="142" spans="1:15">
      <c r="A142" s="105" t="s">
        <v>213</v>
      </c>
      <c r="B142" s="105" t="s">
        <v>364</v>
      </c>
      <c r="C142" s="112">
        <v>45989</v>
      </c>
      <c r="D142" s="105" t="s">
        <v>383</v>
      </c>
      <c r="E142" s="106">
        <v>45989.642849074073</v>
      </c>
      <c r="F142" s="108">
        <v>1340</v>
      </c>
      <c r="G142" s="192">
        <v>38.439424000000002</v>
      </c>
      <c r="H142" s="192">
        <v>13.546283000000001</v>
      </c>
      <c r="I142" s="105" t="s">
        <v>3664</v>
      </c>
      <c r="J142" s="105" t="s">
        <v>3589</v>
      </c>
      <c r="K142" s="105" t="s">
        <v>3450</v>
      </c>
      <c r="L142" s="105" t="s">
        <v>3662</v>
      </c>
      <c r="M142" s="74" t="s">
        <v>3663</v>
      </c>
      <c r="O142" s="104" t="s">
        <v>3548</v>
      </c>
    </row>
    <row r="143" spans="1:15">
      <c r="A143" s="105" t="s">
        <v>213</v>
      </c>
      <c r="B143" s="105" t="s">
        <v>364</v>
      </c>
      <c r="C143" s="112">
        <v>45989</v>
      </c>
      <c r="D143" s="105" t="s">
        <v>383</v>
      </c>
      <c r="E143" s="106">
        <v>45989.642849074073</v>
      </c>
      <c r="F143" s="108">
        <v>1340</v>
      </c>
      <c r="G143" s="192">
        <v>38.439424000000002</v>
      </c>
      <c r="H143" s="192">
        <v>13.546283000000001</v>
      </c>
      <c r="I143" s="105" t="s">
        <v>3665</v>
      </c>
      <c r="J143" s="105" t="s">
        <v>3589</v>
      </c>
      <c r="K143" s="105" t="s">
        <v>3450</v>
      </c>
      <c r="L143" s="105" t="s">
        <v>3662</v>
      </c>
      <c r="M143" s="74" t="s">
        <v>3663</v>
      </c>
      <c r="O143" s="104" t="s">
        <v>3548</v>
      </c>
    </row>
    <row r="144" spans="1:15">
      <c r="A144" s="105" t="s">
        <v>213</v>
      </c>
      <c r="B144" s="105" t="s">
        <v>364</v>
      </c>
      <c r="C144" s="112">
        <v>45989</v>
      </c>
      <c r="D144" s="105" t="s">
        <v>383</v>
      </c>
      <c r="E144" s="106">
        <v>45989.669462962964</v>
      </c>
      <c r="F144" s="108">
        <v>1331</v>
      </c>
      <c r="G144" s="192">
        <v>38.438546000000002</v>
      </c>
      <c r="H144" s="192">
        <v>13.546158</v>
      </c>
      <c r="I144" s="105" t="s">
        <v>3666</v>
      </c>
      <c r="J144" s="105" t="s">
        <v>3589</v>
      </c>
      <c r="K144" s="105" t="s">
        <v>3450</v>
      </c>
      <c r="L144" s="105" t="s">
        <v>942</v>
      </c>
      <c r="M144" s="74" t="s">
        <v>3591</v>
      </c>
      <c r="O144" s="104" t="s">
        <v>3548</v>
      </c>
    </row>
    <row r="145" spans="1:15">
      <c r="A145" s="105" t="s">
        <v>213</v>
      </c>
      <c r="B145" s="105" t="s">
        <v>364</v>
      </c>
      <c r="C145" s="112">
        <v>45989</v>
      </c>
      <c r="D145" s="105" t="s">
        <v>383</v>
      </c>
      <c r="E145" s="106">
        <v>45989.680836342595</v>
      </c>
      <c r="F145" s="108">
        <v>1331</v>
      </c>
      <c r="G145" s="192">
        <v>38.438538999999999</v>
      </c>
      <c r="H145" s="192">
        <v>13.54617</v>
      </c>
      <c r="I145" s="105" t="s">
        <v>3667</v>
      </c>
      <c r="J145" s="105" t="s">
        <v>3589</v>
      </c>
      <c r="K145" s="105" t="s">
        <v>3450</v>
      </c>
      <c r="L145" s="105" t="s">
        <v>3668</v>
      </c>
      <c r="M145" s="74" t="s">
        <v>3547</v>
      </c>
      <c r="O145" s="104" t="s">
        <v>3548</v>
      </c>
    </row>
    <row r="146" spans="1:15">
      <c r="A146" s="105" t="s">
        <v>213</v>
      </c>
      <c r="B146" s="105" t="s">
        <v>364</v>
      </c>
      <c r="C146" s="112">
        <v>45989</v>
      </c>
      <c r="D146" s="105" t="s">
        <v>383</v>
      </c>
      <c r="E146" s="106">
        <v>45989.680836342595</v>
      </c>
      <c r="F146" s="108">
        <v>1331</v>
      </c>
      <c r="G146" s="192">
        <v>38.438538999999999</v>
      </c>
      <c r="H146" s="192">
        <v>13.54617</v>
      </c>
      <c r="I146" s="105" t="s">
        <v>3669</v>
      </c>
      <c r="J146" s="105" t="s">
        <v>3589</v>
      </c>
      <c r="K146" s="105" t="s">
        <v>3450</v>
      </c>
      <c r="L146" s="105" t="s">
        <v>3668</v>
      </c>
      <c r="M146" s="74" t="s">
        <v>3547</v>
      </c>
      <c r="O146" s="104" t="s">
        <v>3548</v>
      </c>
    </row>
    <row r="147" spans="1:15">
      <c r="A147" s="105" t="s">
        <v>213</v>
      </c>
      <c r="B147" s="105" t="s">
        <v>364</v>
      </c>
      <c r="C147" s="112">
        <v>45989</v>
      </c>
      <c r="D147" s="105" t="s">
        <v>383</v>
      </c>
      <c r="E147" s="106">
        <v>45989.680836342595</v>
      </c>
      <c r="F147" s="108">
        <v>1331</v>
      </c>
      <c r="G147" s="192">
        <v>38.438538999999999</v>
      </c>
      <c r="H147" s="192">
        <v>13.54617</v>
      </c>
      <c r="I147" s="105" t="s">
        <v>3670</v>
      </c>
      <c r="J147" s="105" t="s">
        <v>3589</v>
      </c>
      <c r="K147" s="105" t="s">
        <v>3450</v>
      </c>
      <c r="L147" s="105" t="s">
        <v>3668</v>
      </c>
      <c r="M147" s="74" t="s">
        <v>3547</v>
      </c>
      <c r="O147" s="104" t="s">
        <v>3548</v>
      </c>
    </row>
    <row r="148" spans="1:15">
      <c r="A148" s="105" t="s">
        <v>213</v>
      </c>
      <c r="B148" s="105" t="s">
        <v>364</v>
      </c>
      <c r="C148" s="112">
        <v>45989</v>
      </c>
      <c r="D148" s="105" t="s">
        <v>383</v>
      </c>
      <c r="E148" s="106">
        <v>45989.680836342595</v>
      </c>
      <c r="F148" s="108">
        <v>1331</v>
      </c>
      <c r="G148" s="192">
        <v>38.438538999999999</v>
      </c>
      <c r="H148" s="192">
        <v>13.54617</v>
      </c>
      <c r="I148" s="105" t="s">
        <v>3671</v>
      </c>
      <c r="J148" s="105" t="s">
        <v>3589</v>
      </c>
      <c r="K148" s="105" t="s">
        <v>3472</v>
      </c>
      <c r="L148" s="105" t="s">
        <v>3668</v>
      </c>
      <c r="M148" s="74" t="s">
        <v>3547</v>
      </c>
      <c r="O148" s="104" t="s">
        <v>3548</v>
      </c>
    </row>
    <row r="149" spans="1:15">
      <c r="A149" s="105" t="s">
        <v>213</v>
      </c>
      <c r="B149" s="105" t="s">
        <v>364</v>
      </c>
      <c r="C149" s="112">
        <v>45989</v>
      </c>
      <c r="D149" s="105" t="s">
        <v>383</v>
      </c>
      <c r="E149" s="106">
        <v>45989.78289652778</v>
      </c>
      <c r="F149" s="108">
        <v>1141</v>
      </c>
      <c r="G149" s="192">
        <v>38.441125</v>
      </c>
      <c r="H149" s="192">
        <v>13.540305</v>
      </c>
      <c r="I149" s="105" t="s">
        <v>3672</v>
      </c>
      <c r="J149" s="105" t="s">
        <v>3589</v>
      </c>
      <c r="K149" s="105" t="s">
        <v>3450</v>
      </c>
      <c r="L149" s="105" t="s">
        <v>1584</v>
      </c>
      <c r="M149" s="74" t="s">
        <v>3547</v>
      </c>
      <c r="O149" s="104" t="s">
        <v>3548</v>
      </c>
    </row>
    <row r="150" spans="1:15">
      <c r="A150" s="105" t="s">
        <v>213</v>
      </c>
      <c r="B150" s="105" t="s">
        <v>364</v>
      </c>
      <c r="C150" s="112">
        <v>45989</v>
      </c>
      <c r="D150" s="105" t="s">
        <v>383</v>
      </c>
      <c r="E150" s="106">
        <v>45989.78289652778</v>
      </c>
      <c r="F150" s="108">
        <v>1141</v>
      </c>
      <c r="G150" s="192">
        <v>38.441125</v>
      </c>
      <c r="H150" s="192">
        <v>13.540305</v>
      </c>
      <c r="I150" s="105" t="s">
        <v>3673</v>
      </c>
      <c r="J150" s="105" t="s">
        <v>3589</v>
      </c>
      <c r="K150" s="105" t="s">
        <v>3450</v>
      </c>
      <c r="L150" s="105" t="s">
        <v>1584</v>
      </c>
      <c r="M150" s="74" t="s">
        <v>3547</v>
      </c>
      <c r="O150" s="104" t="s">
        <v>3548</v>
      </c>
    </row>
    <row r="151" spans="1:15">
      <c r="A151" s="105" t="s">
        <v>213</v>
      </c>
      <c r="B151" s="105" t="s">
        <v>364</v>
      </c>
      <c r="C151" s="112">
        <v>45989</v>
      </c>
      <c r="D151" s="105" t="s">
        <v>383</v>
      </c>
      <c r="E151" s="106">
        <v>45989.78289652778</v>
      </c>
      <c r="F151" s="108">
        <v>1141</v>
      </c>
      <c r="G151" s="192">
        <v>38.441125</v>
      </c>
      <c r="H151" s="192">
        <v>13.540305</v>
      </c>
      <c r="I151" s="105" t="s">
        <v>3674</v>
      </c>
      <c r="J151" s="105" t="s">
        <v>3589</v>
      </c>
      <c r="K151" s="105" t="s">
        <v>3450</v>
      </c>
      <c r="L151" s="105" t="s">
        <v>1584</v>
      </c>
      <c r="M151" s="74" t="s">
        <v>3547</v>
      </c>
      <c r="O151" s="104" t="s">
        <v>3548</v>
      </c>
    </row>
    <row r="152" spans="1:15">
      <c r="A152" s="105" t="s">
        <v>213</v>
      </c>
      <c r="B152" s="105" t="s">
        <v>364</v>
      </c>
      <c r="C152" s="112">
        <v>45989</v>
      </c>
      <c r="D152" s="105" t="s">
        <v>383</v>
      </c>
      <c r="E152" s="106">
        <v>45989.78289652778</v>
      </c>
      <c r="F152" s="108">
        <v>1141</v>
      </c>
      <c r="G152" s="192">
        <v>38.441125</v>
      </c>
      <c r="H152" s="192">
        <v>13.540305</v>
      </c>
      <c r="I152" s="105" t="s">
        <v>3675</v>
      </c>
      <c r="J152" s="105" t="s">
        <v>3589</v>
      </c>
      <c r="K152" s="105" t="s">
        <v>3472</v>
      </c>
      <c r="L152" s="105" t="s">
        <v>1584</v>
      </c>
      <c r="M152" s="74" t="s">
        <v>3547</v>
      </c>
      <c r="O152" s="104" t="s">
        <v>3548</v>
      </c>
    </row>
    <row r="153" spans="1:15">
      <c r="A153" s="105" t="s">
        <v>213</v>
      </c>
      <c r="B153" s="105" t="s">
        <v>364</v>
      </c>
      <c r="C153" s="112">
        <v>45989</v>
      </c>
      <c r="D153" s="105" t="s">
        <v>383</v>
      </c>
      <c r="E153" s="56">
        <f t="shared" ref="E153:E154" ca="1" si="2">IF(F153&lt;&gt;0,IF(E153=0,NOW(),E153),)</f>
        <v>45989.78911041667</v>
      </c>
      <c r="F153" s="108">
        <v>1142</v>
      </c>
      <c r="G153" s="192">
        <v>38.441144000000001</v>
      </c>
      <c r="H153" s="192">
        <v>13.540296</v>
      </c>
      <c r="I153" s="105" t="s">
        <v>3676</v>
      </c>
      <c r="J153" s="105" t="s">
        <v>3589</v>
      </c>
      <c r="K153" s="105" t="s">
        <v>3450</v>
      </c>
      <c r="L153" s="105" t="s">
        <v>3677</v>
      </c>
      <c r="M153" s="74" t="s">
        <v>3678</v>
      </c>
      <c r="O153" s="104" t="s">
        <v>3548</v>
      </c>
    </row>
    <row r="154" spans="1:15">
      <c r="A154" s="105" t="s">
        <v>213</v>
      </c>
      <c r="B154" s="105" t="s">
        <v>364</v>
      </c>
      <c r="C154" s="112">
        <v>45989</v>
      </c>
      <c r="D154" s="105" t="s">
        <v>383</v>
      </c>
      <c r="E154" s="56">
        <f t="shared" ca="1" si="2"/>
        <v>45989.78911041667</v>
      </c>
      <c r="F154" s="108">
        <v>1142</v>
      </c>
      <c r="G154" s="192">
        <v>38.441144000000001</v>
      </c>
      <c r="H154" s="192">
        <v>13.540296</v>
      </c>
      <c r="I154" s="105" t="s">
        <v>3679</v>
      </c>
      <c r="J154" s="105" t="s">
        <v>3589</v>
      </c>
      <c r="K154" s="105" t="s">
        <v>3450</v>
      </c>
      <c r="L154" s="105" t="s">
        <v>1517</v>
      </c>
      <c r="M154" s="74" t="s">
        <v>3663</v>
      </c>
      <c r="O154" s="104" t="s">
        <v>3548</v>
      </c>
    </row>
    <row r="155" spans="1:15">
      <c r="A155" s="105" t="s">
        <v>213</v>
      </c>
      <c r="B155" s="105" t="s">
        <v>364</v>
      </c>
      <c r="C155" s="112">
        <v>45989</v>
      </c>
      <c r="D155" s="105" t="s">
        <v>383</v>
      </c>
      <c r="E155" s="56">
        <v>45989.78911041667</v>
      </c>
      <c r="F155" s="108">
        <v>1142</v>
      </c>
      <c r="G155" s="192">
        <v>38.441144000000001</v>
      </c>
      <c r="H155" s="192">
        <v>13.540296</v>
      </c>
      <c r="I155" s="105" t="s">
        <v>3680</v>
      </c>
      <c r="J155" s="105" t="s">
        <v>3589</v>
      </c>
      <c r="K155" s="105" t="s">
        <v>3450</v>
      </c>
      <c r="L155" s="105" t="s">
        <v>1517</v>
      </c>
      <c r="M155" s="74" t="s">
        <v>3663</v>
      </c>
      <c r="O155" s="104" t="s">
        <v>3548</v>
      </c>
    </row>
    <row r="156" spans="1:15">
      <c r="A156" s="105" t="s">
        <v>213</v>
      </c>
      <c r="B156" s="105" t="s">
        <v>364</v>
      </c>
      <c r="C156" s="112">
        <v>45989</v>
      </c>
      <c r="D156" s="105" t="s">
        <v>386</v>
      </c>
      <c r="E156" s="106">
        <v>45989.978494097224</v>
      </c>
      <c r="F156" s="108">
        <v>1260</v>
      </c>
      <c r="G156" s="192">
        <v>38.431238</v>
      </c>
      <c r="H156" s="192">
        <v>13.535636999999999</v>
      </c>
      <c r="I156" s="105" t="s">
        <v>3681</v>
      </c>
      <c r="J156" s="105" t="s">
        <v>3589</v>
      </c>
      <c r="K156" s="105" t="s">
        <v>3450</v>
      </c>
      <c r="L156" s="105" t="s">
        <v>2040</v>
      </c>
      <c r="M156" s="74" t="s">
        <v>3547</v>
      </c>
      <c r="O156" s="104" t="s">
        <v>3548</v>
      </c>
    </row>
    <row r="157" spans="1:15">
      <c r="A157" s="105" t="s">
        <v>213</v>
      </c>
      <c r="B157" s="105" t="s">
        <v>364</v>
      </c>
      <c r="C157" s="112">
        <v>45989</v>
      </c>
      <c r="D157" s="105" t="s">
        <v>386</v>
      </c>
      <c r="E157" s="106">
        <v>45989.978494097224</v>
      </c>
      <c r="F157" s="108">
        <v>1260</v>
      </c>
      <c r="G157" s="192">
        <v>38.431238</v>
      </c>
      <c r="H157" s="192">
        <v>13.535636999999999</v>
      </c>
      <c r="I157" s="105" t="s">
        <v>3682</v>
      </c>
      <c r="J157" s="105" t="s">
        <v>3589</v>
      </c>
      <c r="K157" s="105" t="s">
        <v>3450</v>
      </c>
      <c r="L157" s="105" t="s">
        <v>2040</v>
      </c>
      <c r="M157" s="74" t="s">
        <v>3547</v>
      </c>
      <c r="O157" s="104" t="s">
        <v>3548</v>
      </c>
    </row>
    <row r="158" spans="1:15">
      <c r="A158" s="105" t="s">
        <v>213</v>
      </c>
      <c r="B158" s="105" t="s">
        <v>388</v>
      </c>
      <c r="C158" s="112">
        <v>45991</v>
      </c>
      <c r="D158" s="105" t="s">
        <v>395</v>
      </c>
      <c r="E158" s="106">
        <v>45991.151071527776</v>
      </c>
      <c r="F158" s="108">
        <v>2092</v>
      </c>
      <c r="G158" s="192">
        <v>38.66789</v>
      </c>
      <c r="H158" s="192">
        <v>13.550413000000001</v>
      </c>
      <c r="I158" s="105" t="s">
        <v>3683</v>
      </c>
      <c r="J158" s="183" t="s">
        <v>1070</v>
      </c>
      <c r="N158" s="107" t="s">
        <v>3465</v>
      </c>
    </row>
    <row r="159" spans="1:15">
      <c r="A159" s="105" t="s">
        <v>213</v>
      </c>
      <c r="B159" s="105" t="s">
        <v>364</v>
      </c>
      <c r="C159" s="112">
        <v>45991</v>
      </c>
      <c r="D159" s="105" t="s">
        <v>397</v>
      </c>
      <c r="E159" s="106">
        <v>45991.541446759256</v>
      </c>
      <c r="F159" s="108">
        <v>1195</v>
      </c>
      <c r="G159" s="192">
        <v>38.441670000000002</v>
      </c>
      <c r="H159" s="192">
        <v>13.541700000000001</v>
      </c>
      <c r="I159" s="105" t="s">
        <v>3684</v>
      </c>
      <c r="J159" s="105" t="s">
        <v>3589</v>
      </c>
      <c r="K159" s="105" t="s">
        <v>3450</v>
      </c>
      <c r="L159" s="105" t="s">
        <v>3685</v>
      </c>
      <c r="M159" s="74" t="s">
        <v>3547</v>
      </c>
      <c r="O159" s="104" t="s">
        <v>3548</v>
      </c>
    </row>
    <row r="160" spans="1:15">
      <c r="A160" s="105" t="s">
        <v>213</v>
      </c>
      <c r="B160" s="105" t="s">
        <v>364</v>
      </c>
      <c r="C160" s="112">
        <v>45991</v>
      </c>
      <c r="D160" s="105" t="s">
        <v>397</v>
      </c>
      <c r="E160" s="106">
        <v>45991.541446759256</v>
      </c>
      <c r="F160" s="108">
        <v>1195</v>
      </c>
      <c r="G160" s="192">
        <v>38.441670000000002</v>
      </c>
      <c r="H160" s="192">
        <v>13.541700000000001</v>
      </c>
      <c r="I160" s="105" t="s">
        <v>3686</v>
      </c>
      <c r="J160" s="105" t="s">
        <v>3589</v>
      </c>
      <c r="K160" s="105" t="s">
        <v>3450</v>
      </c>
      <c r="L160" s="105" t="s">
        <v>3685</v>
      </c>
      <c r="M160" s="74" t="s">
        <v>3547</v>
      </c>
      <c r="O160" s="104" t="s">
        <v>3548</v>
      </c>
    </row>
    <row r="161" spans="1:15">
      <c r="A161" s="105" t="s">
        <v>213</v>
      </c>
      <c r="B161" s="105" t="s">
        <v>364</v>
      </c>
      <c r="C161" s="112">
        <v>45991</v>
      </c>
      <c r="D161" s="105" t="s">
        <v>397</v>
      </c>
      <c r="E161" s="106">
        <v>45991.541446759256</v>
      </c>
      <c r="F161" s="108">
        <v>1195</v>
      </c>
      <c r="G161" s="192">
        <v>38.441670000000002</v>
      </c>
      <c r="H161" s="192">
        <v>13.541700000000001</v>
      </c>
      <c r="I161" s="105" t="s">
        <v>3687</v>
      </c>
      <c r="J161" s="105" t="s">
        <v>3589</v>
      </c>
      <c r="K161" s="105" t="s">
        <v>3688</v>
      </c>
      <c r="L161" s="105" t="s">
        <v>3685</v>
      </c>
      <c r="M161" s="74" t="s">
        <v>3547</v>
      </c>
      <c r="O161" s="104" t="s">
        <v>3548</v>
      </c>
    </row>
    <row r="162" spans="1:15">
      <c r="A162" s="105" t="s">
        <v>213</v>
      </c>
      <c r="B162" s="105" t="s">
        <v>364</v>
      </c>
      <c r="C162" s="112">
        <v>45991</v>
      </c>
      <c r="D162" s="105" t="s">
        <v>402</v>
      </c>
      <c r="E162" s="106">
        <v>45991.833645833336</v>
      </c>
      <c r="F162" s="108">
        <v>1346</v>
      </c>
      <c r="G162" s="192">
        <v>38.43741</v>
      </c>
      <c r="H162" s="192">
        <v>13.545931</v>
      </c>
      <c r="I162" s="105" t="s">
        <v>3689</v>
      </c>
      <c r="J162" s="105" t="s">
        <v>3589</v>
      </c>
      <c r="K162" s="105" t="s">
        <v>3450</v>
      </c>
      <c r="L162" s="105" t="s">
        <v>3690</v>
      </c>
      <c r="M162" s="74" t="s">
        <v>3591</v>
      </c>
      <c r="O162" s="104" t="s">
        <v>3548</v>
      </c>
    </row>
    <row r="163" spans="1:15">
      <c r="A163" s="105" t="s">
        <v>213</v>
      </c>
      <c r="B163" s="105" t="s">
        <v>364</v>
      </c>
      <c r="C163" s="112">
        <v>45991</v>
      </c>
      <c r="D163" s="105" t="s">
        <v>402</v>
      </c>
      <c r="E163" s="106">
        <v>45991.858391203707</v>
      </c>
      <c r="F163" s="108">
        <v>1342</v>
      </c>
      <c r="G163" s="192">
        <v>38.437511999999998</v>
      </c>
      <c r="H163" s="192">
        <v>13.545847</v>
      </c>
      <c r="I163" s="105" t="s">
        <v>3691</v>
      </c>
      <c r="J163" s="105" t="s">
        <v>3589</v>
      </c>
      <c r="K163" s="105" t="s">
        <v>3450</v>
      </c>
      <c r="L163" s="105" t="s">
        <v>3692</v>
      </c>
      <c r="M163" s="74" t="s">
        <v>3547</v>
      </c>
      <c r="O163" s="104" t="s">
        <v>3548</v>
      </c>
    </row>
    <row r="164" spans="1:15">
      <c r="A164" s="105" t="s">
        <v>213</v>
      </c>
      <c r="B164" s="105" t="s">
        <v>364</v>
      </c>
      <c r="C164" s="112">
        <v>45991</v>
      </c>
      <c r="D164" s="105" t="s">
        <v>402</v>
      </c>
      <c r="E164" s="106">
        <v>45991.858391203707</v>
      </c>
      <c r="F164" s="108">
        <v>1342</v>
      </c>
      <c r="G164" s="192">
        <v>38.437511999999998</v>
      </c>
      <c r="H164" s="192">
        <v>13.545847</v>
      </c>
      <c r="I164" s="105" t="s">
        <v>3693</v>
      </c>
      <c r="J164" s="105" t="s">
        <v>3589</v>
      </c>
      <c r="K164" s="105" t="s">
        <v>3450</v>
      </c>
      <c r="L164" s="105" t="s">
        <v>3692</v>
      </c>
      <c r="M164" s="74" t="s">
        <v>3547</v>
      </c>
      <c r="O164" s="104" t="s">
        <v>3548</v>
      </c>
    </row>
    <row r="165" spans="1:15">
      <c r="A165" s="105" t="s">
        <v>213</v>
      </c>
      <c r="B165" s="105" t="s">
        <v>364</v>
      </c>
      <c r="C165" s="112">
        <v>45991</v>
      </c>
      <c r="D165" s="105" t="s">
        <v>402</v>
      </c>
      <c r="E165" s="106">
        <v>45991.861828703702</v>
      </c>
      <c r="F165" s="108">
        <v>1342</v>
      </c>
      <c r="G165" s="192">
        <v>38.437506999999997</v>
      </c>
      <c r="H165" s="192">
        <v>13.545856000000001</v>
      </c>
      <c r="I165" s="105" t="s">
        <v>3694</v>
      </c>
      <c r="J165" s="105" t="s">
        <v>3589</v>
      </c>
      <c r="K165" s="105" t="s">
        <v>3450</v>
      </c>
      <c r="L165" s="105" t="s">
        <v>3695</v>
      </c>
      <c r="M165" s="74" t="s">
        <v>3547</v>
      </c>
      <c r="O165" s="104" t="s">
        <v>3548</v>
      </c>
    </row>
    <row r="166" spans="1:15">
      <c r="A166" s="105" t="s">
        <v>213</v>
      </c>
      <c r="B166" s="105" t="s">
        <v>364</v>
      </c>
      <c r="C166" s="112">
        <v>45991</v>
      </c>
      <c r="D166" s="105" t="s">
        <v>402</v>
      </c>
      <c r="E166" s="106">
        <v>45991.861828703702</v>
      </c>
      <c r="F166" s="108">
        <v>1342</v>
      </c>
      <c r="G166" s="192">
        <v>38.437506999999997</v>
      </c>
      <c r="H166" s="192">
        <v>13.545856000000001</v>
      </c>
      <c r="I166" s="105" t="s">
        <v>3696</v>
      </c>
      <c r="J166" s="105" t="s">
        <v>3589</v>
      </c>
      <c r="K166" s="105" t="s">
        <v>3688</v>
      </c>
      <c r="L166" s="105" t="s">
        <v>3695</v>
      </c>
      <c r="M166" s="74" t="s">
        <v>3547</v>
      </c>
      <c r="O166" s="104" t="s">
        <v>3548</v>
      </c>
    </row>
    <row r="167" spans="1:15">
      <c r="A167" s="105" t="s">
        <v>213</v>
      </c>
      <c r="B167" s="105" t="s">
        <v>364</v>
      </c>
      <c r="C167" s="112">
        <v>45991</v>
      </c>
      <c r="D167" s="105" t="s">
        <v>402</v>
      </c>
      <c r="E167" s="106">
        <v>45991.889699074076</v>
      </c>
      <c r="F167" s="108">
        <v>1324</v>
      </c>
      <c r="G167" s="192">
        <v>38.437817000000003</v>
      </c>
      <c r="H167" s="192">
        <v>13.545589</v>
      </c>
      <c r="I167" s="105" t="s">
        <v>3697</v>
      </c>
      <c r="J167" s="105" t="s">
        <v>3589</v>
      </c>
      <c r="K167" s="105" t="s">
        <v>3688</v>
      </c>
      <c r="L167" s="105" t="s">
        <v>2641</v>
      </c>
      <c r="M167" s="74" t="s">
        <v>3547</v>
      </c>
      <c r="O167" s="104" t="s">
        <v>3548</v>
      </c>
    </row>
    <row r="168" spans="1:15">
      <c r="A168" s="105" t="s">
        <v>213</v>
      </c>
      <c r="B168" s="105" t="s">
        <v>364</v>
      </c>
      <c r="C168" s="112">
        <v>45991</v>
      </c>
      <c r="D168" s="105" t="s">
        <v>402</v>
      </c>
      <c r="E168" s="106">
        <v>45991.889699074076</v>
      </c>
      <c r="F168" s="108">
        <v>1324</v>
      </c>
      <c r="G168" s="192">
        <v>38.437817000000003</v>
      </c>
      <c r="H168" s="192">
        <v>13.545589</v>
      </c>
      <c r="I168" s="105" t="s">
        <v>3698</v>
      </c>
      <c r="J168" s="105" t="s">
        <v>3589</v>
      </c>
      <c r="K168" s="105" t="s">
        <v>3450</v>
      </c>
      <c r="L168" s="105" t="s">
        <v>2641</v>
      </c>
      <c r="M168" s="74" t="s">
        <v>3547</v>
      </c>
      <c r="O168" s="104" t="s">
        <v>3548</v>
      </c>
    </row>
    <row r="169" spans="1:15">
      <c r="A169" s="105" t="s">
        <v>213</v>
      </c>
      <c r="B169" s="105" t="s">
        <v>364</v>
      </c>
      <c r="C169" s="112">
        <v>45991</v>
      </c>
      <c r="D169" s="105" t="s">
        <v>402</v>
      </c>
      <c r="E169" s="106">
        <v>45991.93954861111</v>
      </c>
      <c r="F169" s="108">
        <v>1277</v>
      </c>
      <c r="G169" s="192">
        <v>38.438662999999998</v>
      </c>
      <c r="H169" s="192">
        <v>13.543912000000001</v>
      </c>
      <c r="I169" s="105" t="s">
        <v>3699</v>
      </c>
      <c r="J169" s="105" t="s">
        <v>3589</v>
      </c>
      <c r="K169" s="105" t="s">
        <v>3450</v>
      </c>
      <c r="L169" s="105" t="s">
        <v>3700</v>
      </c>
      <c r="M169" s="74" t="s">
        <v>3547</v>
      </c>
      <c r="O169" s="104" t="s">
        <v>3548</v>
      </c>
    </row>
    <row r="170" spans="1:15">
      <c r="A170" s="105" t="s">
        <v>213</v>
      </c>
      <c r="B170" s="105" t="s">
        <v>364</v>
      </c>
      <c r="C170" s="112">
        <v>45991</v>
      </c>
      <c r="D170" s="105" t="s">
        <v>402</v>
      </c>
      <c r="E170" s="106">
        <v>45991.93954861111</v>
      </c>
      <c r="F170" s="108">
        <v>1277</v>
      </c>
      <c r="G170" s="192">
        <v>38.438662999999998</v>
      </c>
      <c r="H170" s="192">
        <v>13.543912000000001</v>
      </c>
      <c r="I170" s="105" t="s">
        <v>3701</v>
      </c>
      <c r="J170" s="105" t="s">
        <v>3589</v>
      </c>
      <c r="K170" s="105" t="s">
        <v>3450</v>
      </c>
      <c r="L170" s="105" t="s">
        <v>3700</v>
      </c>
      <c r="M170" s="74" t="s">
        <v>3547</v>
      </c>
      <c r="O170" s="104" t="s">
        <v>3548</v>
      </c>
    </row>
    <row r="171" spans="1:15">
      <c r="A171" s="105" t="s">
        <v>213</v>
      </c>
      <c r="B171" s="105" t="s">
        <v>404</v>
      </c>
      <c r="C171" s="112">
        <v>45993</v>
      </c>
      <c r="D171" s="105" t="s">
        <v>405</v>
      </c>
      <c r="E171" s="106">
        <v>0.16914351851851853</v>
      </c>
      <c r="F171" s="108">
        <v>2217</v>
      </c>
      <c r="G171" s="192">
        <v>38.603940999999999</v>
      </c>
      <c r="H171" s="192">
        <v>12.933899</v>
      </c>
      <c r="I171" s="105" t="s">
        <v>3702</v>
      </c>
      <c r="J171" s="183" t="s">
        <v>1070</v>
      </c>
      <c r="N171" s="107" t="s">
        <v>3465</v>
      </c>
    </row>
    <row r="172" spans="1:15">
      <c r="A172" s="105" t="s">
        <v>213</v>
      </c>
      <c r="B172" s="105" t="s">
        <v>404</v>
      </c>
      <c r="C172" s="112">
        <v>45993</v>
      </c>
      <c r="D172" s="105" t="s">
        <v>405</v>
      </c>
      <c r="E172" s="106">
        <v>0.28657407407407409</v>
      </c>
      <c r="F172" s="108">
        <v>2005</v>
      </c>
      <c r="G172" s="192">
        <v>38.606191000000003</v>
      </c>
      <c r="H172" s="192">
        <v>12.931829</v>
      </c>
      <c r="I172" s="107" t="s">
        <v>3703</v>
      </c>
      <c r="J172" s="105" t="s">
        <v>3589</v>
      </c>
      <c r="K172" s="105" t="s">
        <v>3450</v>
      </c>
      <c r="L172" s="105" t="s">
        <v>3704</v>
      </c>
      <c r="M172" s="74" t="s">
        <v>3591</v>
      </c>
    </row>
    <row r="173" spans="1:15" s="172" customFormat="1">
      <c r="A173" s="155" t="s">
        <v>213</v>
      </c>
      <c r="B173" s="155" t="s">
        <v>404</v>
      </c>
      <c r="C173" s="171">
        <v>45993</v>
      </c>
      <c r="D173" s="155" t="s">
        <v>410</v>
      </c>
      <c r="E173" s="136">
        <v>0.60591435185185183</v>
      </c>
      <c r="F173" s="137">
        <v>1300</v>
      </c>
      <c r="G173" s="191">
        <v>38.659458000000001</v>
      </c>
      <c r="H173" s="191">
        <v>12.94882</v>
      </c>
      <c r="I173" s="155" t="s">
        <v>3705</v>
      </c>
      <c r="J173" s="155" t="s">
        <v>3589</v>
      </c>
      <c r="K173" s="155" t="s">
        <v>3450</v>
      </c>
      <c r="L173" s="155" t="s">
        <v>3700</v>
      </c>
      <c r="M173" s="201" t="s">
        <v>3547</v>
      </c>
      <c r="N173" s="170"/>
    </row>
    <row r="174" spans="1:15" s="172" customFormat="1">
      <c r="A174" s="155" t="s">
        <v>213</v>
      </c>
      <c r="B174" s="155" t="s">
        <v>404</v>
      </c>
      <c r="C174" s="171">
        <v>45993</v>
      </c>
      <c r="D174" s="155" t="s">
        <v>410</v>
      </c>
      <c r="E174" s="136">
        <v>0.60591435185185183</v>
      </c>
      <c r="F174" s="137">
        <v>1300</v>
      </c>
      <c r="G174" s="191">
        <v>38.659458000000001</v>
      </c>
      <c r="H174" s="191">
        <v>12.94882</v>
      </c>
      <c r="I174" s="155" t="s">
        <v>3706</v>
      </c>
      <c r="J174" s="155" t="s">
        <v>3589</v>
      </c>
      <c r="K174" s="155" t="s">
        <v>3455</v>
      </c>
      <c r="L174" s="155" t="s">
        <v>3700</v>
      </c>
      <c r="M174" s="201" t="s">
        <v>3547</v>
      </c>
      <c r="N174" s="170"/>
    </row>
    <row r="175" spans="1:15" s="172" customFormat="1">
      <c r="A175" s="155" t="s">
        <v>213</v>
      </c>
      <c r="B175" s="155" t="s">
        <v>404</v>
      </c>
      <c r="C175" s="171">
        <v>45993</v>
      </c>
      <c r="D175" s="155" t="s">
        <v>410</v>
      </c>
      <c r="E175" s="136">
        <v>0.60591435185185183</v>
      </c>
      <c r="F175" s="137">
        <v>1300</v>
      </c>
      <c r="G175" s="191">
        <v>38.659458000000001</v>
      </c>
      <c r="H175" s="191">
        <v>12.94882</v>
      </c>
      <c r="I175" s="155" t="s">
        <v>3707</v>
      </c>
      <c r="J175" s="155" t="s">
        <v>3589</v>
      </c>
      <c r="K175" s="155" t="s">
        <v>3450</v>
      </c>
      <c r="L175" s="155" t="s">
        <v>3700</v>
      </c>
      <c r="M175" s="201" t="s">
        <v>3547</v>
      </c>
      <c r="N175" s="170"/>
    </row>
    <row r="176" spans="1:15" s="172" customFormat="1">
      <c r="A176" s="155" t="s">
        <v>213</v>
      </c>
      <c r="B176" s="155" t="s">
        <v>404</v>
      </c>
      <c r="C176" s="171">
        <v>45993</v>
      </c>
      <c r="D176" s="155" t="s">
        <v>410</v>
      </c>
      <c r="E176" s="136">
        <v>0.71409722222222227</v>
      </c>
      <c r="F176" s="137">
        <v>1153</v>
      </c>
      <c r="G176" s="191">
        <v>38.661037999999998</v>
      </c>
      <c r="H176" s="191">
        <v>12.94369</v>
      </c>
      <c r="I176" s="155" t="s">
        <v>3708</v>
      </c>
      <c r="J176" s="155" t="s">
        <v>3589</v>
      </c>
      <c r="K176" s="155" t="s">
        <v>3450</v>
      </c>
      <c r="L176" s="155" t="s">
        <v>3709</v>
      </c>
      <c r="M176" s="201" t="s">
        <v>3547</v>
      </c>
      <c r="N176" s="170"/>
    </row>
    <row r="177" spans="1:14" s="172" customFormat="1">
      <c r="A177" s="155" t="s">
        <v>213</v>
      </c>
      <c r="B177" s="155" t="s">
        <v>404</v>
      </c>
      <c r="C177" s="171">
        <v>45993</v>
      </c>
      <c r="D177" s="155" t="s">
        <v>410</v>
      </c>
      <c r="E177" s="136">
        <v>0.71409722222222227</v>
      </c>
      <c r="F177" s="137">
        <v>1153</v>
      </c>
      <c r="G177" s="191">
        <v>38.661037999999998</v>
      </c>
      <c r="H177" s="191">
        <v>12.94369</v>
      </c>
      <c r="I177" s="155" t="s">
        <v>3710</v>
      </c>
      <c r="J177" s="155" t="s">
        <v>3589</v>
      </c>
      <c r="K177" s="155" t="s">
        <v>3455</v>
      </c>
      <c r="L177" s="155" t="s">
        <v>3709</v>
      </c>
      <c r="M177" s="201" t="s">
        <v>3547</v>
      </c>
      <c r="N177" s="170"/>
    </row>
    <row r="178" spans="1:14" s="172" customFormat="1">
      <c r="A178" s="155" t="s">
        <v>213</v>
      </c>
      <c r="B178" s="155" t="s">
        <v>404</v>
      </c>
      <c r="C178" s="171">
        <v>45993</v>
      </c>
      <c r="D178" s="155" t="s">
        <v>410</v>
      </c>
      <c r="E178" s="136">
        <v>0.71409722222222227</v>
      </c>
      <c r="F178" s="137">
        <v>1153</v>
      </c>
      <c r="G178" s="191">
        <v>38.661037999999998</v>
      </c>
      <c r="H178" s="191">
        <v>12.94369</v>
      </c>
      <c r="I178" s="155" t="s">
        <v>3711</v>
      </c>
      <c r="J178" s="155" t="s">
        <v>3589</v>
      </c>
      <c r="K178" s="155" t="s">
        <v>3450</v>
      </c>
      <c r="L178" s="155" t="s">
        <v>3709</v>
      </c>
      <c r="M178" s="201" t="s">
        <v>3547</v>
      </c>
      <c r="N178" s="170"/>
    </row>
    <row r="179" spans="1:14">
      <c r="A179" s="105" t="s">
        <v>213</v>
      </c>
      <c r="B179" s="105" t="s">
        <v>404</v>
      </c>
      <c r="C179" s="112">
        <v>45994</v>
      </c>
      <c r="D179" s="105" t="s">
        <v>419</v>
      </c>
      <c r="E179" s="106">
        <v>0.21312500000000001</v>
      </c>
      <c r="F179" s="108">
        <v>598</v>
      </c>
      <c r="G179" s="192">
        <v>38.680795000000003</v>
      </c>
      <c r="H179" s="192">
        <v>12.856153000000001</v>
      </c>
      <c r="I179" s="105" t="s">
        <v>3712</v>
      </c>
      <c r="J179" s="105" t="s">
        <v>3589</v>
      </c>
      <c r="K179" s="105" t="s">
        <v>3450</v>
      </c>
      <c r="L179" s="105" t="s">
        <v>3713</v>
      </c>
      <c r="M179" s="74" t="s">
        <v>3547</v>
      </c>
    </row>
    <row r="180" spans="1:14">
      <c r="A180" s="105" t="s">
        <v>213</v>
      </c>
      <c r="B180" s="105" t="s">
        <v>404</v>
      </c>
      <c r="C180" s="112">
        <v>45994</v>
      </c>
      <c r="D180" s="105" t="s">
        <v>419</v>
      </c>
      <c r="E180" s="106">
        <v>0.21312500000000001</v>
      </c>
      <c r="F180" s="108">
        <v>598</v>
      </c>
      <c r="G180" s="192">
        <v>38.680795000000003</v>
      </c>
      <c r="H180" s="192">
        <v>12.856153000000001</v>
      </c>
      <c r="I180" s="105" t="s">
        <v>3714</v>
      </c>
      <c r="J180" s="105" t="s">
        <v>3589</v>
      </c>
      <c r="K180" s="105" t="s">
        <v>3450</v>
      </c>
      <c r="L180" s="105" t="s">
        <v>3715</v>
      </c>
      <c r="M180" s="74" t="s">
        <v>3547</v>
      </c>
    </row>
    <row r="181" spans="1:14">
      <c r="A181" s="105" t="s">
        <v>213</v>
      </c>
      <c r="B181" s="105" t="s">
        <v>404</v>
      </c>
      <c r="C181" s="112">
        <v>45994</v>
      </c>
      <c r="D181" s="105" t="s">
        <v>419</v>
      </c>
      <c r="E181" s="106">
        <v>0.21312500000000001</v>
      </c>
      <c r="F181" s="108">
        <v>598</v>
      </c>
      <c r="G181" s="192">
        <v>38.680795000000003</v>
      </c>
      <c r="H181" s="192">
        <v>12.856153000000001</v>
      </c>
      <c r="I181" s="105" t="s">
        <v>3716</v>
      </c>
      <c r="J181" s="105" t="s">
        <v>3589</v>
      </c>
      <c r="K181" s="105" t="s">
        <v>3455</v>
      </c>
      <c r="L181" s="105" t="s">
        <v>3717</v>
      </c>
      <c r="M181" s="74" t="s">
        <v>3547</v>
      </c>
    </row>
    <row r="182" spans="1:14">
      <c r="A182" s="105" t="s">
        <v>213</v>
      </c>
      <c r="B182" s="105" t="s">
        <v>404</v>
      </c>
      <c r="C182" s="112">
        <v>45994</v>
      </c>
      <c r="D182" s="105" t="s">
        <v>419</v>
      </c>
      <c r="E182" s="106">
        <v>0.21312500000000001</v>
      </c>
      <c r="F182" s="108">
        <v>598</v>
      </c>
      <c r="G182" s="192">
        <v>38.680795000000003</v>
      </c>
      <c r="H182" s="192">
        <v>12.856153000000001</v>
      </c>
      <c r="I182" s="105" t="s">
        <v>3718</v>
      </c>
      <c r="J182" s="105" t="s">
        <v>3589</v>
      </c>
      <c r="K182" s="105" t="s">
        <v>3450</v>
      </c>
      <c r="L182" s="105" t="s">
        <v>3719</v>
      </c>
      <c r="M182" s="74" t="s">
        <v>3547</v>
      </c>
    </row>
    <row r="183" spans="1:14">
      <c r="A183" s="105" t="s">
        <v>213</v>
      </c>
      <c r="B183" s="105" t="s">
        <v>404</v>
      </c>
      <c r="C183" s="112">
        <v>45994</v>
      </c>
      <c r="D183" s="105" t="s">
        <v>419</v>
      </c>
      <c r="E183" s="106">
        <v>0.21312500000000001</v>
      </c>
      <c r="F183" s="108">
        <v>598</v>
      </c>
      <c r="G183" s="192">
        <v>38.680795000000003</v>
      </c>
      <c r="H183" s="192">
        <v>12.856153000000001</v>
      </c>
      <c r="I183" s="105" t="s">
        <v>3720</v>
      </c>
      <c r="J183" s="105" t="s">
        <v>3589</v>
      </c>
      <c r="K183" s="105" t="s">
        <v>3450</v>
      </c>
      <c r="L183" s="105" t="s">
        <v>3721</v>
      </c>
      <c r="M183" s="74" t="s">
        <v>3547</v>
      </c>
    </row>
    <row r="184" spans="1:14">
      <c r="A184" s="105" t="s">
        <v>213</v>
      </c>
      <c r="B184" s="105" t="s">
        <v>404</v>
      </c>
      <c r="C184" s="112">
        <v>45994</v>
      </c>
      <c r="D184" s="105" t="s">
        <v>419</v>
      </c>
      <c r="E184" s="106">
        <v>0.21312500000000001</v>
      </c>
      <c r="F184" s="108">
        <v>598</v>
      </c>
      <c r="G184" s="192">
        <v>38.680795000000003</v>
      </c>
      <c r="H184" s="192">
        <v>12.856153000000001</v>
      </c>
      <c r="I184" s="105" t="s">
        <v>3722</v>
      </c>
      <c r="J184" s="105" t="s">
        <v>3589</v>
      </c>
      <c r="K184" s="105" t="s">
        <v>3450</v>
      </c>
      <c r="L184" s="105" t="s">
        <v>3723</v>
      </c>
      <c r="M184" s="74" t="s">
        <v>3547</v>
      </c>
    </row>
    <row r="185" spans="1:14">
      <c r="A185" s="105" t="s">
        <v>213</v>
      </c>
      <c r="B185" s="105" t="s">
        <v>404</v>
      </c>
      <c r="C185" s="112">
        <v>45994</v>
      </c>
      <c r="D185" s="105" t="s">
        <v>419</v>
      </c>
      <c r="E185" s="106">
        <v>0.21312500000000001</v>
      </c>
      <c r="F185" s="108">
        <v>598</v>
      </c>
      <c r="G185" s="192">
        <v>38.680795000000003</v>
      </c>
      <c r="H185" s="192">
        <v>12.856153000000001</v>
      </c>
      <c r="I185" s="105" t="s">
        <v>3724</v>
      </c>
      <c r="J185" s="105" t="s">
        <v>3589</v>
      </c>
      <c r="K185" s="105" t="s">
        <v>3455</v>
      </c>
      <c r="L185" s="105" t="s">
        <v>3725</v>
      </c>
      <c r="M185" s="74" t="s">
        <v>3547</v>
      </c>
    </row>
    <row r="186" spans="1:14">
      <c r="A186" s="105" t="s">
        <v>213</v>
      </c>
      <c r="B186" s="105" t="s">
        <v>404</v>
      </c>
      <c r="C186" s="112">
        <v>45994</v>
      </c>
      <c r="D186" s="105" t="s">
        <v>422</v>
      </c>
      <c r="E186" s="106">
        <v>0.36822916666666666</v>
      </c>
      <c r="F186" s="108">
        <v>619</v>
      </c>
      <c r="G186" s="192">
        <v>38.686799999999998</v>
      </c>
      <c r="H186" s="192">
        <v>12.825983000000001</v>
      </c>
      <c r="I186" s="105" t="s">
        <v>3726</v>
      </c>
      <c r="J186" s="105" t="s">
        <v>3589</v>
      </c>
      <c r="K186" s="105" t="s">
        <v>3450</v>
      </c>
      <c r="L186" s="105" t="s">
        <v>3727</v>
      </c>
      <c r="M186" s="74" t="s">
        <v>3547</v>
      </c>
    </row>
    <row r="187" spans="1:14">
      <c r="A187" s="105" t="s">
        <v>213</v>
      </c>
      <c r="B187" s="105" t="s">
        <v>404</v>
      </c>
      <c r="C187" s="112">
        <v>45994</v>
      </c>
      <c r="D187" s="105" t="s">
        <v>422</v>
      </c>
      <c r="E187" s="106">
        <v>0.40890046296296295</v>
      </c>
      <c r="F187" s="108">
        <v>595</v>
      </c>
      <c r="G187" s="192">
        <v>38.689017</v>
      </c>
      <c r="H187" s="192">
        <v>12.824812</v>
      </c>
      <c r="I187" s="105" t="s">
        <v>3728</v>
      </c>
      <c r="J187" s="105" t="s">
        <v>3589</v>
      </c>
      <c r="K187" s="105" t="s">
        <v>3455</v>
      </c>
      <c r="L187" s="105" t="s">
        <v>1507</v>
      </c>
      <c r="M187" s="74" t="s">
        <v>3547</v>
      </c>
    </row>
    <row r="188" spans="1:14">
      <c r="A188" s="105" t="s">
        <v>213</v>
      </c>
      <c r="B188" s="105" t="s">
        <v>404</v>
      </c>
      <c r="C188" s="112">
        <v>45994</v>
      </c>
      <c r="D188" s="105" t="s">
        <v>422</v>
      </c>
      <c r="E188" s="106">
        <v>0.40890046296296295</v>
      </c>
      <c r="F188" s="108">
        <v>595</v>
      </c>
      <c r="G188" s="192">
        <v>38.689017</v>
      </c>
      <c r="H188" s="192">
        <v>12.824812</v>
      </c>
      <c r="I188" s="105" t="s">
        <v>3729</v>
      </c>
      <c r="J188" s="105" t="s">
        <v>3589</v>
      </c>
      <c r="K188" s="105" t="s">
        <v>3730</v>
      </c>
      <c r="L188" s="105" t="s">
        <v>1507</v>
      </c>
      <c r="M188" s="74" t="s">
        <v>3547</v>
      </c>
    </row>
    <row r="189" spans="1:14">
      <c r="A189" s="105" t="s">
        <v>213</v>
      </c>
      <c r="B189" s="105" t="s">
        <v>404</v>
      </c>
      <c r="C189" s="112">
        <v>45994</v>
      </c>
      <c r="D189" s="105" t="s">
        <v>422</v>
      </c>
      <c r="E189" s="106">
        <v>0.53917824074074072</v>
      </c>
      <c r="F189" s="108">
        <v>539</v>
      </c>
      <c r="G189" s="192">
        <v>38.689017</v>
      </c>
      <c r="H189" s="192">
        <v>12.824812</v>
      </c>
      <c r="I189" s="105" t="s">
        <v>3731</v>
      </c>
      <c r="J189" s="105" t="s">
        <v>3589</v>
      </c>
      <c r="K189" s="105" t="s">
        <v>3730</v>
      </c>
      <c r="L189" s="105" t="s">
        <v>1508</v>
      </c>
      <c r="M189" s="74" t="s">
        <v>3547</v>
      </c>
    </row>
    <row r="190" spans="1:14">
      <c r="A190" s="105" t="s">
        <v>213</v>
      </c>
      <c r="B190" s="105" t="s">
        <v>404</v>
      </c>
      <c r="C190" s="112">
        <v>45994</v>
      </c>
      <c r="D190" s="105" t="s">
        <v>422</v>
      </c>
      <c r="E190" s="106">
        <v>0.40833333333333333</v>
      </c>
      <c r="F190" s="108">
        <v>599</v>
      </c>
      <c r="G190" s="192">
        <v>38.691795999999997</v>
      </c>
      <c r="H190" s="192">
        <v>12.825625</v>
      </c>
      <c r="I190" s="105" t="s">
        <v>3732</v>
      </c>
      <c r="J190" s="105" t="s">
        <v>3589</v>
      </c>
      <c r="K190" s="105" t="s">
        <v>3730</v>
      </c>
      <c r="L190" s="105" t="s">
        <v>3733</v>
      </c>
      <c r="M190" s="74" t="s">
        <v>3547</v>
      </c>
    </row>
    <row r="191" spans="1:14">
      <c r="A191" s="105" t="s">
        <v>213</v>
      </c>
      <c r="B191" s="105" t="s">
        <v>404</v>
      </c>
      <c r="C191" s="112">
        <v>45994</v>
      </c>
      <c r="D191" s="105" t="s">
        <v>425</v>
      </c>
      <c r="E191" s="106">
        <v>0.78953703703703704</v>
      </c>
      <c r="F191" s="108">
        <v>1032</v>
      </c>
      <c r="G191" s="192">
        <v>38.718124000000003</v>
      </c>
      <c r="H191" s="192">
        <v>12.829838000000001</v>
      </c>
      <c r="I191" s="186" t="s">
        <v>3734</v>
      </c>
      <c r="J191" s="105" t="s">
        <v>3589</v>
      </c>
      <c r="K191" s="105" t="s">
        <v>3730</v>
      </c>
      <c r="L191" s="105" t="s">
        <v>2040</v>
      </c>
      <c r="M191" s="74" t="s">
        <v>3547</v>
      </c>
    </row>
    <row r="192" spans="1:14">
      <c r="A192" s="105" t="s">
        <v>213</v>
      </c>
      <c r="B192" s="105" t="s">
        <v>404</v>
      </c>
      <c r="C192" s="112">
        <v>45994</v>
      </c>
      <c r="D192" s="105" t="s">
        <v>425</v>
      </c>
      <c r="E192" s="106">
        <v>0.83958333333333335</v>
      </c>
      <c r="F192" s="108">
        <v>912</v>
      </c>
      <c r="G192" s="192">
        <v>38.717120999999999</v>
      </c>
      <c r="H192" s="192">
        <v>12.829386</v>
      </c>
      <c r="I192" s="105" t="s">
        <v>3735</v>
      </c>
      <c r="J192" s="105" t="s">
        <v>3589</v>
      </c>
      <c r="K192" s="105" t="s">
        <v>3730</v>
      </c>
      <c r="L192" s="105" t="s">
        <v>3736</v>
      </c>
      <c r="M192" s="74" t="s">
        <v>3737</v>
      </c>
    </row>
    <row r="193" spans="1:14">
      <c r="A193" s="105" t="s">
        <v>213</v>
      </c>
      <c r="B193" s="105" t="s">
        <v>404</v>
      </c>
      <c r="C193" s="112">
        <v>45994</v>
      </c>
      <c r="D193" s="105" t="s">
        <v>425</v>
      </c>
      <c r="E193" s="106">
        <v>0.83958333333333335</v>
      </c>
      <c r="F193" s="108">
        <v>912</v>
      </c>
      <c r="G193" s="192">
        <v>38.717120999999999</v>
      </c>
      <c r="H193" s="192">
        <v>12.829386</v>
      </c>
      <c r="I193" s="105" t="s">
        <v>3738</v>
      </c>
      <c r="J193" s="105" t="s">
        <v>3589</v>
      </c>
      <c r="K193" s="105" t="s">
        <v>3730</v>
      </c>
      <c r="L193" s="105" t="s">
        <v>3736</v>
      </c>
      <c r="M193" s="74" t="s">
        <v>3739</v>
      </c>
    </row>
    <row r="194" spans="1:14">
      <c r="A194" s="105" t="s">
        <v>213</v>
      </c>
      <c r="B194" s="105" t="s">
        <v>404</v>
      </c>
      <c r="C194" s="112">
        <v>45994</v>
      </c>
      <c r="D194" s="105" t="s">
        <v>425</v>
      </c>
      <c r="E194" s="106">
        <v>0.83958333333333335</v>
      </c>
      <c r="F194" s="108">
        <v>912</v>
      </c>
      <c r="G194" s="192">
        <v>38.717120999999999</v>
      </c>
      <c r="H194" s="192">
        <v>12.829386</v>
      </c>
      <c r="I194" s="105" t="s">
        <v>3740</v>
      </c>
      <c r="J194" s="105" t="s">
        <v>3589</v>
      </c>
      <c r="K194" s="105" t="s">
        <v>3472</v>
      </c>
      <c r="L194" s="105" t="s">
        <v>3736</v>
      </c>
      <c r="M194" s="74" t="s">
        <v>3741</v>
      </c>
    </row>
    <row r="195" spans="1:14">
      <c r="A195" s="105" t="s">
        <v>213</v>
      </c>
      <c r="B195" s="105" t="s">
        <v>404</v>
      </c>
      <c r="C195" s="112">
        <v>45994</v>
      </c>
      <c r="D195" s="105" t="s">
        <v>425</v>
      </c>
      <c r="E195" s="106">
        <v>0.86319444444444449</v>
      </c>
      <c r="F195" s="108">
        <v>880</v>
      </c>
      <c r="G195" s="192">
        <v>38.716721999999997</v>
      </c>
      <c r="H195" s="192">
        <v>12.829183</v>
      </c>
      <c r="I195" s="51" t="s">
        <v>3742</v>
      </c>
      <c r="J195" s="105" t="s">
        <v>3589</v>
      </c>
      <c r="K195" s="105" t="s">
        <v>3730</v>
      </c>
      <c r="L195" s="105" t="s">
        <v>3743</v>
      </c>
      <c r="M195" s="74" t="s">
        <v>3547</v>
      </c>
    </row>
    <row r="196" spans="1:14">
      <c r="A196" s="105" t="s">
        <v>213</v>
      </c>
      <c r="B196" s="105" t="s">
        <v>404</v>
      </c>
      <c r="C196" s="112">
        <v>45995</v>
      </c>
      <c r="D196" s="187" t="s">
        <v>428</v>
      </c>
      <c r="E196" s="188">
        <v>0.1154513888888889</v>
      </c>
      <c r="F196" s="108">
        <v>1340</v>
      </c>
      <c r="G196" s="192">
        <v>38.717914999999998</v>
      </c>
      <c r="H196" s="192">
        <v>12.875109</v>
      </c>
      <c r="I196" s="105" t="s">
        <v>3744</v>
      </c>
      <c r="J196" s="105" t="s">
        <v>3589</v>
      </c>
      <c r="K196" s="105" t="s">
        <v>3455</v>
      </c>
      <c r="L196" s="105" t="s">
        <v>3745</v>
      </c>
      <c r="M196" s="74" t="s">
        <v>3547</v>
      </c>
    </row>
    <row r="197" spans="1:14">
      <c r="A197" s="105" t="s">
        <v>213</v>
      </c>
      <c r="B197" s="105" t="s">
        <v>404</v>
      </c>
      <c r="C197" s="112">
        <v>45995</v>
      </c>
      <c r="D197" s="187" t="s">
        <v>428</v>
      </c>
      <c r="E197" s="188">
        <v>0.1154513888888889</v>
      </c>
      <c r="F197" s="108">
        <v>1340</v>
      </c>
      <c r="G197" s="192">
        <v>38.717914999999998</v>
      </c>
      <c r="H197" s="192">
        <v>12.875109</v>
      </c>
      <c r="I197" s="105" t="s">
        <v>3746</v>
      </c>
      <c r="J197" s="105" t="s">
        <v>3589</v>
      </c>
      <c r="K197" s="105" t="s">
        <v>3450</v>
      </c>
      <c r="L197" s="105" t="s">
        <v>3745</v>
      </c>
      <c r="M197" s="74" t="s">
        <v>3547</v>
      </c>
    </row>
    <row r="198" spans="1:14">
      <c r="A198" s="105" t="s">
        <v>213</v>
      </c>
      <c r="B198" s="105" t="s">
        <v>404</v>
      </c>
      <c r="C198" s="112">
        <v>45995</v>
      </c>
      <c r="D198" s="187" t="s">
        <v>428</v>
      </c>
      <c r="E198" s="188">
        <v>0.15228009259259259</v>
      </c>
      <c r="F198" s="108">
        <v>1286</v>
      </c>
      <c r="G198" s="192">
        <v>38.717261999999998</v>
      </c>
      <c r="H198" s="192">
        <v>12.875054</v>
      </c>
      <c r="I198" s="105" t="s">
        <v>3747</v>
      </c>
      <c r="J198" s="105" t="s">
        <v>3589</v>
      </c>
      <c r="K198" s="105" t="s">
        <v>3455</v>
      </c>
      <c r="L198" s="105" t="s">
        <v>3709</v>
      </c>
      <c r="M198" s="74" t="s">
        <v>3547</v>
      </c>
    </row>
    <row r="199" spans="1:14">
      <c r="A199" s="105" t="s">
        <v>213</v>
      </c>
      <c r="B199" s="105" t="s">
        <v>404</v>
      </c>
      <c r="C199" s="112">
        <v>45995</v>
      </c>
      <c r="D199" s="187" t="s">
        <v>428</v>
      </c>
      <c r="E199" s="188">
        <v>0.15228009259259259</v>
      </c>
      <c r="F199" s="108">
        <v>1286</v>
      </c>
      <c r="G199" s="192">
        <v>38.717261999999998</v>
      </c>
      <c r="H199" s="192">
        <v>12.875054</v>
      </c>
      <c r="I199" s="105" t="s">
        <v>3748</v>
      </c>
      <c r="J199" s="105" t="s">
        <v>3589</v>
      </c>
      <c r="K199" s="105" t="s">
        <v>3450</v>
      </c>
      <c r="L199" s="105" t="s">
        <v>3709</v>
      </c>
      <c r="M199" s="74" t="s">
        <v>3547</v>
      </c>
    </row>
    <row r="200" spans="1:14">
      <c r="A200" s="105" t="s">
        <v>213</v>
      </c>
      <c r="B200" s="105" t="s">
        <v>404</v>
      </c>
      <c r="C200" s="112">
        <v>45995</v>
      </c>
      <c r="D200" s="187" t="s">
        <v>428</v>
      </c>
      <c r="E200" s="188">
        <v>0.15228009259259259</v>
      </c>
      <c r="F200" s="108">
        <v>1285</v>
      </c>
      <c r="G200" s="192">
        <v>38.717261999999998</v>
      </c>
      <c r="H200" s="192">
        <v>12.875054</v>
      </c>
      <c r="I200" s="105" t="s">
        <v>3749</v>
      </c>
      <c r="J200" s="105" t="s">
        <v>3589</v>
      </c>
      <c r="K200" s="105" t="s">
        <v>3455</v>
      </c>
      <c r="L200" s="105" t="s">
        <v>3750</v>
      </c>
    </row>
    <row r="201" spans="1:14">
      <c r="A201" s="105" t="s">
        <v>213</v>
      </c>
      <c r="B201" s="105" t="s">
        <v>404</v>
      </c>
      <c r="C201" s="112">
        <v>45995</v>
      </c>
      <c r="D201" s="187" t="s">
        <v>431</v>
      </c>
      <c r="E201" s="188">
        <v>0.37906250000000002</v>
      </c>
      <c r="F201" s="108">
        <v>831</v>
      </c>
      <c r="G201" s="192">
        <v>38.070331000000003</v>
      </c>
      <c r="H201" s="192">
        <v>12.891391</v>
      </c>
      <c r="I201" s="105" t="s">
        <v>3751</v>
      </c>
      <c r="J201" s="105" t="s">
        <v>3589</v>
      </c>
      <c r="K201" s="105" t="s">
        <v>3450</v>
      </c>
      <c r="L201" s="105" t="s">
        <v>3752</v>
      </c>
      <c r="M201" s="74" t="s">
        <v>3547</v>
      </c>
    </row>
    <row r="202" spans="1:14">
      <c r="A202" s="105" t="s">
        <v>213</v>
      </c>
      <c r="B202" s="105" t="s">
        <v>434</v>
      </c>
      <c r="C202" s="112">
        <v>45996</v>
      </c>
      <c r="D202" s="105" t="s">
        <v>439</v>
      </c>
      <c r="E202" s="106">
        <v>0.91188657407407403</v>
      </c>
      <c r="F202" s="108">
        <v>1901</v>
      </c>
      <c r="G202" s="192">
        <v>38.838866000000003</v>
      </c>
      <c r="H202" s="192">
        <v>14.927327</v>
      </c>
      <c r="I202" s="105" t="s">
        <v>3753</v>
      </c>
      <c r="J202" s="183" t="s">
        <v>1070</v>
      </c>
      <c r="N202" s="107" t="s">
        <v>3465</v>
      </c>
    </row>
    <row r="203" spans="1:14">
      <c r="A203" s="105" t="s">
        <v>213</v>
      </c>
      <c r="B203" s="105" t="s">
        <v>434</v>
      </c>
      <c r="C203" s="112">
        <v>45998</v>
      </c>
      <c r="D203" s="105" t="s">
        <v>442</v>
      </c>
      <c r="E203" s="106">
        <v>0.41370370370370368</v>
      </c>
      <c r="F203" s="108">
        <v>2076</v>
      </c>
      <c r="G203" s="192">
        <v>38.855207</v>
      </c>
      <c r="H203" s="192">
        <v>14.937443999999999</v>
      </c>
      <c r="I203" s="105" t="s">
        <v>3754</v>
      </c>
      <c r="J203" s="105" t="s">
        <v>3589</v>
      </c>
      <c r="K203" s="105" t="s">
        <v>3450</v>
      </c>
      <c r="L203" s="105" t="s">
        <v>3704</v>
      </c>
      <c r="M203" s="74" t="s">
        <v>3591</v>
      </c>
    </row>
    <row r="204" spans="1:14">
      <c r="A204" s="105" t="s">
        <v>213</v>
      </c>
      <c r="B204" s="105" t="s">
        <v>434</v>
      </c>
      <c r="C204" s="112">
        <v>45998</v>
      </c>
      <c r="D204" s="105" t="s">
        <v>442</v>
      </c>
      <c r="E204" s="106">
        <v>0.46243055555555557</v>
      </c>
      <c r="F204" s="108">
        <v>2033</v>
      </c>
      <c r="G204" s="192">
        <v>38.854402999999998</v>
      </c>
      <c r="H204" s="192">
        <v>14.936496</v>
      </c>
      <c r="I204" s="105" t="s">
        <v>3755</v>
      </c>
      <c r="J204" s="105" t="s">
        <v>3589</v>
      </c>
      <c r="K204" s="105" t="s">
        <v>3455</v>
      </c>
      <c r="L204" s="105" t="s">
        <v>2254</v>
      </c>
      <c r="M204" s="74" t="s">
        <v>3591</v>
      </c>
      <c r="N204" s="107" t="s">
        <v>3756</v>
      </c>
    </row>
    <row r="205" spans="1:14">
      <c r="A205" s="105" t="s">
        <v>213</v>
      </c>
      <c r="B205" s="105" t="s">
        <v>434</v>
      </c>
      <c r="C205" s="112">
        <v>45998</v>
      </c>
      <c r="D205" s="105" t="s">
        <v>442</v>
      </c>
      <c r="E205" s="106">
        <v>0.46243055555555557</v>
      </c>
      <c r="F205" s="108">
        <v>2033</v>
      </c>
      <c r="G205" s="192">
        <v>38.854402999999998</v>
      </c>
      <c r="H205" s="192">
        <v>14.936496</v>
      </c>
      <c r="I205" s="105" t="s">
        <v>3757</v>
      </c>
      <c r="J205" s="105" t="s">
        <v>3589</v>
      </c>
      <c r="K205" s="105" t="s">
        <v>3455</v>
      </c>
      <c r="L205" s="105" t="s">
        <v>2254</v>
      </c>
      <c r="M205" s="74" t="s">
        <v>3591</v>
      </c>
      <c r="N205" s="107" t="s">
        <v>3758</v>
      </c>
    </row>
    <row r="206" spans="1:14">
      <c r="A206" s="105" t="s">
        <v>213</v>
      </c>
      <c r="B206" s="105" t="s">
        <v>434</v>
      </c>
      <c r="C206" s="112">
        <v>45998</v>
      </c>
      <c r="D206" s="105" t="s">
        <v>442</v>
      </c>
      <c r="E206" s="106">
        <v>0.46243055555555557</v>
      </c>
      <c r="F206" s="108">
        <v>2033</v>
      </c>
      <c r="G206" s="192">
        <v>38.854402999999998</v>
      </c>
      <c r="H206" s="192">
        <v>14.936496</v>
      </c>
      <c r="I206" s="105" t="s">
        <v>3759</v>
      </c>
      <c r="J206" s="105" t="s">
        <v>3589</v>
      </c>
      <c r="K206" s="105" t="s">
        <v>3455</v>
      </c>
      <c r="L206" s="105" t="s">
        <v>2254</v>
      </c>
      <c r="M206" s="74" t="s">
        <v>3591</v>
      </c>
      <c r="N206" s="107" t="s">
        <v>3758</v>
      </c>
    </row>
    <row r="207" spans="1:14">
      <c r="A207" s="105" t="s">
        <v>213</v>
      </c>
      <c r="B207" s="105" t="s">
        <v>404</v>
      </c>
      <c r="C207" s="112">
        <v>46000</v>
      </c>
      <c r="D207" s="187" t="s">
        <v>456</v>
      </c>
      <c r="E207" s="188">
        <v>4.6296296296296294E-3</v>
      </c>
      <c r="F207" s="108">
        <v>1477</v>
      </c>
      <c r="G207" s="192">
        <v>38.722422000000002</v>
      </c>
      <c r="H207" s="192">
        <v>12.749431</v>
      </c>
      <c r="I207" s="51" t="s">
        <v>3760</v>
      </c>
      <c r="J207" s="105" t="s">
        <v>3589</v>
      </c>
      <c r="K207" s="105" t="s">
        <v>3455</v>
      </c>
      <c r="L207" s="105" t="s">
        <v>2191</v>
      </c>
      <c r="M207" s="74" t="s">
        <v>3761</v>
      </c>
    </row>
    <row r="208" spans="1:14">
      <c r="A208" s="105" t="s">
        <v>213</v>
      </c>
      <c r="B208" s="105" t="s">
        <v>404</v>
      </c>
      <c r="C208" s="112">
        <v>46000</v>
      </c>
      <c r="D208" s="187" t="s">
        <v>456</v>
      </c>
      <c r="E208" s="188">
        <v>2.6678240740740742E-2</v>
      </c>
      <c r="F208" s="108">
        <v>1473</v>
      </c>
      <c r="G208" s="192">
        <v>38.722310999999998</v>
      </c>
      <c r="H208" s="192">
        <v>12.749383999999999</v>
      </c>
      <c r="I208" s="51" t="s">
        <v>3762</v>
      </c>
      <c r="J208" s="105" t="s">
        <v>3589</v>
      </c>
      <c r="K208" s="105" t="s">
        <v>3450</v>
      </c>
      <c r="L208" s="105" t="s">
        <v>3763</v>
      </c>
      <c r="M208" s="74" t="s">
        <v>3547</v>
      </c>
    </row>
    <row r="209" spans="1:14">
      <c r="A209" s="105" t="s">
        <v>213</v>
      </c>
      <c r="B209" s="105" t="s">
        <v>404</v>
      </c>
      <c r="C209" s="112">
        <v>46000</v>
      </c>
      <c r="D209" s="187" t="s">
        <v>456</v>
      </c>
      <c r="E209" s="188">
        <v>2.6678240740740742E-2</v>
      </c>
      <c r="F209" s="108">
        <v>1473</v>
      </c>
      <c r="G209" s="192">
        <v>38.722310999999998</v>
      </c>
      <c r="H209" s="192">
        <v>12.749383999999999</v>
      </c>
      <c r="I209" s="51" t="s">
        <v>3764</v>
      </c>
      <c r="J209" s="105" t="s">
        <v>3427</v>
      </c>
      <c r="K209" s="105" t="s">
        <v>3455</v>
      </c>
      <c r="L209" s="105" t="s">
        <v>3560</v>
      </c>
      <c r="M209" s="74" t="s">
        <v>3547</v>
      </c>
    </row>
    <row r="210" spans="1:14">
      <c r="A210" s="105" t="s">
        <v>213</v>
      </c>
      <c r="B210" s="105" t="s">
        <v>404</v>
      </c>
      <c r="C210" s="112">
        <v>46000</v>
      </c>
      <c r="D210" s="187" t="s">
        <v>456</v>
      </c>
      <c r="E210" s="188">
        <v>0.11232638888888889</v>
      </c>
      <c r="F210" s="108">
        <v>1310</v>
      </c>
      <c r="G210" s="192">
        <v>38.720834000000004</v>
      </c>
      <c r="H210" s="192">
        <v>12.748863</v>
      </c>
      <c r="I210" s="51" t="s">
        <v>3765</v>
      </c>
      <c r="J210" s="105" t="s">
        <v>3589</v>
      </c>
      <c r="K210" s="105" t="s">
        <v>3455</v>
      </c>
      <c r="L210" s="105" t="s">
        <v>2200</v>
      </c>
      <c r="M210" s="74" t="s">
        <v>3547</v>
      </c>
    </row>
    <row r="211" spans="1:14">
      <c r="A211" s="105" t="s">
        <v>213</v>
      </c>
      <c r="B211" s="105" t="s">
        <v>404</v>
      </c>
      <c r="C211" s="112">
        <v>46000</v>
      </c>
      <c r="D211" s="187" t="s">
        <v>456</v>
      </c>
      <c r="E211" s="188">
        <v>0.11232638888888889</v>
      </c>
      <c r="F211" s="108">
        <v>1310</v>
      </c>
      <c r="G211" s="192">
        <v>38.720834000000004</v>
      </c>
      <c r="H211" s="192">
        <v>12.748863</v>
      </c>
      <c r="I211" s="51" t="s">
        <v>3766</v>
      </c>
      <c r="J211" s="105" t="s">
        <v>3589</v>
      </c>
      <c r="K211" s="105" t="s">
        <v>3450</v>
      </c>
      <c r="L211" s="105" t="s">
        <v>2200</v>
      </c>
      <c r="M211" s="74" t="s">
        <v>3547</v>
      </c>
    </row>
    <row r="212" spans="1:14">
      <c r="A212" s="105" t="s">
        <v>213</v>
      </c>
      <c r="B212" s="105" t="s">
        <v>468</v>
      </c>
      <c r="C212" s="112">
        <v>46000</v>
      </c>
      <c r="D212" s="105" t="s">
        <v>469</v>
      </c>
      <c r="E212" s="106">
        <v>0.94383101851851847</v>
      </c>
      <c r="F212" s="108">
        <v>2105</v>
      </c>
      <c r="G212" s="192">
        <v>38.744273999999997</v>
      </c>
      <c r="H212" s="192">
        <v>12.632664999999999</v>
      </c>
      <c r="I212" s="105" t="s">
        <v>3767</v>
      </c>
      <c r="J212" s="183" t="s">
        <v>1070</v>
      </c>
      <c r="M212" s="74" t="s">
        <v>3768</v>
      </c>
      <c r="N212" s="107" t="s">
        <v>3465</v>
      </c>
    </row>
    <row r="213" spans="1:14">
      <c r="A213" s="105" t="s">
        <v>213</v>
      </c>
      <c r="B213" s="105" t="s">
        <v>468</v>
      </c>
      <c r="C213" s="112">
        <v>46001</v>
      </c>
      <c r="D213" s="105" t="s">
        <v>479</v>
      </c>
      <c r="E213" s="56">
        <v>46001.709953703707</v>
      </c>
      <c r="F213" s="108">
        <v>2133</v>
      </c>
      <c r="G213" s="192">
        <v>38.811314000000003</v>
      </c>
      <c r="H213" s="192">
        <v>12.621972</v>
      </c>
      <c r="I213" s="105" t="s">
        <v>3769</v>
      </c>
      <c r="J213" s="105" t="s">
        <v>3589</v>
      </c>
      <c r="K213" s="105" t="s">
        <v>3450</v>
      </c>
      <c r="L213" s="105" t="s">
        <v>3770</v>
      </c>
      <c r="M213" s="74" t="s">
        <v>3771</v>
      </c>
      <c r="N213" s="107" t="s">
        <v>3756</v>
      </c>
    </row>
    <row r="214" spans="1:14">
      <c r="A214" s="105" t="s">
        <v>213</v>
      </c>
      <c r="B214" s="105" t="s">
        <v>468</v>
      </c>
      <c r="C214" s="112">
        <v>46002</v>
      </c>
      <c r="D214" s="105" t="s">
        <v>479</v>
      </c>
      <c r="E214" s="106">
        <v>46001.83670266204</v>
      </c>
      <c r="F214" s="108">
        <v>2165</v>
      </c>
      <c r="G214" s="192">
        <v>38.811526000000001</v>
      </c>
      <c r="H214" s="192">
        <v>12.622147</v>
      </c>
      <c r="I214" s="105" t="s">
        <v>3772</v>
      </c>
      <c r="J214" s="105" t="s">
        <v>3589</v>
      </c>
      <c r="K214" s="105" t="s">
        <v>3450</v>
      </c>
      <c r="L214" s="105" t="s">
        <v>3773</v>
      </c>
      <c r="M214" s="74" t="s">
        <v>3771</v>
      </c>
      <c r="N214" s="107" t="s">
        <v>3756</v>
      </c>
    </row>
    <row r="215" spans="1:14">
      <c r="A215" s="107" t="s">
        <v>213</v>
      </c>
      <c r="B215" s="107" t="s">
        <v>468</v>
      </c>
      <c r="C215" s="189">
        <v>46002</v>
      </c>
      <c r="D215" s="105" t="s">
        <v>479</v>
      </c>
      <c r="E215" s="106">
        <v>46001.83670266204</v>
      </c>
      <c r="F215" s="108">
        <v>2165</v>
      </c>
      <c r="G215" s="192">
        <v>38.811526000000001</v>
      </c>
      <c r="H215" s="192">
        <v>12.622147</v>
      </c>
      <c r="I215" s="107" t="s">
        <v>3774</v>
      </c>
      <c r="J215" s="105" t="s">
        <v>3589</v>
      </c>
      <c r="K215" s="105" t="s">
        <v>3455</v>
      </c>
      <c r="L215" s="105" t="s">
        <v>3594</v>
      </c>
      <c r="M215" s="74" t="s">
        <v>3771</v>
      </c>
      <c r="N215" s="107" t="s">
        <v>3756</v>
      </c>
    </row>
    <row r="216" spans="1:14">
      <c r="A216" s="107" t="s">
        <v>213</v>
      </c>
      <c r="B216" s="107" t="s">
        <v>468</v>
      </c>
      <c r="C216" s="189">
        <v>46002</v>
      </c>
      <c r="D216" s="105" t="s">
        <v>479</v>
      </c>
      <c r="E216" s="106">
        <v>46002.115737962966</v>
      </c>
      <c r="F216" s="108">
        <v>1883</v>
      </c>
      <c r="G216" s="192">
        <v>38.806216999999997</v>
      </c>
      <c r="H216" s="192">
        <v>12.619179000000001</v>
      </c>
      <c r="I216" s="107" t="s">
        <v>3775</v>
      </c>
      <c r="J216" s="105" t="s">
        <v>3589</v>
      </c>
      <c r="K216" s="105" t="s">
        <v>3450</v>
      </c>
      <c r="L216" s="105" t="s">
        <v>2229</v>
      </c>
      <c r="M216" s="74" t="s">
        <v>3771</v>
      </c>
      <c r="N216" s="107" t="s">
        <v>3776</v>
      </c>
    </row>
    <row r="217" spans="1:14">
      <c r="A217" s="105" t="s">
        <v>213</v>
      </c>
      <c r="B217" s="105" t="s">
        <v>488</v>
      </c>
      <c r="C217" s="112">
        <v>46003</v>
      </c>
      <c r="D217" s="105" t="s">
        <v>495</v>
      </c>
      <c r="E217" s="106">
        <v>3.2731481481481479E-2</v>
      </c>
      <c r="F217" s="108">
        <v>2109</v>
      </c>
      <c r="G217" s="179">
        <v>38.811070000000001</v>
      </c>
      <c r="H217" s="179">
        <v>12.789348</v>
      </c>
      <c r="I217" s="105" t="s">
        <v>3777</v>
      </c>
      <c r="J217" s="183" t="s">
        <v>1070</v>
      </c>
      <c r="N217" s="107" t="s">
        <v>3465</v>
      </c>
    </row>
    <row r="218" spans="1:14">
      <c r="A218" s="105" t="s">
        <v>213</v>
      </c>
      <c r="B218" s="105" t="s">
        <v>488</v>
      </c>
      <c r="C218" s="112">
        <v>46003</v>
      </c>
      <c r="D218" s="105" t="s">
        <v>499</v>
      </c>
      <c r="E218" s="106">
        <v>0.39328703703703705</v>
      </c>
      <c r="F218" s="108">
        <v>1857</v>
      </c>
      <c r="G218" s="179">
        <v>38.803400000000003</v>
      </c>
      <c r="H218" s="179">
        <v>12.831446</v>
      </c>
      <c r="I218" s="105" t="s">
        <v>3778</v>
      </c>
      <c r="J218" s="105" t="s">
        <v>3589</v>
      </c>
      <c r="K218" s="105" t="s">
        <v>3450</v>
      </c>
      <c r="L218" s="105" t="s">
        <v>3779</v>
      </c>
      <c r="M218" s="74" t="s">
        <v>3591</v>
      </c>
      <c r="N218" s="107" t="s">
        <v>3776</v>
      </c>
    </row>
    <row r="219" spans="1:14">
      <c r="A219" s="105" t="s">
        <v>213</v>
      </c>
      <c r="B219" s="105" t="s">
        <v>488</v>
      </c>
      <c r="C219" s="112">
        <v>46003</v>
      </c>
      <c r="D219" s="105" t="s">
        <v>499</v>
      </c>
      <c r="E219" s="106">
        <v>0.39328703703703705</v>
      </c>
      <c r="F219" s="108">
        <v>1857</v>
      </c>
      <c r="G219" s="179">
        <v>38.803400000000003</v>
      </c>
      <c r="H219" s="179">
        <v>12.831446</v>
      </c>
      <c r="I219" s="105" t="s">
        <v>3780</v>
      </c>
      <c r="J219" s="105" t="s">
        <v>3589</v>
      </c>
      <c r="K219" s="105" t="s">
        <v>3455</v>
      </c>
      <c r="L219" s="105" t="s">
        <v>3779</v>
      </c>
      <c r="M219" s="74" t="s">
        <v>3781</v>
      </c>
      <c r="N219" s="107" t="s">
        <v>3776</v>
      </c>
    </row>
    <row r="220" spans="1:14">
      <c r="A220" s="105" t="s">
        <v>213</v>
      </c>
      <c r="B220" s="105" t="s">
        <v>488</v>
      </c>
      <c r="C220" s="112">
        <v>46003</v>
      </c>
      <c r="D220" s="105" t="s">
        <v>499</v>
      </c>
      <c r="E220" s="106">
        <v>0.39328703703703705</v>
      </c>
      <c r="F220" s="108">
        <v>1857</v>
      </c>
      <c r="G220" s="179">
        <v>38.803400000000003</v>
      </c>
      <c r="H220" s="179">
        <v>12.831446</v>
      </c>
      <c r="I220" s="105" t="s">
        <v>3782</v>
      </c>
      <c r="J220" s="105" t="s">
        <v>3589</v>
      </c>
      <c r="K220" s="105" t="s">
        <v>3450</v>
      </c>
      <c r="L220" s="105" t="s">
        <v>3779</v>
      </c>
      <c r="M220" s="74" t="s">
        <v>3591</v>
      </c>
      <c r="N220" s="107" t="s">
        <v>3783</v>
      </c>
    </row>
    <row r="221" spans="1:14">
      <c r="A221" s="105" t="s">
        <v>213</v>
      </c>
      <c r="B221" s="105" t="s">
        <v>488</v>
      </c>
      <c r="C221" s="112">
        <v>46003</v>
      </c>
      <c r="D221" s="105" t="s">
        <v>499</v>
      </c>
      <c r="E221" s="106">
        <v>0.4099652777777778</v>
      </c>
      <c r="F221" s="108">
        <v>1853</v>
      </c>
      <c r="G221" s="179">
        <v>38.803249999999998</v>
      </c>
      <c r="H221" s="179">
        <v>12.831642</v>
      </c>
      <c r="I221" s="105" t="s">
        <v>3784</v>
      </c>
      <c r="J221" s="105" t="s">
        <v>3589</v>
      </c>
      <c r="K221" s="105" t="s">
        <v>3450</v>
      </c>
      <c r="L221" s="105" t="s">
        <v>3785</v>
      </c>
      <c r="M221" s="74" t="s">
        <v>3591</v>
      </c>
      <c r="N221" s="107" t="s">
        <v>3776</v>
      </c>
    </row>
    <row r="222" spans="1:14">
      <c r="A222" s="105" t="s">
        <v>213</v>
      </c>
      <c r="B222" s="105" t="s">
        <v>488</v>
      </c>
      <c r="C222" s="112">
        <v>46004</v>
      </c>
      <c r="D222" s="105" t="s">
        <v>510</v>
      </c>
      <c r="E222" s="106">
        <v>0.67222222222222228</v>
      </c>
      <c r="F222" s="108">
        <v>2060</v>
      </c>
      <c r="G222" s="179">
        <v>38.767795999999997</v>
      </c>
      <c r="H222" s="179">
        <v>12.763529999999999</v>
      </c>
      <c r="I222" s="105" t="s">
        <v>3786</v>
      </c>
      <c r="J222" s="105" t="s">
        <v>3589</v>
      </c>
      <c r="K222" s="105" t="s">
        <v>3455</v>
      </c>
      <c r="L222" s="105" t="s">
        <v>2254</v>
      </c>
      <c r="M222" s="74" t="s">
        <v>3591</v>
      </c>
      <c r="N222" s="107" t="s">
        <v>3787</v>
      </c>
    </row>
    <row r="223" spans="1:14">
      <c r="A223" s="105" t="s">
        <v>213</v>
      </c>
      <c r="B223" s="105" t="s">
        <v>488</v>
      </c>
      <c r="C223" s="112">
        <v>46004</v>
      </c>
      <c r="D223" s="105" t="s">
        <v>510</v>
      </c>
      <c r="E223" s="106">
        <v>0.72916666666666663</v>
      </c>
      <c r="F223" s="108">
        <v>1939</v>
      </c>
      <c r="G223" s="179">
        <v>38.770052999999997</v>
      </c>
      <c r="H223" s="179">
        <v>12.763904</v>
      </c>
      <c r="I223" s="105" t="s">
        <v>3788</v>
      </c>
      <c r="J223" s="105" t="s">
        <v>3589</v>
      </c>
      <c r="K223" s="105" t="s">
        <v>3450</v>
      </c>
      <c r="L223" s="105" t="s">
        <v>1229</v>
      </c>
      <c r="M223" s="74" t="s">
        <v>3591</v>
      </c>
      <c r="N223" s="107" t="s">
        <v>3789</v>
      </c>
    </row>
    <row r="224" spans="1:14">
      <c r="A224" s="105" t="s">
        <v>213</v>
      </c>
      <c r="B224" s="105" t="s">
        <v>488</v>
      </c>
      <c r="C224" s="112">
        <v>46005</v>
      </c>
      <c r="D224" s="105" t="s">
        <v>499</v>
      </c>
      <c r="E224" s="106">
        <v>0.145625</v>
      </c>
      <c r="F224" s="108">
        <v>1859</v>
      </c>
      <c r="G224" s="179">
        <v>38.803395999999999</v>
      </c>
      <c r="H224" s="179">
        <v>12.831434</v>
      </c>
      <c r="I224" s="105" t="s">
        <v>3790</v>
      </c>
      <c r="J224" s="105" t="s">
        <v>1059</v>
      </c>
      <c r="K224" s="105" t="s">
        <v>3791</v>
      </c>
      <c r="L224" s="105" t="s">
        <v>3792</v>
      </c>
      <c r="M224" s="74" t="s">
        <v>1059</v>
      </c>
      <c r="N224" s="107" t="s">
        <v>3793</v>
      </c>
    </row>
    <row r="225" spans="1:14">
      <c r="A225" s="105" t="s">
        <v>213</v>
      </c>
      <c r="B225" s="105" t="s">
        <v>488</v>
      </c>
      <c r="C225" s="112">
        <v>46005</v>
      </c>
      <c r="D225" s="105" t="s">
        <v>499</v>
      </c>
      <c r="E225" s="106">
        <v>0.145625</v>
      </c>
      <c r="F225" s="108">
        <v>1859</v>
      </c>
      <c r="G225" s="179">
        <v>38.803395999999999</v>
      </c>
      <c r="H225" s="179">
        <v>12.831434</v>
      </c>
      <c r="I225" s="105" t="s">
        <v>3794</v>
      </c>
      <c r="J225" s="105" t="s">
        <v>1059</v>
      </c>
      <c r="K225" s="105" t="s">
        <v>3791</v>
      </c>
      <c r="L225" s="105" t="s">
        <v>3792</v>
      </c>
      <c r="M225" s="74" t="s">
        <v>1059</v>
      </c>
      <c r="N225" s="107" t="s">
        <v>3793</v>
      </c>
    </row>
    <row r="226" spans="1:14">
      <c r="A226" s="105" t="s">
        <v>213</v>
      </c>
      <c r="B226" s="105" t="s">
        <v>488</v>
      </c>
      <c r="C226" s="112">
        <v>46005</v>
      </c>
      <c r="D226" s="105" t="s">
        <v>499</v>
      </c>
      <c r="E226" s="106">
        <v>0.145625</v>
      </c>
      <c r="F226" s="108">
        <v>1859</v>
      </c>
      <c r="G226" s="179">
        <v>38.803395999999999</v>
      </c>
      <c r="H226" s="179">
        <v>12.831434</v>
      </c>
      <c r="I226" s="105" t="s">
        <v>3795</v>
      </c>
      <c r="J226" s="105" t="s">
        <v>1059</v>
      </c>
      <c r="K226" s="105" t="s">
        <v>3791</v>
      </c>
      <c r="L226" s="105" t="s">
        <v>3792</v>
      </c>
      <c r="M226" s="124" t="s">
        <v>1059</v>
      </c>
      <c r="N226" s="107" t="s">
        <v>3793</v>
      </c>
    </row>
    <row r="227" spans="1:14">
      <c r="A227" s="105" t="s">
        <v>213</v>
      </c>
      <c r="B227" s="105" t="s">
        <v>488</v>
      </c>
      <c r="C227" s="112">
        <v>46005</v>
      </c>
      <c r="D227" s="105" t="s">
        <v>499</v>
      </c>
      <c r="E227" s="106">
        <v>0.145625</v>
      </c>
      <c r="F227" s="108">
        <v>1859</v>
      </c>
      <c r="G227" s="179">
        <v>38.803395999999999</v>
      </c>
      <c r="H227" s="179">
        <v>12.831434</v>
      </c>
      <c r="I227" s="105" t="s">
        <v>3796</v>
      </c>
      <c r="J227" s="105" t="s">
        <v>1059</v>
      </c>
      <c r="K227" s="105" t="s">
        <v>3797</v>
      </c>
      <c r="M227" s="124" t="s">
        <v>1059</v>
      </c>
      <c r="N227" s="107" t="s">
        <v>3789</v>
      </c>
    </row>
    <row r="228" spans="1:14">
      <c r="A228" s="105" t="s">
        <v>213</v>
      </c>
      <c r="B228" s="105" t="s">
        <v>488</v>
      </c>
      <c r="C228" s="112">
        <v>46005</v>
      </c>
      <c r="D228" s="105" t="s">
        <v>499</v>
      </c>
      <c r="E228" s="106">
        <v>0.145625</v>
      </c>
      <c r="F228" s="108">
        <v>1859</v>
      </c>
      <c r="G228" s="179">
        <v>38.803395999999999</v>
      </c>
      <c r="H228" s="179">
        <v>12.831434</v>
      </c>
      <c r="I228" s="105" t="s">
        <v>3798</v>
      </c>
      <c r="J228" s="105" t="s">
        <v>1059</v>
      </c>
      <c r="K228" s="105" t="s">
        <v>3797</v>
      </c>
      <c r="M228" s="124" t="s">
        <v>1059</v>
      </c>
      <c r="N228" s="107" t="s">
        <v>3789</v>
      </c>
    </row>
    <row r="229" spans="1:14">
      <c r="A229" s="105" t="s">
        <v>213</v>
      </c>
      <c r="B229" s="105" t="s">
        <v>488</v>
      </c>
      <c r="C229" s="112">
        <v>46005</v>
      </c>
      <c r="D229" s="105" t="s">
        <v>499</v>
      </c>
      <c r="E229" s="106">
        <v>0.145625</v>
      </c>
      <c r="F229" s="108">
        <v>1859</v>
      </c>
      <c r="G229" s="179">
        <v>38.803395999999999</v>
      </c>
      <c r="H229" s="179">
        <v>12.831434</v>
      </c>
      <c r="I229" s="105" t="s">
        <v>3799</v>
      </c>
      <c r="J229" s="105" t="s">
        <v>1059</v>
      </c>
      <c r="K229" s="105" t="s">
        <v>3797</v>
      </c>
      <c r="L229" s="105" t="s">
        <v>3800</v>
      </c>
      <c r="M229" s="124" t="s">
        <v>1059</v>
      </c>
      <c r="N229" s="107" t="s">
        <v>3789</v>
      </c>
    </row>
    <row r="230" spans="1:14">
      <c r="A230" s="105" t="s">
        <v>213</v>
      </c>
      <c r="B230" s="105" t="s">
        <v>488</v>
      </c>
      <c r="C230" s="112">
        <v>46005</v>
      </c>
      <c r="D230" s="190" t="s">
        <v>499</v>
      </c>
      <c r="E230" s="106">
        <v>0.16714120370370369</v>
      </c>
      <c r="F230" s="108">
        <v>1826</v>
      </c>
      <c r="G230" s="179">
        <v>38.802750000000003</v>
      </c>
      <c r="H230" s="179">
        <v>12.832437000000001</v>
      </c>
      <c r="I230" s="29" t="s">
        <v>3801</v>
      </c>
      <c r="J230" s="105" t="s">
        <v>1059</v>
      </c>
      <c r="K230" s="105" t="s">
        <v>3791</v>
      </c>
      <c r="L230" s="105" t="s">
        <v>3792</v>
      </c>
      <c r="M230" s="124" t="s">
        <v>1059</v>
      </c>
      <c r="N230" s="29" t="s">
        <v>3793</v>
      </c>
    </row>
    <row r="231" spans="1:14">
      <c r="A231" s="105" t="s">
        <v>213</v>
      </c>
      <c r="B231" s="105" t="s">
        <v>488</v>
      </c>
      <c r="C231" s="112">
        <v>46005</v>
      </c>
      <c r="D231" s="190" t="s">
        <v>499</v>
      </c>
      <c r="E231" s="106">
        <v>0.16714120370370369</v>
      </c>
      <c r="F231" s="108">
        <v>1826</v>
      </c>
      <c r="G231" s="179">
        <v>38.802750000000003</v>
      </c>
      <c r="H231" s="179">
        <v>12.832437000000001</v>
      </c>
      <c r="I231" s="29" t="s">
        <v>3802</v>
      </c>
      <c r="J231" s="105" t="s">
        <v>1059</v>
      </c>
      <c r="K231" s="105" t="s">
        <v>3791</v>
      </c>
      <c r="L231" s="105" t="s">
        <v>3792</v>
      </c>
      <c r="M231" s="124" t="s">
        <v>1059</v>
      </c>
      <c r="N231" s="29" t="s">
        <v>3793</v>
      </c>
    </row>
    <row r="232" spans="1:14">
      <c r="A232" s="105" t="s">
        <v>213</v>
      </c>
      <c r="B232" s="105" t="s">
        <v>488</v>
      </c>
      <c r="C232" s="112">
        <v>46005</v>
      </c>
      <c r="D232" s="190" t="s">
        <v>499</v>
      </c>
      <c r="E232" s="106">
        <v>0.16714120370370369</v>
      </c>
      <c r="F232" s="108">
        <v>1826</v>
      </c>
      <c r="G232" s="179">
        <v>38.802750000000003</v>
      </c>
      <c r="H232" s="179">
        <v>12.832437000000001</v>
      </c>
      <c r="I232" s="29" t="s">
        <v>3803</v>
      </c>
      <c r="J232" s="105" t="s">
        <v>1059</v>
      </c>
      <c r="K232" s="105" t="s">
        <v>3791</v>
      </c>
      <c r="L232" s="105" t="s">
        <v>3792</v>
      </c>
      <c r="M232" s="124" t="s">
        <v>1059</v>
      </c>
      <c r="N232" s="29" t="s">
        <v>3793</v>
      </c>
    </row>
    <row r="233" spans="1:14">
      <c r="A233" s="105" t="s">
        <v>213</v>
      </c>
      <c r="B233" s="105" t="s">
        <v>488</v>
      </c>
      <c r="C233" s="112">
        <v>46005</v>
      </c>
      <c r="D233" s="190" t="s">
        <v>499</v>
      </c>
      <c r="E233" s="106">
        <v>0.16714120370370369</v>
      </c>
      <c r="F233" s="108">
        <v>1826</v>
      </c>
      <c r="G233" s="179">
        <v>38.802750000000003</v>
      </c>
      <c r="H233" s="179">
        <v>12.832437000000001</v>
      </c>
      <c r="I233" s="29" t="s">
        <v>3804</v>
      </c>
      <c r="J233" s="105" t="s">
        <v>1059</v>
      </c>
      <c r="K233" s="105" t="s">
        <v>3797</v>
      </c>
      <c r="M233" s="124" t="s">
        <v>1059</v>
      </c>
      <c r="N233" s="29" t="s">
        <v>3789</v>
      </c>
    </row>
    <row r="234" spans="1:14">
      <c r="A234" s="105" t="s">
        <v>213</v>
      </c>
      <c r="B234" s="105" t="s">
        <v>488</v>
      </c>
      <c r="C234" s="112">
        <v>46005</v>
      </c>
      <c r="D234" s="190" t="s">
        <v>499</v>
      </c>
      <c r="E234" s="106">
        <v>0.16714120370370369</v>
      </c>
      <c r="F234" s="108">
        <v>1826</v>
      </c>
      <c r="G234" s="179">
        <v>38.802750000000003</v>
      </c>
      <c r="H234" s="179">
        <v>12.832437000000001</v>
      </c>
      <c r="I234" s="29" t="s">
        <v>3805</v>
      </c>
      <c r="J234" s="105" t="s">
        <v>1059</v>
      </c>
      <c r="K234" s="105" t="s">
        <v>3797</v>
      </c>
      <c r="M234" s="124" t="s">
        <v>1059</v>
      </c>
      <c r="N234" s="29" t="s">
        <v>3789</v>
      </c>
    </row>
    <row r="235" spans="1:14">
      <c r="A235" s="105" t="s">
        <v>213</v>
      </c>
      <c r="B235" s="105" t="s">
        <v>488</v>
      </c>
      <c r="C235" s="112">
        <v>46005</v>
      </c>
      <c r="D235" s="190" t="s">
        <v>499</v>
      </c>
      <c r="E235" s="106">
        <v>0.16714120370370369</v>
      </c>
      <c r="F235" s="108">
        <v>1826</v>
      </c>
      <c r="G235" s="179">
        <v>38.802750000000003</v>
      </c>
      <c r="H235" s="179">
        <v>12.832437000000001</v>
      </c>
      <c r="I235" s="29" t="s">
        <v>3806</v>
      </c>
      <c r="J235" s="105" t="s">
        <v>1059</v>
      </c>
      <c r="K235" s="105" t="s">
        <v>3797</v>
      </c>
      <c r="L235" s="105" t="s">
        <v>3807</v>
      </c>
      <c r="M235" s="124" t="s">
        <v>1059</v>
      </c>
      <c r="N235" s="29" t="s">
        <v>3789</v>
      </c>
    </row>
    <row r="236" spans="1:14">
      <c r="A236" s="105" t="s">
        <v>213</v>
      </c>
      <c r="B236" s="105" t="s">
        <v>516</v>
      </c>
      <c r="C236" s="112">
        <v>46005</v>
      </c>
      <c r="D236" s="190" t="s">
        <v>521</v>
      </c>
      <c r="E236" s="106">
        <v>0.79193287037037041</v>
      </c>
      <c r="F236" s="108">
        <v>1592</v>
      </c>
      <c r="G236" s="179">
        <v>38.737254</v>
      </c>
      <c r="H236" s="179">
        <v>12.933221</v>
      </c>
      <c r="I236" s="105" t="s">
        <v>3808</v>
      </c>
      <c r="J236" s="105" t="s">
        <v>1070</v>
      </c>
      <c r="N236" s="107" t="s">
        <v>3465</v>
      </c>
    </row>
    <row r="237" spans="1:14">
      <c r="A237" s="105" t="s">
        <v>213</v>
      </c>
      <c r="B237" s="105" t="s">
        <v>516</v>
      </c>
      <c r="C237" s="112">
        <v>46005</v>
      </c>
      <c r="D237" s="190" t="s">
        <v>521</v>
      </c>
      <c r="E237" s="106">
        <v>0.87246527777777783</v>
      </c>
      <c r="F237" s="108">
        <v>1466</v>
      </c>
      <c r="G237" s="179">
        <v>38.735895999999997</v>
      </c>
      <c r="H237" s="179">
        <v>12.92958</v>
      </c>
      <c r="I237" s="105" t="s">
        <v>3809</v>
      </c>
      <c r="J237" s="105" t="s">
        <v>3589</v>
      </c>
      <c r="K237" s="105" t="s">
        <v>3450</v>
      </c>
      <c r="L237" s="105" t="s">
        <v>2040</v>
      </c>
      <c r="M237" s="74" t="s">
        <v>3547</v>
      </c>
      <c r="N237" s="107" t="s">
        <v>3787</v>
      </c>
    </row>
    <row r="238" spans="1:14">
      <c r="A238" s="105" t="s">
        <v>213</v>
      </c>
      <c r="B238" s="105" t="s">
        <v>516</v>
      </c>
      <c r="C238" s="112">
        <v>46007</v>
      </c>
      <c r="D238" s="105" t="s">
        <v>527</v>
      </c>
      <c r="E238" s="56">
        <v>46007.449456365743</v>
      </c>
      <c r="F238" s="108">
        <v>1633</v>
      </c>
      <c r="G238" s="179">
        <v>38.742631000000003</v>
      </c>
      <c r="H238" s="179">
        <v>12.916223</v>
      </c>
      <c r="I238" s="105" t="s">
        <v>3810</v>
      </c>
      <c r="J238" s="105" t="s">
        <v>3589</v>
      </c>
      <c r="K238" s="105" t="s">
        <v>3455</v>
      </c>
      <c r="L238" s="105" t="s">
        <v>3811</v>
      </c>
      <c r="M238" s="74" t="s">
        <v>3812</v>
      </c>
    </row>
    <row r="239" spans="1:14">
      <c r="A239" s="105" t="s">
        <v>213</v>
      </c>
      <c r="B239" s="105" t="s">
        <v>516</v>
      </c>
      <c r="C239" s="112">
        <v>46007</v>
      </c>
      <c r="D239" s="105" t="s">
        <v>527</v>
      </c>
      <c r="E239" s="56">
        <v>46007.449456018519</v>
      </c>
      <c r="F239" s="108">
        <v>1633</v>
      </c>
      <c r="G239" s="179">
        <v>38.742631000000003</v>
      </c>
      <c r="H239" s="179">
        <v>12.916223</v>
      </c>
      <c r="I239" s="105" t="s">
        <v>3813</v>
      </c>
      <c r="J239" s="105" t="s">
        <v>3589</v>
      </c>
      <c r="K239" s="105" t="s">
        <v>3455</v>
      </c>
      <c r="L239" s="105" t="s">
        <v>3811</v>
      </c>
      <c r="M239" s="74" t="s">
        <v>3812</v>
      </c>
    </row>
    <row r="240" spans="1:14">
      <c r="A240" s="105" t="s">
        <v>213</v>
      </c>
      <c r="B240" s="105" t="s">
        <v>516</v>
      </c>
      <c r="C240" s="112">
        <v>46008</v>
      </c>
      <c r="D240" s="105" t="s">
        <v>535</v>
      </c>
      <c r="E240" s="106">
        <v>46007.899595601855</v>
      </c>
      <c r="F240" s="108">
        <v>1914</v>
      </c>
      <c r="G240" s="179">
        <v>38.736241999999997</v>
      </c>
      <c r="H240" s="179">
        <v>12.876571</v>
      </c>
      <c r="I240" s="105" t="s">
        <v>3814</v>
      </c>
      <c r="J240" s="105" t="s">
        <v>1070</v>
      </c>
      <c r="N240" s="107" t="s">
        <v>3465</v>
      </c>
    </row>
    <row r="241" spans="1:14">
      <c r="A241" s="105" t="s">
        <v>213</v>
      </c>
      <c r="B241" s="105" t="s">
        <v>540</v>
      </c>
      <c r="C241" s="112">
        <v>46008</v>
      </c>
      <c r="D241" s="105" t="s">
        <v>541</v>
      </c>
      <c r="E241" s="106">
        <v>0.46527777777777779</v>
      </c>
      <c r="F241" s="108">
        <v>1950</v>
      </c>
      <c r="G241" s="179">
        <v>39.128194000000001</v>
      </c>
      <c r="H241" s="179">
        <v>12.496276</v>
      </c>
      <c r="I241" s="105" t="s">
        <v>3815</v>
      </c>
      <c r="J241" s="105" t="s">
        <v>1070</v>
      </c>
      <c r="N241" s="107" t="s">
        <v>3465</v>
      </c>
    </row>
    <row r="242" spans="1:14">
      <c r="A242" s="105" t="s">
        <v>213</v>
      </c>
      <c r="B242" s="105" t="s">
        <v>540</v>
      </c>
      <c r="C242" s="112">
        <v>46008</v>
      </c>
      <c r="D242" s="105" t="s">
        <v>541</v>
      </c>
      <c r="E242" s="106">
        <v>0.36527777777777776</v>
      </c>
      <c r="F242" s="108">
        <v>2019</v>
      </c>
      <c r="G242" s="179">
        <v>39.124851</v>
      </c>
      <c r="H242" s="179">
        <v>12.499464</v>
      </c>
      <c r="I242" s="105" t="s">
        <v>3816</v>
      </c>
      <c r="J242" s="105" t="s">
        <v>3589</v>
      </c>
      <c r="K242" s="105" t="s">
        <v>3450</v>
      </c>
      <c r="L242" s="105" t="s">
        <v>3817</v>
      </c>
      <c r="M242" s="197" t="s">
        <v>3812</v>
      </c>
    </row>
    <row r="243" spans="1:14">
      <c r="A243" s="105" t="s">
        <v>213</v>
      </c>
      <c r="B243" s="105" t="s">
        <v>540</v>
      </c>
      <c r="C243" s="112">
        <v>46008</v>
      </c>
      <c r="D243" s="105" t="s">
        <v>541</v>
      </c>
      <c r="E243" s="106">
        <v>0.36527777777777776</v>
      </c>
      <c r="F243" s="108">
        <v>2019</v>
      </c>
      <c r="G243" s="179">
        <v>39.124851</v>
      </c>
      <c r="H243" s="179">
        <v>12.499464</v>
      </c>
      <c r="I243" s="105" t="s">
        <v>3818</v>
      </c>
      <c r="J243" s="105" t="s">
        <v>3427</v>
      </c>
      <c r="K243" s="105" t="s">
        <v>3455</v>
      </c>
      <c r="L243" s="105" t="s">
        <v>3528</v>
      </c>
      <c r="M243" s="197" t="s">
        <v>3812</v>
      </c>
      <c r="N243" s="105"/>
    </row>
    <row r="244" spans="1:14">
      <c r="A244" s="105" t="s">
        <v>213</v>
      </c>
      <c r="B244" s="105" t="s">
        <v>540</v>
      </c>
      <c r="C244" s="112">
        <v>46008</v>
      </c>
      <c r="D244" s="105" t="s">
        <v>541</v>
      </c>
      <c r="E244" s="106">
        <v>46008.786446759259</v>
      </c>
      <c r="F244" s="108">
        <v>2118</v>
      </c>
      <c r="G244" s="179">
        <v>39.135914999999997</v>
      </c>
      <c r="H244" s="179">
        <v>12.484184000000001</v>
      </c>
      <c r="I244" s="105" t="s">
        <v>3819</v>
      </c>
      <c r="J244" s="105" t="s">
        <v>3589</v>
      </c>
      <c r="K244" s="105" t="s">
        <v>3455</v>
      </c>
      <c r="L244" s="105" t="s">
        <v>3820</v>
      </c>
      <c r="M244" s="197" t="s">
        <v>3812</v>
      </c>
      <c r="N244" s="105"/>
    </row>
    <row r="245" spans="1:14">
      <c r="A245" s="105" t="s">
        <v>213</v>
      </c>
      <c r="B245" s="105" t="s">
        <v>540</v>
      </c>
      <c r="C245" s="112">
        <v>46008</v>
      </c>
      <c r="D245" s="105" t="s">
        <v>541</v>
      </c>
      <c r="E245" s="106">
        <v>46008.850358796299</v>
      </c>
      <c r="F245" s="108">
        <v>2109</v>
      </c>
      <c r="G245" s="179">
        <v>39.136012999999998</v>
      </c>
      <c r="H245" s="179">
        <v>12.482517</v>
      </c>
      <c r="I245" s="105" t="s">
        <v>3821</v>
      </c>
      <c r="J245" s="105" t="s">
        <v>3589</v>
      </c>
      <c r="K245" s="105" t="s">
        <v>3450</v>
      </c>
      <c r="L245" s="105" t="s">
        <v>3822</v>
      </c>
      <c r="M245" s="197" t="s">
        <v>3823</v>
      </c>
      <c r="N245" s="105"/>
    </row>
    <row r="246" spans="1:14">
      <c r="A246" s="105" t="s">
        <v>213</v>
      </c>
      <c r="B246" s="105" t="s">
        <v>540</v>
      </c>
      <c r="C246" s="112">
        <v>46008</v>
      </c>
      <c r="D246" s="105" t="s">
        <v>541</v>
      </c>
      <c r="E246" s="106">
        <v>46008.850358796299</v>
      </c>
      <c r="F246" s="108">
        <v>2109</v>
      </c>
      <c r="G246" s="179">
        <v>39.136012999999998</v>
      </c>
      <c r="H246" s="179">
        <v>12.482517</v>
      </c>
      <c r="I246" s="105" t="s">
        <v>3824</v>
      </c>
      <c r="J246" s="105" t="s">
        <v>3589</v>
      </c>
      <c r="K246" s="105" t="s">
        <v>3450</v>
      </c>
      <c r="L246" s="105" t="s">
        <v>3817</v>
      </c>
      <c r="M246" s="197" t="s">
        <v>3825</v>
      </c>
      <c r="N246" s="105"/>
    </row>
    <row r="247" spans="1:14">
      <c r="A247" s="105" t="s">
        <v>213</v>
      </c>
      <c r="B247" s="105" t="s">
        <v>540</v>
      </c>
      <c r="C247" s="112">
        <v>46009</v>
      </c>
      <c r="D247" s="105" t="s">
        <v>546</v>
      </c>
      <c r="E247" s="106">
        <v>46009.123099999997</v>
      </c>
      <c r="F247" s="108">
        <v>2091</v>
      </c>
      <c r="G247" s="179">
        <v>39.132285000000003</v>
      </c>
      <c r="H247" s="179">
        <v>12.469343</v>
      </c>
      <c r="I247" s="105" t="s">
        <v>3826</v>
      </c>
      <c r="J247" s="105" t="s">
        <v>3589</v>
      </c>
      <c r="K247" s="105" t="s">
        <v>3450</v>
      </c>
      <c r="L247" s="105" t="s">
        <v>3827</v>
      </c>
      <c r="M247" s="197" t="s">
        <v>3547</v>
      </c>
      <c r="N247" s="105" t="s">
        <v>3828</v>
      </c>
    </row>
    <row r="248" spans="1:14">
      <c r="A248" s="105" t="s">
        <v>213</v>
      </c>
      <c r="B248" s="105" t="s">
        <v>550</v>
      </c>
      <c r="C248" s="112">
        <v>46010</v>
      </c>
      <c r="D248" s="105" t="s">
        <v>555</v>
      </c>
      <c r="E248" s="106">
        <v>0.84116898148148145</v>
      </c>
      <c r="F248" s="108">
        <v>2133</v>
      </c>
      <c r="G248" s="179">
        <v>38.973357999999998</v>
      </c>
      <c r="H248" s="179">
        <v>12.235818</v>
      </c>
      <c r="I248" s="105" t="s">
        <v>3829</v>
      </c>
      <c r="J248" s="105" t="s">
        <v>1070</v>
      </c>
      <c r="M248" s="197"/>
      <c r="N248" s="105" t="s">
        <v>3465</v>
      </c>
    </row>
    <row r="249" spans="1:14">
      <c r="A249" s="105" t="s">
        <v>213</v>
      </c>
      <c r="B249" s="105" t="s">
        <v>550</v>
      </c>
      <c r="C249" s="112">
        <v>46010</v>
      </c>
      <c r="D249" s="183" t="s">
        <v>555</v>
      </c>
      <c r="E249" s="56">
        <v>0.28819444444444442</v>
      </c>
      <c r="F249" s="108">
        <v>1918</v>
      </c>
      <c r="G249" s="179">
        <v>38.986843999999998</v>
      </c>
      <c r="H249" s="179">
        <v>12.230864</v>
      </c>
      <c r="I249" s="105" t="s">
        <v>3830</v>
      </c>
      <c r="J249" s="105" t="s">
        <v>3589</v>
      </c>
      <c r="K249" s="105" t="s">
        <v>3791</v>
      </c>
      <c r="L249" s="105" t="s">
        <v>3831</v>
      </c>
      <c r="M249" s="197" t="s">
        <v>3832</v>
      </c>
      <c r="N249" s="105" t="s">
        <v>3833</v>
      </c>
    </row>
    <row r="250" spans="1:14">
      <c r="A250" s="105" t="s">
        <v>213</v>
      </c>
      <c r="B250" s="105" t="s">
        <v>550</v>
      </c>
      <c r="C250" s="112">
        <v>46010</v>
      </c>
      <c r="D250" s="183" t="s">
        <v>555</v>
      </c>
      <c r="E250" s="56">
        <v>0.28819444444444442</v>
      </c>
      <c r="F250" s="108">
        <v>1918</v>
      </c>
      <c r="G250" s="179">
        <v>38.986843999999998</v>
      </c>
      <c r="H250" s="179">
        <v>12.230864</v>
      </c>
      <c r="I250" s="105" t="s">
        <v>3834</v>
      </c>
      <c r="J250" s="105" t="s">
        <v>3589</v>
      </c>
      <c r="K250" s="105" t="s">
        <v>3450</v>
      </c>
      <c r="L250" s="105" t="s">
        <v>3835</v>
      </c>
      <c r="M250" s="197" t="s">
        <v>3836</v>
      </c>
      <c r="N250" s="105" t="s">
        <v>3833</v>
      </c>
    </row>
    <row r="251" spans="1:14">
      <c r="A251" s="105" t="s">
        <v>213</v>
      </c>
      <c r="B251" s="105" t="s">
        <v>558</v>
      </c>
      <c r="C251" s="112">
        <v>46010</v>
      </c>
      <c r="D251" s="105" t="s">
        <v>559</v>
      </c>
      <c r="E251" s="106">
        <v>46010.570608912036</v>
      </c>
      <c r="F251" s="108">
        <v>1968</v>
      </c>
      <c r="G251" s="192">
        <v>38.938448000000001</v>
      </c>
      <c r="H251" s="192">
        <v>12.339969999999999</v>
      </c>
      <c r="I251" s="105" t="s">
        <v>3837</v>
      </c>
      <c r="J251" s="105" t="s">
        <v>3589</v>
      </c>
      <c r="K251" s="105" t="s">
        <v>3450</v>
      </c>
      <c r="L251" s="105" t="s">
        <v>3838</v>
      </c>
      <c r="M251" s="197" t="s">
        <v>3812</v>
      </c>
      <c r="N251" s="107" t="s">
        <v>3758</v>
      </c>
    </row>
    <row r="252" spans="1:14">
      <c r="A252" s="105" t="s">
        <v>213</v>
      </c>
      <c r="B252" s="105" t="s">
        <v>558</v>
      </c>
      <c r="C252" s="112">
        <v>46010</v>
      </c>
      <c r="D252" s="105" t="s">
        <v>562</v>
      </c>
      <c r="E252" s="106">
        <v>0.77478009259259262</v>
      </c>
      <c r="F252" s="108">
        <v>2097</v>
      </c>
      <c r="G252" s="192">
        <v>38.931474999999999</v>
      </c>
      <c r="H252" s="192">
        <v>12.370785</v>
      </c>
      <c r="I252" s="105" t="s">
        <v>3839</v>
      </c>
      <c r="J252" s="105" t="s">
        <v>1070</v>
      </c>
      <c r="M252" s="197"/>
      <c r="N252" s="105" t="s">
        <v>3465</v>
      </c>
    </row>
    <row r="253" spans="1:14">
      <c r="A253" s="105" t="s">
        <v>213</v>
      </c>
      <c r="B253" s="105" t="s">
        <v>558</v>
      </c>
      <c r="C253" s="112">
        <v>46010</v>
      </c>
      <c r="D253" s="105" t="s">
        <v>562</v>
      </c>
      <c r="E253" s="106">
        <v>46010.821479050923</v>
      </c>
      <c r="F253" s="108">
        <v>2010</v>
      </c>
      <c r="G253" s="192">
        <v>38.932763999999999</v>
      </c>
      <c r="H253" s="192">
        <v>12.367585</v>
      </c>
      <c r="I253" s="105" t="s">
        <v>3840</v>
      </c>
      <c r="J253" s="105" t="s">
        <v>3589</v>
      </c>
      <c r="K253" s="105" t="s">
        <v>3450</v>
      </c>
      <c r="L253" s="105" t="s">
        <v>3835</v>
      </c>
      <c r="M253" s="197" t="s">
        <v>3841</v>
      </c>
      <c r="N253" s="105" t="s">
        <v>3833</v>
      </c>
    </row>
    <row r="254" spans="1:14">
      <c r="A254" s="105" t="s">
        <v>213</v>
      </c>
      <c r="B254" s="105" t="s">
        <v>558</v>
      </c>
      <c r="C254" s="112">
        <v>46010</v>
      </c>
      <c r="D254" s="105" t="s">
        <v>562</v>
      </c>
      <c r="E254" s="106">
        <v>46010.821481481478</v>
      </c>
      <c r="F254" s="108">
        <v>2010</v>
      </c>
      <c r="G254" s="192">
        <v>38.932763999999999</v>
      </c>
      <c r="H254" s="192">
        <v>12.367585</v>
      </c>
      <c r="I254" s="105" t="s">
        <v>3842</v>
      </c>
      <c r="J254" s="105" t="s">
        <v>3589</v>
      </c>
      <c r="K254" s="105" t="s">
        <v>3450</v>
      </c>
      <c r="L254" s="105" t="s">
        <v>3831</v>
      </c>
      <c r="M254" s="197" t="s">
        <v>3843</v>
      </c>
      <c r="N254" s="105" t="s">
        <v>3833</v>
      </c>
    </row>
    <row r="255" spans="1:14">
      <c r="A255" s="105" t="s">
        <v>213</v>
      </c>
      <c r="B255" s="105" t="s">
        <v>214</v>
      </c>
      <c r="C255" s="112">
        <v>46011</v>
      </c>
      <c r="D255" s="105" t="s">
        <v>565</v>
      </c>
      <c r="E255" s="106">
        <v>0.24722222222222223</v>
      </c>
      <c r="F255" s="108">
        <v>822</v>
      </c>
      <c r="G255" s="192">
        <v>38.641393000000001</v>
      </c>
      <c r="H255" s="192">
        <v>12.28112</v>
      </c>
      <c r="I255" s="105" t="s">
        <v>3844</v>
      </c>
      <c r="J255" s="105" t="s">
        <v>3589</v>
      </c>
      <c r="K255" s="105" t="s">
        <v>3450</v>
      </c>
      <c r="L255" s="105" t="s">
        <v>3845</v>
      </c>
      <c r="M255" s="197" t="s">
        <v>3825</v>
      </c>
      <c r="N255" s="105" t="s">
        <v>3828</v>
      </c>
    </row>
    <row r="256" spans="1:14">
      <c r="A256" s="105" t="s">
        <v>213</v>
      </c>
      <c r="B256" s="105" t="s">
        <v>214</v>
      </c>
      <c r="C256" s="112">
        <v>46011</v>
      </c>
      <c r="D256" s="105" t="s">
        <v>565</v>
      </c>
      <c r="E256" s="106">
        <v>0.24722222222222223</v>
      </c>
      <c r="F256" s="108">
        <v>822</v>
      </c>
      <c r="G256" s="192">
        <v>38.641393000000001</v>
      </c>
      <c r="H256" s="192">
        <v>12.28112</v>
      </c>
      <c r="I256" s="105" t="s">
        <v>3846</v>
      </c>
      <c r="J256" s="105" t="s">
        <v>3589</v>
      </c>
      <c r="K256" s="105" t="s">
        <v>3450</v>
      </c>
      <c r="L256" s="105" t="s">
        <v>3847</v>
      </c>
      <c r="M256" s="197" t="s">
        <v>3812</v>
      </c>
      <c r="N256" s="105" t="s">
        <v>3828</v>
      </c>
    </row>
    <row r="257" spans="1:14">
      <c r="A257" s="105" t="s">
        <v>213</v>
      </c>
      <c r="B257" s="105" t="s">
        <v>214</v>
      </c>
      <c r="C257" s="112">
        <v>46011</v>
      </c>
      <c r="D257" s="105" t="s">
        <v>565</v>
      </c>
      <c r="E257" s="106">
        <v>0.20409722222222224</v>
      </c>
      <c r="F257" s="108">
        <v>842</v>
      </c>
      <c r="G257" s="192">
        <v>38.643335</v>
      </c>
      <c r="H257" s="192">
        <v>12.280111</v>
      </c>
      <c r="I257" s="105" t="s">
        <v>3848</v>
      </c>
      <c r="J257" s="105" t="s">
        <v>1070</v>
      </c>
      <c r="M257" s="197"/>
      <c r="N257" s="105" t="s">
        <v>3465</v>
      </c>
    </row>
    <row r="258" spans="1:14">
      <c r="A258" s="105" t="s">
        <v>213</v>
      </c>
      <c r="B258" s="105" t="s">
        <v>214</v>
      </c>
      <c r="C258" s="112">
        <v>46011</v>
      </c>
      <c r="D258" s="105" t="s">
        <v>569</v>
      </c>
      <c r="E258" s="106">
        <v>46011.556669328704</v>
      </c>
      <c r="F258" s="108">
        <v>886</v>
      </c>
      <c r="G258" s="192">
        <v>38.671999999999997</v>
      </c>
      <c r="H258" s="192">
        <v>12.208130000000001</v>
      </c>
      <c r="I258" s="105" t="s">
        <v>3849</v>
      </c>
      <c r="J258" s="105" t="s">
        <v>3589</v>
      </c>
      <c r="K258" s="105" t="s">
        <v>3455</v>
      </c>
      <c r="L258" s="105" t="s">
        <v>3850</v>
      </c>
      <c r="M258" s="197" t="s">
        <v>3812</v>
      </c>
      <c r="N258" s="105"/>
    </row>
    <row r="259" spans="1:14">
      <c r="A259" s="105" t="s">
        <v>213</v>
      </c>
      <c r="B259" s="105" t="s">
        <v>214</v>
      </c>
      <c r="C259" s="112">
        <v>46011</v>
      </c>
      <c r="D259" s="105" t="s">
        <v>569</v>
      </c>
      <c r="E259" s="106">
        <v>46011.556669328704</v>
      </c>
      <c r="F259" s="108">
        <v>886</v>
      </c>
      <c r="G259" s="192">
        <v>38.671999999999997</v>
      </c>
      <c r="H259" s="192">
        <v>12.208130000000001</v>
      </c>
      <c r="I259" s="105" t="s">
        <v>3851</v>
      </c>
      <c r="J259" s="105" t="s">
        <v>3589</v>
      </c>
      <c r="K259" s="105" t="s">
        <v>3450</v>
      </c>
      <c r="L259" s="105" t="s">
        <v>3852</v>
      </c>
      <c r="M259" s="197" t="s">
        <v>3591</v>
      </c>
      <c r="N259" s="105"/>
    </row>
    <row r="260" spans="1:14">
      <c r="A260" s="105" t="s">
        <v>213</v>
      </c>
      <c r="B260" s="105" t="s">
        <v>214</v>
      </c>
      <c r="C260" s="112">
        <v>46011</v>
      </c>
      <c r="D260" s="105" t="s">
        <v>572</v>
      </c>
      <c r="E260" s="106">
        <v>0.69893518518518516</v>
      </c>
      <c r="F260" s="108">
        <v>595</v>
      </c>
      <c r="G260" s="192">
        <v>38.634844999999999</v>
      </c>
      <c r="H260" s="192">
        <v>12.202323</v>
      </c>
      <c r="I260" s="105" t="s">
        <v>3853</v>
      </c>
      <c r="J260" s="105" t="s">
        <v>3589</v>
      </c>
      <c r="K260" s="105" t="s">
        <v>3455</v>
      </c>
      <c r="L260" s="105" t="s">
        <v>2411</v>
      </c>
      <c r="M260" s="197" t="s">
        <v>3604</v>
      </c>
    </row>
    <row r="261" spans="1:14">
      <c r="A261" s="105" t="s">
        <v>213</v>
      </c>
      <c r="B261" s="105" t="s">
        <v>214</v>
      </c>
      <c r="C261" s="112">
        <v>46011</v>
      </c>
      <c r="D261" s="105" t="s">
        <v>572</v>
      </c>
      <c r="E261" s="106">
        <v>0.8381481481481482</v>
      </c>
      <c r="F261" s="108">
        <v>601</v>
      </c>
      <c r="G261" s="192">
        <v>38.631956000000002</v>
      </c>
      <c r="H261" s="192">
        <v>12.207521</v>
      </c>
      <c r="I261" s="105" t="s">
        <v>3854</v>
      </c>
      <c r="J261" s="105" t="s">
        <v>3589</v>
      </c>
      <c r="K261" s="105" t="s">
        <v>3450</v>
      </c>
      <c r="L261" s="105" t="s">
        <v>3855</v>
      </c>
      <c r="M261" s="74" t="s">
        <v>3604</v>
      </c>
      <c r="N261" s="107" t="s">
        <v>3856</v>
      </c>
    </row>
    <row r="262" spans="1:14">
      <c r="A262" s="105" t="s">
        <v>213</v>
      </c>
      <c r="B262" s="105" t="s">
        <v>214</v>
      </c>
      <c r="C262" s="112">
        <v>46011</v>
      </c>
      <c r="D262" s="105" t="s">
        <v>572</v>
      </c>
      <c r="E262" s="106">
        <v>0.90226851851851853</v>
      </c>
      <c r="F262" s="108">
        <v>580</v>
      </c>
      <c r="G262" s="192">
        <v>38.630417000000001</v>
      </c>
      <c r="H262" s="192">
        <v>12.209192</v>
      </c>
      <c r="I262" s="105" t="s">
        <v>3857</v>
      </c>
      <c r="J262" s="105" t="s">
        <v>3589</v>
      </c>
      <c r="K262" s="105" t="s">
        <v>3450</v>
      </c>
      <c r="L262" s="105" t="s">
        <v>3858</v>
      </c>
      <c r="M262" s="74" t="s">
        <v>3859</v>
      </c>
      <c r="N262" s="107" t="s">
        <v>3856</v>
      </c>
    </row>
    <row r="263" spans="1:14">
      <c r="A263" s="105" t="s">
        <v>213</v>
      </c>
      <c r="B263" s="105" t="s">
        <v>214</v>
      </c>
      <c r="C263" s="112">
        <v>46011</v>
      </c>
      <c r="D263" s="105" t="s">
        <v>572</v>
      </c>
      <c r="E263" s="106">
        <v>0.90226851851851853</v>
      </c>
      <c r="F263" s="108">
        <v>580</v>
      </c>
      <c r="G263" s="192">
        <v>38.630417000000001</v>
      </c>
      <c r="H263" s="192">
        <v>12.209192</v>
      </c>
      <c r="I263" s="105" t="s">
        <v>3860</v>
      </c>
      <c r="J263" s="105" t="s">
        <v>3589</v>
      </c>
      <c r="K263" s="105" t="s">
        <v>3450</v>
      </c>
      <c r="L263" s="105" t="s">
        <v>3858</v>
      </c>
      <c r="M263" s="74" t="s">
        <v>3859</v>
      </c>
      <c r="N263" s="107" t="s">
        <v>3856</v>
      </c>
    </row>
    <row r="264" spans="1:14">
      <c r="A264" s="105" t="s">
        <v>213</v>
      </c>
      <c r="B264" s="105" t="s">
        <v>214</v>
      </c>
      <c r="C264" s="112">
        <v>46011</v>
      </c>
      <c r="D264" s="105" t="s">
        <v>572</v>
      </c>
      <c r="E264" s="106">
        <v>0.90226851851851897</v>
      </c>
      <c r="F264" s="108">
        <v>580</v>
      </c>
      <c r="G264" s="192">
        <v>38.630417000000001</v>
      </c>
      <c r="H264" s="192">
        <v>12.209192</v>
      </c>
      <c r="I264" s="105" t="s">
        <v>3861</v>
      </c>
      <c r="J264" s="105" t="s">
        <v>3589</v>
      </c>
      <c r="K264" s="105" t="s">
        <v>3450</v>
      </c>
      <c r="L264" s="105" t="s">
        <v>3862</v>
      </c>
      <c r="M264" s="74" t="s">
        <v>3863</v>
      </c>
      <c r="N264" s="107" t="s">
        <v>3828</v>
      </c>
    </row>
    <row r="265" spans="1:14">
      <c r="A265" s="105" t="s">
        <v>213</v>
      </c>
      <c r="B265" s="105" t="s">
        <v>214</v>
      </c>
      <c r="C265" s="112">
        <v>46011</v>
      </c>
      <c r="D265" s="105" t="s">
        <v>572</v>
      </c>
      <c r="E265" s="106">
        <v>0.90226851851851897</v>
      </c>
      <c r="F265" s="108">
        <v>580</v>
      </c>
      <c r="G265" s="192">
        <v>38.630417000000001</v>
      </c>
      <c r="H265" s="192">
        <v>12.209192</v>
      </c>
      <c r="I265" s="105" t="s">
        <v>3864</v>
      </c>
      <c r="J265" s="105" t="s">
        <v>3589</v>
      </c>
      <c r="K265" s="105" t="s">
        <v>3450</v>
      </c>
      <c r="L265" s="105" t="s">
        <v>3862</v>
      </c>
      <c r="M265" s="74" t="s">
        <v>3865</v>
      </c>
      <c r="N265" s="107" t="s">
        <v>3856</v>
      </c>
    </row>
    <row r="266" spans="1:14">
      <c r="A266" s="105" t="s">
        <v>213</v>
      </c>
      <c r="B266" s="105" t="s">
        <v>214</v>
      </c>
      <c r="C266" s="112">
        <v>46011</v>
      </c>
      <c r="D266" s="105" t="s">
        <v>572</v>
      </c>
      <c r="E266" s="106">
        <v>0.90226851851851897</v>
      </c>
      <c r="F266" s="108">
        <v>580</v>
      </c>
      <c r="G266" s="192">
        <v>38.630417000000001</v>
      </c>
      <c r="H266" s="192">
        <v>12.209192</v>
      </c>
      <c r="I266" s="105" t="s">
        <v>3866</v>
      </c>
      <c r="J266" s="105" t="s">
        <v>3589</v>
      </c>
      <c r="K266" s="105" t="s">
        <v>3455</v>
      </c>
      <c r="L266" s="105" t="s">
        <v>3858</v>
      </c>
      <c r="M266" s="74" t="s">
        <v>3867</v>
      </c>
    </row>
    <row r="267" spans="1:14">
      <c r="A267" s="105" t="s">
        <v>213</v>
      </c>
      <c r="B267" s="105" t="s">
        <v>214</v>
      </c>
      <c r="C267" s="112">
        <v>46012</v>
      </c>
      <c r="D267" s="105" t="s">
        <v>578</v>
      </c>
      <c r="E267" s="106">
        <v>0.29450231481481481</v>
      </c>
      <c r="F267" s="108">
        <v>691</v>
      </c>
      <c r="G267" s="179">
        <v>38.598219</v>
      </c>
      <c r="H267" s="179">
        <v>12.122263999999999</v>
      </c>
      <c r="I267" s="105" t="s">
        <v>3868</v>
      </c>
      <c r="J267" s="105" t="s">
        <v>1059</v>
      </c>
      <c r="K267" s="105" t="s">
        <v>3791</v>
      </c>
      <c r="L267" s="105" t="s">
        <v>3792</v>
      </c>
      <c r="M267" s="74" t="s">
        <v>1059</v>
      </c>
    </row>
    <row r="268" spans="1:14">
      <c r="A268" s="105" t="s">
        <v>213</v>
      </c>
      <c r="B268" s="105" t="s">
        <v>214</v>
      </c>
      <c r="C268" s="112">
        <v>46012</v>
      </c>
      <c r="D268" s="105" t="s">
        <v>241</v>
      </c>
      <c r="E268" s="106">
        <v>0.29450231481481481</v>
      </c>
      <c r="F268" s="108">
        <v>691</v>
      </c>
      <c r="G268" s="179">
        <v>38.598219</v>
      </c>
      <c r="H268" s="179">
        <v>12.122263999999999</v>
      </c>
      <c r="I268" s="105" t="s">
        <v>3869</v>
      </c>
      <c r="J268" s="105" t="s">
        <v>1059</v>
      </c>
      <c r="K268" s="105" t="s">
        <v>3791</v>
      </c>
      <c r="L268" s="105" t="s">
        <v>3792</v>
      </c>
      <c r="M268" s="74" t="s">
        <v>1059</v>
      </c>
    </row>
    <row r="269" spans="1:14">
      <c r="A269" s="105" t="s">
        <v>213</v>
      </c>
      <c r="B269" s="105" t="s">
        <v>214</v>
      </c>
      <c r="C269" s="112">
        <v>46012</v>
      </c>
      <c r="D269" s="105" t="s">
        <v>237</v>
      </c>
      <c r="E269" s="106">
        <v>0.29450231481481481</v>
      </c>
      <c r="F269" s="108">
        <v>691</v>
      </c>
      <c r="G269" s="179">
        <v>38.598219</v>
      </c>
      <c r="H269" s="179">
        <v>12.122263999999999</v>
      </c>
      <c r="I269" s="105" t="s">
        <v>3870</v>
      </c>
      <c r="J269" s="105" t="s">
        <v>1059</v>
      </c>
      <c r="K269" s="105" t="s">
        <v>3791</v>
      </c>
      <c r="L269" s="105" t="s">
        <v>3792</v>
      </c>
      <c r="M269" s="74" t="s">
        <v>1059</v>
      </c>
    </row>
    <row r="270" spans="1:14">
      <c r="A270" s="105" t="s">
        <v>213</v>
      </c>
      <c r="B270" s="105" t="s">
        <v>214</v>
      </c>
      <c r="C270" s="112">
        <v>46012</v>
      </c>
      <c r="D270" s="105" t="s">
        <v>575</v>
      </c>
      <c r="E270" s="106">
        <v>0.29450231481481481</v>
      </c>
      <c r="F270" s="108">
        <v>691</v>
      </c>
      <c r="G270" s="179">
        <v>38.598219</v>
      </c>
      <c r="H270" s="179">
        <v>12.122263999999999</v>
      </c>
      <c r="I270" s="105" t="s">
        <v>3871</v>
      </c>
      <c r="J270" s="105" t="s">
        <v>1059</v>
      </c>
      <c r="K270" s="105" t="s">
        <v>3797</v>
      </c>
      <c r="L270" s="105" t="s">
        <v>329</v>
      </c>
      <c r="M270" s="74" t="s">
        <v>1059</v>
      </c>
    </row>
    <row r="271" spans="1:14">
      <c r="A271" s="105" t="s">
        <v>213</v>
      </c>
      <c r="B271" s="105" t="s">
        <v>214</v>
      </c>
      <c r="C271" s="112">
        <v>46012</v>
      </c>
      <c r="D271" s="105" t="s">
        <v>215</v>
      </c>
      <c r="E271" s="106">
        <v>0.29450231481481481</v>
      </c>
      <c r="F271" s="108">
        <v>691</v>
      </c>
      <c r="G271" s="179">
        <v>38.598219</v>
      </c>
      <c r="H271" s="179">
        <v>12.122263999999999</v>
      </c>
      <c r="I271" s="105" t="s">
        <v>3872</v>
      </c>
      <c r="J271" s="105" t="s">
        <v>1059</v>
      </c>
      <c r="K271" s="105" t="s">
        <v>3797</v>
      </c>
      <c r="L271" s="105" t="s">
        <v>329</v>
      </c>
      <c r="M271" s="74" t="s">
        <v>1059</v>
      </c>
    </row>
    <row r="272" spans="1:14">
      <c r="A272" s="105" t="s">
        <v>213</v>
      </c>
      <c r="B272" s="105" t="s">
        <v>214</v>
      </c>
      <c r="C272" s="112">
        <v>46012</v>
      </c>
      <c r="D272" s="105" t="s">
        <v>220</v>
      </c>
      <c r="E272" s="106">
        <v>0.29450231481481481</v>
      </c>
      <c r="F272" s="108">
        <v>691</v>
      </c>
      <c r="G272" s="179">
        <v>38.598219</v>
      </c>
      <c r="H272" s="179">
        <v>12.122263999999999</v>
      </c>
      <c r="I272" s="105" t="s">
        <v>3873</v>
      </c>
      <c r="J272" s="105" t="s">
        <v>1059</v>
      </c>
      <c r="K272" s="105" t="s">
        <v>3797</v>
      </c>
      <c r="L272" s="105" t="s">
        <v>3874</v>
      </c>
      <c r="M272" s="74" t="s">
        <v>1059</v>
      </c>
    </row>
    <row r="273" spans="1:16">
      <c r="A273" s="105" t="s">
        <v>213</v>
      </c>
      <c r="B273" s="105" t="s">
        <v>582</v>
      </c>
      <c r="C273" s="112">
        <v>46012</v>
      </c>
      <c r="D273" s="105" t="s">
        <v>586</v>
      </c>
      <c r="E273" s="106">
        <v>46012.832597337961</v>
      </c>
      <c r="F273" s="108">
        <v>1510</v>
      </c>
      <c r="G273" s="192">
        <v>38.609931000000003</v>
      </c>
      <c r="H273" s="192">
        <v>11.843631</v>
      </c>
      <c r="I273" s="105" t="s">
        <v>3875</v>
      </c>
      <c r="J273" s="105" t="s">
        <v>3589</v>
      </c>
      <c r="K273" s="105" t="s">
        <v>3450</v>
      </c>
      <c r="L273" s="105" t="s">
        <v>3876</v>
      </c>
      <c r="M273" s="74" t="s">
        <v>3604</v>
      </c>
      <c r="N273" s="107" t="s">
        <v>3833</v>
      </c>
    </row>
    <row r="274" spans="1:16">
      <c r="A274" s="105" t="s">
        <v>213</v>
      </c>
      <c r="B274" s="105" t="s">
        <v>582</v>
      </c>
      <c r="C274" s="112">
        <v>46012</v>
      </c>
      <c r="D274" s="105" t="s">
        <v>586</v>
      </c>
      <c r="E274" s="106">
        <v>46012.832597337961</v>
      </c>
      <c r="F274" s="108">
        <v>1510</v>
      </c>
      <c r="G274" s="192">
        <v>38.609931000000003</v>
      </c>
      <c r="H274" s="192">
        <v>11.843631</v>
      </c>
      <c r="I274" s="105" t="s">
        <v>3877</v>
      </c>
      <c r="J274" s="105" t="s">
        <v>3589</v>
      </c>
      <c r="K274" s="105" t="s">
        <v>3455</v>
      </c>
      <c r="L274" s="105" t="s">
        <v>3876</v>
      </c>
      <c r="M274" s="74" t="s">
        <v>3604</v>
      </c>
    </row>
    <row r="275" spans="1:16">
      <c r="A275" s="105" t="s">
        <v>213</v>
      </c>
      <c r="B275" s="105" t="s">
        <v>582</v>
      </c>
      <c r="C275" s="112">
        <v>46012</v>
      </c>
      <c r="D275" s="105" t="s">
        <v>586</v>
      </c>
      <c r="E275" s="106">
        <v>46012.832597337998</v>
      </c>
      <c r="F275" s="108">
        <v>1510</v>
      </c>
      <c r="G275" s="192">
        <v>38.609931000000003</v>
      </c>
      <c r="H275" s="192">
        <v>11.843631</v>
      </c>
      <c r="I275" s="105" t="s">
        <v>3878</v>
      </c>
      <c r="J275" s="105" t="s">
        <v>3589</v>
      </c>
      <c r="K275" s="105" t="s">
        <v>3450</v>
      </c>
      <c r="L275" s="105" t="s">
        <v>3879</v>
      </c>
      <c r="M275" s="74" t="s">
        <v>3547</v>
      </c>
      <c r="N275" s="107" t="s">
        <v>3828</v>
      </c>
    </row>
    <row r="276" spans="1:16">
      <c r="A276" s="105" t="s">
        <v>213</v>
      </c>
      <c r="B276" s="105" t="s">
        <v>582</v>
      </c>
      <c r="C276" s="112">
        <v>46012</v>
      </c>
      <c r="D276" s="105" t="s">
        <v>586</v>
      </c>
      <c r="E276" s="106">
        <v>46012.86074074074</v>
      </c>
      <c r="F276" s="108">
        <v>1508</v>
      </c>
      <c r="G276" s="192">
        <v>38.609789999999997</v>
      </c>
      <c r="H276" s="192">
        <v>11.843321</v>
      </c>
      <c r="I276" s="105" t="s">
        <v>3880</v>
      </c>
      <c r="J276" s="105" t="s">
        <v>3589</v>
      </c>
      <c r="K276" s="105" t="s">
        <v>3455</v>
      </c>
      <c r="L276" s="105" t="s">
        <v>2200</v>
      </c>
      <c r="M276" s="74" t="s">
        <v>3547</v>
      </c>
    </row>
    <row r="277" spans="1:16">
      <c r="A277" s="105" t="s">
        <v>213</v>
      </c>
      <c r="B277" s="105" t="s">
        <v>582</v>
      </c>
      <c r="C277" s="112">
        <v>46012</v>
      </c>
      <c r="D277" s="105" t="s">
        <v>586</v>
      </c>
      <c r="E277" s="106">
        <v>46012.86074074074</v>
      </c>
      <c r="F277" s="108">
        <v>1508</v>
      </c>
      <c r="G277" s="192">
        <v>38.609789999999997</v>
      </c>
      <c r="H277" s="192">
        <v>11.843321</v>
      </c>
      <c r="I277" s="105" t="s">
        <v>3881</v>
      </c>
      <c r="J277" s="105" t="s">
        <v>3589</v>
      </c>
      <c r="K277" s="105" t="s">
        <v>3450</v>
      </c>
      <c r="L277" s="105" t="s">
        <v>2200</v>
      </c>
      <c r="M277" s="74" t="s">
        <v>3547</v>
      </c>
    </row>
    <row r="278" spans="1:16">
      <c r="A278" s="105" t="s">
        <v>213</v>
      </c>
      <c r="B278" s="105" t="s">
        <v>582</v>
      </c>
      <c r="C278" s="112">
        <v>46012</v>
      </c>
      <c r="D278" s="105" t="s">
        <v>586</v>
      </c>
      <c r="E278" s="106">
        <v>46012.86074074074</v>
      </c>
      <c r="F278" s="108">
        <v>1508</v>
      </c>
      <c r="G278" s="192">
        <v>38.609789999999997</v>
      </c>
      <c r="H278" s="192">
        <v>11.843321</v>
      </c>
      <c r="I278" s="105" t="s">
        <v>3882</v>
      </c>
      <c r="J278" s="105" t="s">
        <v>3589</v>
      </c>
      <c r="K278" s="105" t="s">
        <v>3450</v>
      </c>
      <c r="L278" s="105" t="s">
        <v>2200</v>
      </c>
      <c r="M278" s="74" t="s">
        <v>3547</v>
      </c>
    </row>
    <row r="279" spans="1:16">
      <c r="A279" s="105" t="s">
        <v>213</v>
      </c>
      <c r="B279" s="105" t="s">
        <v>582</v>
      </c>
      <c r="C279" s="112">
        <v>46012</v>
      </c>
      <c r="D279" s="105" t="s">
        <v>586</v>
      </c>
      <c r="E279" s="106">
        <v>46012.834245370374</v>
      </c>
      <c r="F279" s="108">
        <v>1497</v>
      </c>
      <c r="G279" s="192">
        <v>38.609924999999997</v>
      </c>
      <c r="H279" s="192">
        <v>11.843638</v>
      </c>
      <c r="I279" s="105" t="s">
        <v>3883</v>
      </c>
      <c r="J279" s="105" t="s">
        <v>3589</v>
      </c>
      <c r="K279" s="105" t="s">
        <v>3450</v>
      </c>
      <c r="L279" s="105" t="s">
        <v>3884</v>
      </c>
      <c r="M279" s="74" t="s">
        <v>3547</v>
      </c>
      <c r="N279" s="107" t="s">
        <v>3833</v>
      </c>
    </row>
    <row r="280" spans="1:16">
      <c r="A280" s="105" t="s">
        <v>213</v>
      </c>
      <c r="B280" s="105" t="s">
        <v>582</v>
      </c>
      <c r="C280" s="112">
        <v>46012</v>
      </c>
      <c r="D280" s="105" t="s">
        <v>586</v>
      </c>
      <c r="E280" s="106">
        <v>46012.834245370374</v>
      </c>
      <c r="F280" s="108">
        <v>1497</v>
      </c>
      <c r="G280" s="192">
        <v>38.609924999999997</v>
      </c>
      <c r="H280" s="192">
        <v>11.843638</v>
      </c>
      <c r="I280" s="105" t="s">
        <v>3885</v>
      </c>
      <c r="J280" s="105" t="s">
        <v>3589</v>
      </c>
      <c r="K280" s="105" t="s">
        <v>3450</v>
      </c>
      <c r="L280" s="105" t="s">
        <v>3884</v>
      </c>
      <c r="M280" s="74" t="s">
        <v>3547</v>
      </c>
      <c r="N280" s="107" t="s">
        <v>3833</v>
      </c>
    </row>
    <row r="281" spans="1:16">
      <c r="A281" s="105" t="s">
        <v>213</v>
      </c>
      <c r="B281" s="105" t="s">
        <v>582</v>
      </c>
      <c r="C281" s="112">
        <v>46012</v>
      </c>
      <c r="D281" s="105" t="s">
        <v>586</v>
      </c>
      <c r="E281" s="106">
        <v>46012.834245370374</v>
      </c>
      <c r="F281" s="108">
        <v>1497</v>
      </c>
      <c r="G281" s="192">
        <v>38.609924999999997</v>
      </c>
      <c r="H281" s="192">
        <v>11.843638</v>
      </c>
      <c r="I281" s="105" t="s">
        <v>3886</v>
      </c>
      <c r="J281" s="105" t="s">
        <v>3589</v>
      </c>
      <c r="K281" s="105" t="s">
        <v>3455</v>
      </c>
      <c r="L281" s="105" t="s">
        <v>3884</v>
      </c>
      <c r="M281" s="74" t="s">
        <v>3547</v>
      </c>
    </row>
    <row r="282" spans="1:16" s="139" customFormat="1">
      <c r="A282" s="109" t="s">
        <v>213</v>
      </c>
      <c r="B282" s="109" t="s">
        <v>582</v>
      </c>
      <c r="C282" s="28">
        <v>46012</v>
      </c>
      <c r="D282" s="109" t="s">
        <v>583</v>
      </c>
      <c r="E282" s="199">
        <v>0.57173611111111111</v>
      </c>
      <c r="F282" s="141">
        <v>1498</v>
      </c>
      <c r="G282" s="192">
        <v>38.596359</v>
      </c>
      <c r="H282" s="192">
        <v>11.851758</v>
      </c>
      <c r="I282" s="109" t="s">
        <v>3887</v>
      </c>
      <c r="J282" s="109" t="s">
        <v>3589</v>
      </c>
      <c r="K282" s="109" t="s">
        <v>3450</v>
      </c>
      <c r="L282" s="109" t="s">
        <v>3888</v>
      </c>
      <c r="M282" s="200" t="s">
        <v>3825</v>
      </c>
      <c r="N282" s="33"/>
    </row>
    <row r="283" spans="1:16" s="139" customFormat="1">
      <c r="A283" s="109" t="s">
        <v>213</v>
      </c>
      <c r="B283" s="109" t="s">
        <v>582</v>
      </c>
      <c r="C283" s="28">
        <v>46012</v>
      </c>
      <c r="D283" s="109" t="s">
        <v>583</v>
      </c>
      <c r="E283" s="199">
        <v>46012.603649652781</v>
      </c>
      <c r="F283" s="141">
        <v>1467</v>
      </c>
      <c r="G283" s="192">
        <v>38.596527999999999</v>
      </c>
      <c r="H283" s="192">
        <v>11.851042</v>
      </c>
      <c r="I283" s="109" t="s">
        <v>3889</v>
      </c>
      <c r="J283" s="109" t="s">
        <v>3589</v>
      </c>
      <c r="K283" s="109" t="s">
        <v>3450</v>
      </c>
      <c r="L283" s="109" t="s">
        <v>1517</v>
      </c>
      <c r="M283" s="200" t="s">
        <v>3825</v>
      </c>
      <c r="N283" s="133" t="s">
        <v>3828</v>
      </c>
      <c r="P283" s="182" t="s">
        <v>3890</v>
      </c>
    </row>
    <row r="284" spans="1:16" s="139" customFormat="1">
      <c r="A284" s="109" t="s">
        <v>213</v>
      </c>
      <c r="B284" s="109" t="s">
        <v>582</v>
      </c>
      <c r="C284" s="28">
        <v>46012</v>
      </c>
      <c r="D284" s="109" t="s">
        <v>583</v>
      </c>
      <c r="E284" s="199">
        <v>46012.603649652781</v>
      </c>
      <c r="F284" s="141">
        <v>1467</v>
      </c>
      <c r="G284" s="192">
        <v>38.596527999999999</v>
      </c>
      <c r="H284" s="192">
        <v>11.851042</v>
      </c>
      <c r="I284" s="109" t="s">
        <v>3891</v>
      </c>
      <c r="J284" s="109" t="s">
        <v>3589</v>
      </c>
      <c r="K284" s="109" t="s">
        <v>3450</v>
      </c>
      <c r="L284" s="109" t="s">
        <v>1517</v>
      </c>
      <c r="M284" s="200" t="s">
        <v>3825</v>
      </c>
      <c r="N284" s="133" t="s">
        <v>3828</v>
      </c>
    </row>
    <row r="285" spans="1:16" s="139" customFormat="1">
      <c r="A285" s="109" t="s">
        <v>213</v>
      </c>
      <c r="B285" s="109" t="s">
        <v>582</v>
      </c>
      <c r="C285" s="28">
        <v>46012</v>
      </c>
      <c r="D285" s="109" t="s">
        <v>583</v>
      </c>
      <c r="E285" s="140">
        <v>46012.614954282406</v>
      </c>
      <c r="F285" s="141">
        <v>1467</v>
      </c>
      <c r="G285" s="192">
        <v>38.596527999999999</v>
      </c>
      <c r="H285" s="192">
        <v>11.851042</v>
      </c>
      <c r="I285" s="109" t="s">
        <v>3892</v>
      </c>
      <c r="J285" s="109" t="s">
        <v>3589</v>
      </c>
      <c r="K285" s="109" t="s">
        <v>3450</v>
      </c>
      <c r="L285" s="109" t="s">
        <v>2200</v>
      </c>
      <c r="M285" s="200" t="s">
        <v>3825</v>
      </c>
      <c r="N285" s="133" t="s">
        <v>3828</v>
      </c>
    </row>
    <row r="286" spans="1:16" s="139" customFormat="1">
      <c r="A286" s="109" t="s">
        <v>213</v>
      </c>
      <c r="B286" s="109" t="s">
        <v>582</v>
      </c>
      <c r="C286" s="28">
        <v>46012</v>
      </c>
      <c r="D286" s="109" t="s">
        <v>583</v>
      </c>
      <c r="E286" s="140">
        <v>46012.614954282406</v>
      </c>
      <c r="F286" s="141">
        <v>1467</v>
      </c>
      <c r="G286" s="192">
        <v>38.596527999999999</v>
      </c>
      <c r="H286" s="192">
        <v>11.851042</v>
      </c>
      <c r="I286" s="109" t="s">
        <v>3893</v>
      </c>
      <c r="J286" s="109" t="s">
        <v>3589</v>
      </c>
      <c r="K286" s="109" t="s">
        <v>3450</v>
      </c>
      <c r="L286" s="109" t="s">
        <v>2200</v>
      </c>
      <c r="M286" s="200" t="s">
        <v>3825</v>
      </c>
      <c r="N286" s="133" t="s">
        <v>3828</v>
      </c>
    </row>
    <row r="287" spans="1:16" s="139" customFormat="1">
      <c r="A287" s="109" t="s">
        <v>213</v>
      </c>
      <c r="B287" s="109" t="s">
        <v>582</v>
      </c>
      <c r="C287" s="28">
        <v>46012</v>
      </c>
      <c r="D287" s="109" t="s">
        <v>583</v>
      </c>
      <c r="E287" s="199">
        <v>46012.624304513891</v>
      </c>
      <c r="F287" s="141">
        <v>1465</v>
      </c>
      <c r="G287" s="192">
        <v>38.596530999999999</v>
      </c>
      <c r="H287" s="192">
        <v>11.851032</v>
      </c>
      <c r="I287" s="109" t="s">
        <v>3894</v>
      </c>
      <c r="J287" s="109" t="s">
        <v>3589</v>
      </c>
      <c r="K287" s="109" t="s">
        <v>3450</v>
      </c>
      <c r="L287" s="109" t="s">
        <v>3895</v>
      </c>
      <c r="M287" s="200" t="s">
        <v>3825</v>
      </c>
      <c r="N287" s="33" t="s">
        <v>3896</v>
      </c>
    </row>
    <row r="288" spans="1:16" s="139" customFormat="1">
      <c r="A288" s="109" t="s">
        <v>213</v>
      </c>
      <c r="B288" s="109" t="s">
        <v>582</v>
      </c>
      <c r="C288" s="28">
        <v>46012</v>
      </c>
      <c r="D288" s="109" t="s">
        <v>583</v>
      </c>
      <c r="E288" s="199">
        <v>46012.624304513891</v>
      </c>
      <c r="F288" s="141">
        <v>1465</v>
      </c>
      <c r="G288" s="192">
        <v>38.596530999999999</v>
      </c>
      <c r="H288" s="192">
        <v>11.851032</v>
      </c>
      <c r="I288" s="109" t="s">
        <v>3897</v>
      </c>
      <c r="J288" s="109" t="s">
        <v>3589</v>
      </c>
      <c r="K288" s="109" t="s">
        <v>3455</v>
      </c>
      <c r="L288" s="109" t="s">
        <v>1429</v>
      </c>
      <c r="M288" s="200" t="s">
        <v>3825</v>
      </c>
      <c r="N288" s="33"/>
    </row>
    <row r="289" spans="1:14" s="139" customFormat="1">
      <c r="A289" s="109" t="s">
        <v>213</v>
      </c>
      <c r="B289" s="109" t="s">
        <v>582</v>
      </c>
      <c r="C289" s="28">
        <v>46012</v>
      </c>
      <c r="D289" s="109" t="s">
        <v>583</v>
      </c>
      <c r="E289" s="199">
        <v>46012.624304513891</v>
      </c>
      <c r="F289" s="141">
        <v>1465</v>
      </c>
      <c r="G289" s="192">
        <v>38.596530999999999</v>
      </c>
      <c r="H289" s="192">
        <v>11.851032</v>
      </c>
      <c r="I289" s="109" t="s">
        <v>3898</v>
      </c>
      <c r="J289" s="147"/>
      <c r="K289" s="147"/>
      <c r="L289" s="109" t="s">
        <v>3888</v>
      </c>
      <c r="M289" s="200" t="s">
        <v>3825</v>
      </c>
      <c r="N289" s="33"/>
    </row>
    <row r="290" spans="1:14" s="139" customFormat="1">
      <c r="A290" s="109" t="s">
        <v>213</v>
      </c>
      <c r="B290" s="109" t="s">
        <v>582</v>
      </c>
      <c r="C290" s="28">
        <v>46013</v>
      </c>
      <c r="D290" s="109" t="s">
        <v>593</v>
      </c>
      <c r="E290" s="199">
        <v>46013.474683912034</v>
      </c>
      <c r="F290" s="141">
        <v>1246</v>
      </c>
      <c r="G290" s="192">
        <v>38.592409000000004</v>
      </c>
      <c r="H290" s="192">
        <v>11.833157</v>
      </c>
      <c r="I290" s="109" t="s">
        <v>3899</v>
      </c>
      <c r="J290" s="109" t="s">
        <v>3589</v>
      </c>
      <c r="K290" s="109" t="s">
        <v>3450</v>
      </c>
      <c r="L290" s="109" t="s">
        <v>2496</v>
      </c>
      <c r="M290" s="200" t="s">
        <v>3825</v>
      </c>
      <c r="N290" s="33" t="s">
        <v>3896</v>
      </c>
    </row>
    <row r="291" spans="1:14">
      <c r="A291" s="105" t="s">
        <v>213</v>
      </c>
      <c r="B291" s="105" t="s">
        <v>582</v>
      </c>
      <c r="C291" s="112">
        <v>46016</v>
      </c>
      <c r="D291" s="105" t="s">
        <v>599</v>
      </c>
      <c r="E291" s="106">
        <v>0.74075231481481485</v>
      </c>
      <c r="F291" s="108">
        <v>1194</v>
      </c>
      <c r="G291" s="192">
        <v>38.583872</v>
      </c>
      <c r="H291" s="192">
        <v>11.811142</v>
      </c>
      <c r="I291" s="105" t="s">
        <v>3900</v>
      </c>
      <c r="J291" s="105" t="s">
        <v>3589</v>
      </c>
      <c r="K291" s="105" t="s">
        <v>3450</v>
      </c>
      <c r="L291" s="105" t="s">
        <v>3901</v>
      </c>
      <c r="M291" s="74" t="s">
        <v>3902</v>
      </c>
      <c r="N291" s="107" t="s">
        <v>3833</v>
      </c>
    </row>
    <row r="292" spans="1:14">
      <c r="A292" s="105" t="s">
        <v>213</v>
      </c>
      <c r="B292" s="105" t="s">
        <v>582</v>
      </c>
      <c r="C292" s="112">
        <v>46016</v>
      </c>
      <c r="D292" s="105" t="s">
        <v>599</v>
      </c>
      <c r="E292" s="106">
        <v>46016.743053356484</v>
      </c>
      <c r="F292" s="108">
        <v>1195</v>
      </c>
      <c r="G292" s="192">
        <v>38.583872</v>
      </c>
      <c r="H292" s="192">
        <v>11.811142</v>
      </c>
      <c r="I292" s="105" t="s">
        <v>3903</v>
      </c>
      <c r="J292" s="105" t="s">
        <v>1070</v>
      </c>
      <c r="N292" s="107" t="s">
        <v>3904</v>
      </c>
    </row>
    <row r="293" spans="1:14">
      <c r="A293" s="105" t="s">
        <v>213</v>
      </c>
      <c r="B293" s="105" t="s">
        <v>582</v>
      </c>
      <c r="C293" s="112">
        <v>46016</v>
      </c>
      <c r="D293" s="105" t="s">
        <v>601</v>
      </c>
      <c r="E293" s="106">
        <v>46016.931155092592</v>
      </c>
      <c r="F293" s="108">
        <v>1206</v>
      </c>
      <c r="G293" s="192">
        <v>38.593471999999998</v>
      </c>
      <c r="H293" s="192">
        <v>11.807123000000001</v>
      </c>
      <c r="I293" s="105" t="s">
        <v>3905</v>
      </c>
      <c r="J293" s="105" t="s">
        <v>3589</v>
      </c>
      <c r="K293" s="105" t="s">
        <v>3450</v>
      </c>
      <c r="L293" s="105" t="s">
        <v>3906</v>
      </c>
      <c r="M293" s="74" t="s">
        <v>3591</v>
      </c>
      <c r="N293" s="105" t="s">
        <v>3907</v>
      </c>
    </row>
    <row r="294" spans="1:14">
      <c r="A294" s="105" t="s">
        <v>213</v>
      </c>
      <c r="B294" s="105" t="s">
        <v>582</v>
      </c>
      <c r="C294" s="112">
        <v>46016</v>
      </c>
      <c r="D294" s="105" t="s">
        <v>601</v>
      </c>
      <c r="E294" s="106">
        <v>46016.931157407409</v>
      </c>
      <c r="F294" s="108">
        <v>1206</v>
      </c>
      <c r="G294" s="192">
        <v>38.593471999999998</v>
      </c>
      <c r="H294" s="192">
        <v>11.807123000000001</v>
      </c>
      <c r="I294" s="105" t="s">
        <v>3908</v>
      </c>
      <c r="J294" s="105" t="s">
        <v>3589</v>
      </c>
      <c r="K294" s="105" t="s">
        <v>3450</v>
      </c>
      <c r="L294" s="105" t="s">
        <v>3906</v>
      </c>
      <c r="M294" s="74" t="s">
        <v>3591</v>
      </c>
      <c r="N294" s="107" t="s">
        <v>3909</v>
      </c>
    </row>
    <row r="295" spans="1:14">
      <c r="A295" s="105" t="s">
        <v>213</v>
      </c>
      <c r="B295" s="105" t="s">
        <v>582</v>
      </c>
      <c r="C295" s="112">
        <v>46017</v>
      </c>
      <c r="D295" s="105" t="s">
        <v>601</v>
      </c>
      <c r="E295" s="106">
        <v>3.2511574074074075E-2</v>
      </c>
      <c r="F295" s="108">
        <v>961</v>
      </c>
      <c r="G295" s="192">
        <v>38.596390999999997</v>
      </c>
      <c r="H295" s="192">
        <v>11.808287999999999</v>
      </c>
      <c r="I295" s="105" t="s">
        <v>3910</v>
      </c>
      <c r="J295" s="105" t="s">
        <v>3589</v>
      </c>
      <c r="K295" s="105" t="s">
        <v>3450</v>
      </c>
      <c r="L295" s="105" t="s">
        <v>2991</v>
      </c>
      <c r="M295" s="74" t="s">
        <v>3911</v>
      </c>
      <c r="N295" s="107" t="s">
        <v>3912</v>
      </c>
    </row>
    <row r="296" spans="1:14">
      <c r="A296" s="105" t="s">
        <v>213</v>
      </c>
      <c r="B296" s="105" t="s">
        <v>582</v>
      </c>
      <c r="C296" s="112">
        <v>46017</v>
      </c>
      <c r="D296" s="105" t="s">
        <v>601</v>
      </c>
      <c r="E296" s="106">
        <v>46017.047615740739</v>
      </c>
      <c r="F296" s="108">
        <v>954</v>
      </c>
      <c r="G296" s="192">
        <v>38.596561000000001</v>
      </c>
      <c r="H296" s="192">
        <v>11.808502000000001</v>
      </c>
      <c r="I296" s="105" t="s">
        <v>3913</v>
      </c>
      <c r="J296" s="105" t="s">
        <v>3589</v>
      </c>
      <c r="K296" s="105" t="s">
        <v>3450</v>
      </c>
      <c r="L296" s="105" t="s">
        <v>2200</v>
      </c>
      <c r="M296" s="74" t="s">
        <v>3604</v>
      </c>
      <c r="N296" s="107" t="s">
        <v>3833</v>
      </c>
    </row>
    <row r="297" spans="1:14">
      <c r="A297" s="105" t="s">
        <v>213</v>
      </c>
      <c r="B297" s="105" t="s">
        <v>582</v>
      </c>
      <c r="C297" s="112">
        <v>46017</v>
      </c>
      <c r="D297" s="105" t="s">
        <v>601</v>
      </c>
      <c r="E297" s="106">
        <v>46017.047617708333</v>
      </c>
      <c r="F297" s="108">
        <v>954</v>
      </c>
      <c r="G297" s="179">
        <v>38.596561000000001</v>
      </c>
      <c r="H297" s="179">
        <v>11.808502000000001</v>
      </c>
      <c r="I297" s="105" t="s">
        <v>3914</v>
      </c>
      <c r="J297" s="105" t="s">
        <v>3589</v>
      </c>
      <c r="K297" s="105" t="s">
        <v>3450</v>
      </c>
      <c r="L297" s="105" t="s">
        <v>3915</v>
      </c>
      <c r="M297" s="74" t="s">
        <v>3916</v>
      </c>
      <c r="N297" s="107" t="s">
        <v>3917</v>
      </c>
    </row>
    <row r="298" spans="1:14">
      <c r="A298" s="105" t="s">
        <v>213</v>
      </c>
      <c r="B298" s="105" t="s">
        <v>582</v>
      </c>
      <c r="C298" s="112">
        <v>46017</v>
      </c>
      <c r="D298" s="105" t="s">
        <v>607</v>
      </c>
      <c r="E298" s="106">
        <v>46017.351629629629</v>
      </c>
      <c r="F298" s="108">
        <v>1341</v>
      </c>
      <c r="G298" s="179">
        <v>38.583857999999999</v>
      </c>
      <c r="H298" s="179">
        <v>11.771694999999999</v>
      </c>
      <c r="I298" s="105" t="s">
        <v>3918</v>
      </c>
      <c r="J298" s="105" t="s">
        <v>3589</v>
      </c>
      <c r="K298" s="105" t="s">
        <v>3450</v>
      </c>
      <c r="L298" s="105" t="s">
        <v>2543</v>
      </c>
      <c r="M298" s="74" t="s">
        <v>3825</v>
      </c>
      <c r="N298" s="107" t="s">
        <v>3833</v>
      </c>
    </row>
    <row r="299" spans="1:14">
      <c r="A299" s="105" t="s">
        <v>213</v>
      </c>
      <c r="B299" s="105" t="s">
        <v>582</v>
      </c>
      <c r="C299" s="112">
        <v>46017</v>
      </c>
      <c r="D299" s="105" t="s">
        <v>607</v>
      </c>
      <c r="E299" s="106">
        <v>46017.351629629629</v>
      </c>
      <c r="F299" s="108">
        <v>1341</v>
      </c>
      <c r="G299" s="179">
        <v>38.583857999999999</v>
      </c>
      <c r="H299" s="179">
        <v>11.771694999999999</v>
      </c>
      <c r="I299" s="105" t="s">
        <v>3919</v>
      </c>
      <c r="J299" s="105" t="s">
        <v>3920</v>
      </c>
      <c r="K299" s="105" t="s">
        <v>3450</v>
      </c>
      <c r="L299" s="105" t="s">
        <v>3921</v>
      </c>
      <c r="M299" s="74" t="s">
        <v>3825</v>
      </c>
      <c r="N299" s="107" t="s">
        <v>3833</v>
      </c>
    </row>
    <row r="300" spans="1:14">
      <c r="A300" s="105" t="s">
        <v>213</v>
      </c>
      <c r="B300" s="105" t="s">
        <v>582</v>
      </c>
      <c r="C300" s="112">
        <v>46017</v>
      </c>
      <c r="D300" s="105" t="s">
        <v>607</v>
      </c>
      <c r="E300" s="106">
        <v>46017.372774768519</v>
      </c>
      <c r="F300" s="108">
        <v>1313</v>
      </c>
      <c r="G300" s="179">
        <v>38.583244000000001</v>
      </c>
      <c r="H300" s="179">
        <v>11.772506999999999</v>
      </c>
      <c r="I300" s="105" t="s">
        <v>3922</v>
      </c>
      <c r="J300" s="105" t="s">
        <v>3589</v>
      </c>
      <c r="K300" s="105" t="s">
        <v>3450</v>
      </c>
      <c r="L300" s="105" t="s">
        <v>3400</v>
      </c>
      <c r="M300" s="74" t="s">
        <v>3825</v>
      </c>
      <c r="N300" s="107" t="s">
        <v>3758</v>
      </c>
    </row>
    <row r="301" spans="1:14">
      <c r="A301" s="105" t="s">
        <v>213</v>
      </c>
      <c r="B301" s="105" t="s">
        <v>582</v>
      </c>
      <c r="C301" s="112">
        <v>46017</v>
      </c>
      <c r="D301" s="105" t="s">
        <v>607</v>
      </c>
      <c r="E301" s="106">
        <v>46017.372774768519</v>
      </c>
      <c r="F301" s="108">
        <v>1313</v>
      </c>
      <c r="G301" s="179">
        <v>38.583244000000001</v>
      </c>
      <c r="H301" s="179">
        <v>11.772506999999999</v>
      </c>
      <c r="I301" s="105" t="s">
        <v>3923</v>
      </c>
      <c r="J301" s="105" t="s">
        <v>3920</v>
      </c>
      <c r="K301" s="105" t="s">
        <v>3450</v>
      </c>
      <c r="L301" s="105" t="s">
        <v>3544</v>
      </c>
      <c r="M301" s="74" t="s">
        <v>3825</v>
      </c>
      <c r="N301" s="107" t="s">
        <v>3833</v>
      </c>
    </row>
    <row r="302" spans="1:14">
      <c r="A302" s="105" t="s">
        <v>213</v>
      </c>
      <c r="B302" s="105" t="s">
        <v>611</v>
      </c>
      <c r="C302" s="112">
        <v>46017</v>
      </c>
      <c r="D302" s="105" t="s">
        <v>612</v>
      </c>
      <c r="E302" s="106">
        <v>46017.673159027778</v>
      </c>
      <c r="F302" s="108">
        <v>1134</v>
      </c>
      <c r="G302" s="192">
        <v>38.519706999999997</v>
      </c>
      <c r="H302" s="192">
        <v>11.835015</v>
      </c>
      <c r="I302" s="105" t="s">
        <v>3924</v>
      </c>
      <c r="J302" s="105" t="s">
        <v>3589</v>
      </c>
      <c r="K302" s="105" t="s">
        <v>3450</v>
      </c>
      <c r="L302" s="105" t="s">
        <v>3925</v>
      </c>
      <c r="M302" s="74" t="s">
        <v>3825</v>
      </c>
      <c r="N302" s="107" t="s">
        <v>3758</v>
      </c>
    </row>
    <row r="303" spans="1:14">
      <c r="A303" s="105" t="s">
        <v>213</v>
      </c>
      <c r="B303" s="105" t="s">
        <v>611</v>
      </c>
      <c r="C303" s="112">
        <v>46017</v>
      </c>
      <c r="D303" s="105" t="s">
        <v>612</v>
      </c>
      <c r="E303" s="106">
        <v>46017.673159722224</v>
      </c>
      <c r="F303" s="108">
        <v>1134</v>
      </c>
      <c r="G303" s="192">
        <v>38.519706999999997</v>
      </c>
      <c r="H303" s="192">
        <v>11.835015</v>
      </c>
      <c r="I303" s="105" t="s">
        <v>3926</v>
      </c>
      <c r="J303" s="105" t="s">
        <v>3589</v>
      </c>
      <c r="K303" s="105" t="s">
        <v>3450</v>
      </c>
      <c r="L303" s="105" t="s">
        <v>3925</v>
      </c>
      <c r="M303" s="74" t="s">
        <v>3825</v>
      </c>
    </row>
    <row r="304" spans="1:14">
      <c r="A304" s="105" t="s">
        <v>213</v>
      </c>
      <c r="B304" s="105" t="s">
        <v>611</v>
      </c>
      <c r="C304" s="112">
        <v>46017</v>
      </c>
      <c r="D304" s="105" t="s">
        <v>615</v>
      </c>
      <c r="E304" s="106">
        <v>46017.868516666669</v>
      </c>
      <c r="F304" s="108">
        <v>935</v>
      </c>
      <c r="G304" s="192">
        <v>38.501269000000001</v>
      </c>
      <c r="H304" s="192">
        <v>11.832678</v>
      </c>
      <c r="I304" s="105" t="s">
        <v>3927</v>
      </c>
      <c r="J304" s="105" t="s">
        <v>3589</v>
      </c>
      <c r="K304" s="105" t="s">
        <v>3450</v>
      </c>
      <c r="L304" s="105" t="s">
        <v>2200</v>
      </c>
      <c r="M304" s="74" t="s">
        <v>3547</v>
      </c>
    </row>
    <row r="305" spans="1:14">
      <c r="A305" s="105" t="s">
        <v>213</v>
      </c>
      <c r="B305" s="105" t="s">
        <v>611</v>
      </c>
      <c r="C305" s="112">
        <v>46017</v>
      </c>
      <c r="D305" s="105" t="s">
        <v>615</v>
      </c>
      <c r="E305" s="106">
        <v>46017.868516666669</v>
      </c>
      <c r="F305" s="108">
        <v>935</v>
      </c>
      <c r="G305" s="192">
        <v>38.501269000000001</v>
      </c>
      <c r="H305" s="192">
        <v>11.832678</v>
      </c>
      <c r="I305" s="105" t="s">
        <v>3928</v>
      </c>
      <c r="J305" s="105" t="s">
        <v>3589</v>
      </c>
      <c r="K305" s="105" t="s">
        <v>3450</v>
      </c>
      <c r="L305" s="105" t="s">
        <v>2200</v>
      </c>
      <c r="M305" s="74" t="s">
        <v>3547</v>
      </c>
    </row>
    <row r="306" spans="1:14">
      <c r="A306" s="105" t="s">
        <v>213</v>
      </c>
      <c r="B306" s="105" t="s">
        <v>611</v>
      </c>
      <c r="C306" s="112">
        <v>46017</v>
      </c>
      <c r="D306" s="105" t="s">
        <v>615</v>
      </c>
      <c r="E306" s="106">
        <v>46017.868516666698</v>
      </c>
      <c r="F306" s="108">
        <v>935</v>
      </c>
      <c r="G306" s="192">
        <v>38.501269000000001</v>
      </c>
      <c r="H306" s="192">
        <v>11.832678</v>
      </c>
      <c r="I306" s="105" t="s">
        <v>3929</v>
      </c>
      <c r="J306" s="105" t="s">
        <v>3589</v>
      </c>
      <c r="K306" s="105" t="s">
        <v>3455</v>
      </c>
      <c r="L306" s="105" t="s">
        <v>2200</v>
      </c>
      <c r="M306" s="74" t="s">
        <v>3547</v>
      </c>
    </row>
    <row r="307" spans="1:14">
      <c r="A307" s="105" t="s">
        <v>213</v>
      </c>
      <c r="B307" s="105" t="s">
        <v>611</v>
      </c>
      <c r="C307" s="112">
        <v>46017</v>
      </c>
      <c r="D307" s="105" t="s">
        <v>615</v>
      </c>
      <c r="E307" s="106">
        <v>46017.868516666698</v>
      </c>
      <c r="F307" s="108">
        <v>935</v>
      </c>
      <c r="G307" s="192">
        <v>38.501269000000001</v>
      </c>
      <c r="H307" s="192">
        <v>11.832678</v>
      </c>
      <c r="I307" s="105" t="s">
        <v>3930</v>
      </c>
      <c r="J307" s="105" t="s">
        <v>3589</v>
      </c>
      <c r="K307" s="105" t="s">
        <v>3450</v>
      </c>
      <c r="L307" s="105" t="s">
        <v>2200</v>
      </c>
      <c r="M307" s="74" t="s">
        <v>3547</v>
      </c>
    </row>
    <row r="308" spans="1:14">
      <c r="A308" s="105" t="s">
        <v>213</v>
      </c>
      <c r="B308" s="105" t="s">
        <v>611</v>
      </c>
      <c r="C308" s="112">
        <v>46017</v>
      </c>
      <c r="D308" s="105" t="s">
        <v>615</v>
      </c>
      <c r="E308" s="106">
        <v>46017.868516666698</v>
      </c>
      <c r="F308" s="108">
        <v>935</v>
      </c>
      <c r="G308" s="192">
        <v>38.501269000000001</v>
      </c>
      <c r="H308" s="192">
        <v>11.832678</v>
      </c>
      <c r="I308" s="105" t="s">
        <v>3931</v>
      </c>
      <c r="J308" s="105" t="s">
        <v>3589</v>
      </c>
      <c r="K308" s="105" t="s">
        <v>3450</v>
      </c>
      <c r="L308" s="105" t="s">
        <v>2200</v>
      </c>
      <c r="M308" s="74" t="s">
        <v>3547</v>
      </c>
    </row>
    <row r="309" spans="1:14">
      <c r="A309" s="105" t="s">
        <v>213</v>
      </c>
      <c r="B309" s="105" t="s">
        <v>611</v>
      </c>
      <c r="C309" s="112">
        <v>46017</v>
      </c>
      <c r="D309" s="105" t="s">
        <v>615</v>
      </c>
      <c r="E309" s="106">
        <v>46017.868516666698</v>
      </c>
      <c r="F309" s="108">
        <v>935</v>
      </c>
      <c r="G309" s="192">
        <v>38.501269000000001</v>
      </c>
      <c r="H309" s="192">
        <v>11.832678</v>
      </c>
      <c r="I309" s="105" t="s">
        <v>3932</v>
      </c>
      <c r="J309" s="105" t="s">
        <v>3589</v>
      </c>
      <c r="K309" s="105" t="s">
        <v>3455</v>
      </c>
      <c r="L309" s="105" t="s">
        <v>2200</v>
      </c>
      <c r="M309" s="74" t="s">
        <v>3547</v>
      </c>
    </row>
    <row r="310" spans="1:14">
      <c r="A310" s="105" t="s">
        <v>213</v>
      </c>
      <c r="B310" s="105" t="s">
        <v>611</v>
      </c>
      <c r="C310" s="112">
        <v>46017</v>
      </c>
      <c r="D310" s="105" t="s">
        <v>615</v>
      </c>
      <c r="E310" s="106">
        <v>46017.868516666698</v>
      </c>
      <c r="F310" s="108">
        <v>935</v>
      </c>
      <c r="G310" s="192">
        <v>38.501269000000001</v>
      </c>
      <c r="H310" s="192">
        <v>11.832678</v>
      </c>
      <c r="I310" s="105" t="s">
        <v>3933</v>
      </c>
      <c r="J310" s="105" t="s">
        <v>3589</v>
      </c>
      <c r="K310" s="105" t="s">
        <v>3450</v>
      </c>
      <c r="L310" s="105" t="s">
        <v>3934</v>
      </c>
      <c r="M310" s="74" t="s">
        <v>3547</v>
      </c>
    </row>
    <row r="311" spans="1:14" s="139" customFormat="1">
      <c r="A311" s="109" t="s">
        <v>213</v>
      </c>
      <c r="B311" s="109" t="s">
        <v>611</v>
      </c>
      <c r="C311" s="28">
        <v>46017</v>
      </c>
      <c r="D311" s="109" t="s">
        <v>615</v>
      </c>
      <c r="E311" s="140">
        <v>46017.868516666698</v>
      </c>
      <c r="F311" s="141">
        <v>935</v>
      </c>
      <c r="G311" s="192">
        <v>38.501269000000001</v>
      </c>
      <c r="H311" s="192">
        <v>11.832678</v>
      </c>
      <c r="I311" s="109" t="s">
        <v>3935</v>
      </c>
      <c r="J311" s="109" t="s">
        <v>3427</v>
      </c>
      <c r="K311" s="109" t="s">
        <v>3455</v>
      </c>
      <c r="L311" s="109" t="s">
        <v>3936</v>
      </c>
      <c r="M311" s="74" t="s">
        <v>3547</v>
      </c>
      <c r="N311" s="133"/>
    </row>
    <row r="312" spans="1:14">
      <c r="A312" s="105" t="s">
        <v>213</v>
      </c>
      <c r="B312" s="105" t="s">
        <v>611</v>
      </c>
      <c r="C312" s="112">
        <v>46017</v>
      </c>
      <c r="D312" s="105" t="s">
        <v>615</v>
      </c>
      <c r="E312" s="106">
        <v>46017.890167245372</v>
      </c>
      <c r="F312" s="108">
        <v>916</v>
      </c>
      <c r="G312" s="192">
        <v>38.501103000000001</v>
      </c>
      <c r="H312" s="192">
        <v>11.832691000000001</v>
      </c>
      <c r="I312" s="105" t="s">
        <v>3937</v>
      </c>
      <c r="J312" s="105" t="s">
        <v>3589</v>
      </c>
      <c r="K312" s="105" t="s">
        <v>3450</v>
      </c>
      <c r="L312" s="105" t="s">
        <v>1269</v>
      </c>
      <c r="M312" s="74" t="s">
        <v>3547</v>
      </c>
    </row>
    <row r="313" spans="1:14">
      <c r="A313" s="105" t="s">
        <v>213</v>
      </c>
      <c r="B313" s="105" t="s">
        <v>611</v>
      </c>
      <c r="C313" s="112">
        <v>46017</v>
      </c>
      <c r="D313" s="105" t="s">
        <v>615</v>
      </c>
      <c r="E313" s="106">
        <v>46017.890167245372</v>
      </c>
      <c r="F313" s="108">
        <v>916</v>
      </c>
      <c r="G313" s="192">
        <v>38.501103000000001</v>
      </c>
      <c r="H313" s="192">
        <v>11.832691000000001</v>
      </c>
      <c r="I313" s="105" t="s">
        <v>3938</v>
      </c>
      <c r="J313" s="105" t="s">
        <v>3589</v>
      </c>
      <c r="K313" s="105" t="s">
        <v>3450</v>
      </c>
      <c r="L313" s="105" t="s">
        <v>1269</v>
      </c>
      <c r="M313" s="74" t="s">
        <v>3547</v>
      </c>
    </row>
    <row r="314" spans="1:14">
      <c r="A314" s="105" t="s">
        <v>213</v>
      </c>
      <c r="B314" s="105" t="s">
        <v>611</v>
      </c>
      <c r="C314" s="112">
        <v>46018</v>
      </c>
      <c r="D314" s="105" t="s">
        <v>615</v>
      </c>
      <c r="E314" s="106">
        <v>46018.036515740743</v>
      </c>
      <c r="F314" s="108">
        <v>777</v>
      </c>
      <c r="G314" s="192">
        <v>38.494664</v>
      </c>
      <c r="H314" s="192">
        <v>11.836187000000001</v>
      </c>
      <c r="I314" s="105" t="s">
        <v>3939</v>
      </c>
      <c r="J314" s="105" t="s">
        <v>3589</v>
      </c>
      <c r="K314" s="105" t="s">
        <v>3450</v>
      </c>
      <c r="L314" s="105" t="s">
        <v>3940</v>
      </c>
      <c r="M314" s="74" t="s">
        <v>3547</v>
      </c>
    </row>
    <row r="315" spans="1:14">
      <c r="A315" s="105" t="s">
        <v>213</v>
      </c>
      <c r="B315" s="105" t="s">
        <v>611</v>
      </c>
      <c r="C315" s="112">
        <v>46018</v>
      </c>
      <c r="D315" s="105" t="s">
        <v>615</v>
      </c>
      <c r="E315" s="106">
        <v>46018.036515740743</v>
      </c>
      <c r="F315" s="108">
        <v>777</v>
      </c>
      <c r="G315" s="192">
        <v>38.494664</v>
      </c>
      <c r="H315" s="192">
        <v>11.836187000000001</v>
      </c>
      <c r="I315" s="105" t="s">
        <v>3941</v>
      </c>
      <c r="J315" s="105" t="s">
        <v>3589</v>
      </c>
      <c r="K315" s="105" t="s">
        <v>3450</v>
      </c>
      <c r="L315" s="105" t="s">
        <v>3940</v>
      </c>
      <c r="M315" s="74" t="s">
        <v>3547</v>
      </c>
    </row>
    <row r="316" spans="1:14">
      <c r="A316" s="105" t="s">
        <v>213</v>
      </c>
      <c r="B316" s="105" t="s">
        <v>611</v>
      </c>
      <c r="C316" s="112">
        <v>46018</v>
      </c>
      <c r="D316" s="105" t="s">
        <v>615</v>
      </c>
      <c r="E316" s="106">
        <v>46018.072028703704</v>
      </c>
      <c r="F316" s="108">
        <v>748</v>
      </c>
      <c r="G316" s="192">
        <v>38.493685999999997</v>
      </c>
      <c r="H316" s="192">
        <v>11.837152</v>
      </c>
      <c r="I316" s="105" t="s">
        <v>3942</v>
      </c>
      <c r="J316" s="105" t="s">
        <v>3589</v>
      </c>
      <c r="K316" s="105" t="s">
        <v>3450</v>
      </c>
      <c r="L316" s="105" t="s">
        <v>2200</v>
      </c>
      <c r="M316" s="74" t="s">
        <v>3547</v>
      </c>
    </row>
    <row r="317" spans="1:14">
      <c r="A317" s="105" t="s">
        <v>213</v>
      </c>
      <c r="B317" s="105" t="s">
        <v>611</v>
      </c>
      <c r="C317" s="112">
        <v>46018</v>
      </c>
      <c r="D317" s="105" t="s">
        <v>615</v>
      </c>
      <c r="E317" s="106">
        <v>46018.072028703704</v>
      </c>
      <c r="F317" s="108">
        <v>748</v>
      </c>
      <c r="G317" s="192">
        <v>38.493685999999997</v>
      </c>
      <c r="H317" s="192">
        <v>11.837152</v>
      </c>
      <c r="I317" s="105" t="s">
        <v>3943</v>
      </c>
      <c r="J317" s="105" t="s">
        <v>3589</v>
      </c>
      <c r="K317" s="105" t="s">
        <v>3455</v>
      </c>
      <c r="L317" s="105" t="s">
        <v>2200</v>
      </c>
      <c r="M317" s="74" t="s">
        <v>3547</v>
      </c>
    </row>
    <row r="318" spans="1:14">
      <c r="A318" s="105" t="s">
        <v>213</v>
      </c>
      <c r="B318" s="105" t="s">
        <v>611</v>
      </c>
      <c r="C318" s="112">
        <v>46018</v>
      </c>
      <c r="D318" s="105" t="s">
        <v>615</v>
      </c>
      <c r="E318" s="106">
        <v>46018.072028703697</v>
      </c>
      <c r="F318" s="108">
        <v>748</v>
      </c>
      <c r="G318" s="192">
        <v>38.493685999999997</v>
      </c>
      <c r="H318" s="192">
        <v>11.837152</v>
      </c>
      <c r="I318" s="105" t="s">
        <v>3944</v>
      </c>
      <c r="J318" s="105" t="s">
        <v>3589</v>
      </c>
      <c r="K318" s="105" t="s">
        <v>3450</v>
      </c>
      <c r="L318" s="105" t="s">
        <v>2200</v>
      </c>
      <c r="M318" s="74" t="s">
        <v>3547</v>
      </c>
    </row>
    <row r="319" spans="1:14">
      <c r="A319" s="105" t="s">
        <v>213</v>
      </c>
      <c r="B319" s="105" t="s">
        <v>611</v>
      </c>
      <c r="C319" s="112">
        <v>46018</v>
      </c>
      <c r="D319" s="105" t="s">
        <v>615</v>
      </c>
      <c r="E319" s="106">
        <v>46018.072028703697</v>
      </c>
      <c r="F319" s="108">
        <v>748</v>
      </c>
      <c r="G319" s="192">
        <v>38.493685999999997</v>
      </c>
      <c r="H319" s="192">
        <v>11.837152</v>
      </c>
      <c r="I319" s="105" t="s">
        <v>3945</v>
      </c>
      <c r="J319" s="105" t="s">
        <v>3589</v>
      </c>
      <c r="K319" s="105" t="s">
        <v>3455</v>
      </c>
      <c r="L319" s="105" t="s">
        <v>2200</v>
      </c>
      <c r="M319" s="74" t="s">
        <v>3547</v>
      </c>
    </row>
    <row r="320" spans="1:14">
      <c r="A320" s="105" t="s">
        <v>213</v>
      </c>
      <c r="B320" s="105" t="s">
        <v>611</v>
      </c>
      <c r="C320" s="112">
        <v>46018</v>
      </c>
      <c r="D320" s="105" t="s">
        <v>615</v>
      </c>
      <c r="E320" s="106">
        <v>46018.101523263889</v>
      </c>
      <c r="F320" s="108">
        <v>747</v>
      </c>
      <c r="G320" s="192">
        <v>38.492868999999999</v>
      </c>
      <c r="H320" s="192">
        <v>11.838932</v>
      </c>
      <c r="I320" s="105" t="s">
        <v>3946</v>
      </c>
      <c r="J320" s="105" t="s">
        <v>3589</v>
      </c>
      <c r="K320" s="105" t="s">
        <v>3455</v>
      </c>
      <c r="L320" s="105" t="s">
        <v>2200</v>
      </c>
      <c r="M320" s="74" t="s">
        <v>3604</v>
      </c>
    </row>
    <row r="321" spans="1:14">
      <c r="A321" s="105" t="s">
        <v>213</v>
      </c>
      <c r="B321" s="105" t="s">
        <v>611</v>
      </c>
      <c r="C321" s="112">
        <v>46018</v>
      </c>
      <c r="D321" s="105" t="s">
        <v>615</v>
      </c>
      <c r="E321" s="106">
        <v>46018.101523263889</v>
      </c>
      <c r="F321" s="108">
        <v>747</v>
      </c>
      <c r="G321" s="192">
        <v>38.492868999999999</v>
      </c>
      <c r="H321" s="192">
        <v>11.838932</v>
      </c>
      <c r="I321" s="105" t="s">
        <v>3947</v>
      </c>
      <c r="J321" s="105" t="s">
        <v>3589</v>
      </c>
      <c r="K321" s="105" t="s">
        <v>3450</v>
      </c>
      <c r="L321" s="105" t="s">
        <v>2200</v>
      </c>
      <c r="M321" s="74" t="s">
        <v>3547</v>
      </c>
    </row>
    <row r="322" spans="1:14">
      <c r="A322" s="105" t="s">
        <v>213</v>
      </c>
      <c r="B322" s="105" t="s">
        <v>611</v>
      </c>
      <c r="C322" s="112">
        <v>46018</v>
      </c>
      <c r="D322" s="105" t="s">
        <v>615</v>
      </c>
      <c r="E322" s="106">
        <v>46018.101523263897</v>
      </c>
      <c r="F322" s="108">
        <v>747</v>
      </c>
      <c r="G322" s="192">
        <v>38.492868999999999</v>
      </c>
      <c r="H322" s="192">
        <v>11.838932</v>
      </c>
      <c r="I322" s="105" t="s">
        <v>3948</v>
      </c>
      <c r="J322" s="105" t="s">
        <v>3589</v>
      </c>
      <c r="K322" s="105" t="s">
        <v>3450</v>
      </c>
      <c r="L322" s="105" t="s">
        <v>3949</v>
      </c>
      <c r="M322" s="74" t="s">
        <v>3547</v>
      </c>
    </row>
    <row r="323" spans="1:14">
      <c r="A323" s="105" t="s">
        <v>213</v>
      </c>
      <c r="B323" s="105" t="s">
        <v>611</v>
      </c>
      <c r="C323" s="112">
        <v>46018</v>
      </c>
      <c r="D323" s="105" t="s">
        <v>615</v>
      </c>
      <c r="E323" s="106">
        <v>46018.101523263897</v>
      </c>
      <c r="F323" s="108">
        <v>747</v>
      </c>
      <c r="G323" s="192">
        <v>38.492868999999999</v>
      </c>
      <c r="H323" s="192">
        <v>11.838932</v>
      </c>
      <c r="I323" s="105" t="s">
        <v>3950</v>
      </c>
      <c r="J323" s="105" t="s">
        <v>3589</v>
      </c>
      <c r="K323" s="105" t="s">
        <v>3455</v>
      </c>
      <c r="L323" s="105" t="s">
        <v>3949</v>
      </c>
      <c r="M323" s="74" t="s">
        <v>3547</v>
      </c>
    </row>
    <row r="324" spans="1:14">
      <c r="A324" s="105" t="s">
        <v>213</v>
      </c>
      <c r="B324" s="105" t="s">
        <v>611</v>
      </c>
      <c r="C324" s="112">
        <v>46018</v>
      </c>
      <c r="D324" s="105" t="s">
        <v>615</v>
      </c>
      <c r="E324" s="106">
        <v>46018.101523263897</v>
      </c>
      <c r="F324" s="108">
        <v>747</v>
      </c>
      <c r="G324" s="192">
        <v>38.492868999999999</v>
      </c>
      <c r="H324" s="192">
        <v>11.838932</v>
      </c>
      <c r="I324" s="105" t="s">
        <v>3951</v>
      </c>
      <c r="J324" s="105" t="s">
        <v>3589</v>
      </c>
      <c r="K324" s="105" t="s">
        <v>3450</v>
      </c>
      <c r="L324" s="105" t="s">
        <v>3952</v>
      </c>
      <c r="M324" s="74" t="s">
        <v>3547</v>
      </c>
    </row>
    <row r="325" spans="1:14">
      <c r="A325" s="105" t="s">
        <v>213</v>
      </c>
      <c r="B325" s="105" t="s">
        <v>611</v>
      </c>
      <c r="C325" s="112">
        <v>46018</v>
      </c>
      <c r="D325" s="105" t="s">
        <v>615</v>
      </c>
      <c r="E325" s="106" t="s">
        <v>3953</v>
      </c>
      <c r="F325" s="108" t="s">
        <v>3953</v>
      </c>
      <c r="G325" s="192" t="s">
        <v>3953</v>
      </c>
      <c r="H325" s="192" t="s">
        <v>3953</v>
      </c>
      <c r="I325" s="105" t="s">
        <v>3954</v>
      </c>
      <c r="J325" s="105" t="s">
        <v>3589</v>
      </c>
      <c r="K325" s="105" t="s">
        <v>3450</v>
      </c>
      <c r="L325" s="105" t="s">
        <v>3955</v>
      </c>
      <c r="M325" s="74" t="s">
        <v>3953</v>
      </c>
    </row>
    <row r="326" spans="1:14">
      <c r="A326" s="105" t="s">
        <v>213</v>
      </c>
      <c r="B326" s="105" t="s">
        <v>611</v>
      </c>
      <c r="C326" s="112">
        <v>46018</v>
      </c>
      <c r="D326" s="105" t="s">
        <v>615</v>
      </c>
      <c r="E326" s="106">
        <v>46018.143254050927</v>
      </c>
      <c r="F326" s="108">
        <v>655</v>
      </c>
      <c r="G326" s="192">
        <v>38.490217000000001</v>
      </c>
      <c r="H326" s="192">
        <v>11.840337999999999</v>
      </c>
      <c r="I326" s="105" t="s">
        <v>3956</v>
      </c>
      <c r="J326" s="105" t="s">
        <v>3589</v>
      </c>
      <c r="K326" s="105" t="s">
        <v>3797</v>
      </c>
      <c r="L326" s="105" t="s">
        <v>3957</v>
      </c>
      <c r="M326" s="74" t="s">
        <v>3547</v>
      </c>
    </row>
    <row r="327" spans="1:14">
      <c r="A327" s="105" t="s">
        <v>213</v>
      </c>
      <c r="B327" s="105" t="s">
        <v>611</v>
      </c>
      <c r="C327" s="112">
        <v>46018</v>
      </c>
      <c r="D327" s="105" t="s">
        <v>621</v>
      </c>
      <c r="E327" s="106">
        <v>0.84939814814814818</v>
      </c>
      <c r="F327" s="108">
        <v>1098</v>
      </c>
      <c r="G327" s="192">
        <v>38.484968000000002</v>
      </c>
      <c r="H327" s="192">
        <v>11.72245</v>
      </c>
      <c r="I327" s="105" t="s">
        <v>3958</v>
      </c>
      <c r="J327" s="105" t="s">
        <v>1070</v>
      </c>
      <c r="N327" s="107" t="s">
        <v>3465</v>
      </c>
    </row>
    <row r="328" spans="1:14">
      <c r="A328" s="105" t="s">
        <v>213</v>
      </c>
      <c r="B328" s="105" t="s">
        <v>611</v>
      </c>
      <c r="C328" s="112">
        <v>46019</v>
      </c>
      <c r="D328" s="105" t="s">
        <v>625</v>
      </c>
      <c r="E328" s="106">
        <v>46019.030879050923</v>
      </c>
      <c r="F328" s="108">
        <v>673</v>
      </c>
      <c r="G328" s="192">
        <v>38.464061000000001</v>
      </c>
      <c r="H328" s="192">
        <v>11.649153999999999</v>
      </c>
      <c r="I328" s="105" t="s">
        <v>3959</v>
      </c>
      <c r="J328" s="105" t="s">
        <v>3589</v>
      </c>
      <c r="K328" s="105" t="s">
        <v>3450</v>
      </c>
      <c r="L328" s="105" t="s">
        <v>2562</v>
      </c>
      <c r="M328" s="74" t="s">
        <v>3960</v>
      </c>
    </row>
    <row r="329" spans="1:14">
      <c r="A329" s="105" t="s">
        <v>213</v>
      </c>
      <c r="B329" s="105" t="s">
        <v>611</v>
      </c>
      <c r="C329" s="112">
        <v>46019</v>
      </c>
      <c r="D329" s="105" t="s">
        <v>625</v>
      </c>
      <c r="E329" s="106">
        <v>46019.030879050923</v>
      </c>
      <c r="F329" s="108">
        <v>673</v>
      </c>
      <c r="G329" s="192">
        <v>38.464061000000001</v>
      </c>
      <c r="H329" s="192">
        <v>11.649153999999999</v>
      </c>
      <c r="I329" s="105" t="s">
        <v>3961</v>
      </c>
      <c r="J329" s="105" t="s">
        <v>3589</v>
      </c>
      <c r="K329" s="105" t="s">
        <v>3450</v>
      </c>
      <c r="L329" s="105" t="s">
        <v>3888</v>
      </c>
      <c r="M329" s="74" t="s">
        <v>3591</v>
      </c>
    </row>
    <row r="330" spans="1:14">
      <c r="A330" s="105" t="s">
        <v>213</v>
      </c>
      <c r="B330" s="105" t="s">
        <v>611</v>
      </c>
      <c r="C330" s="112">
        <v>46019</v>
      </c>
      <c r="D330" s="105" t="s">
        <v>625</v>
      </c>
      <c r="E330" s="106">
        <v>46019.120760879632</v>
      </c>
      <c r="F330" s="108">
        <v>587</v>
      </c>
      <c r="G330" s="192">
        <v>38.456915000000002</v>
      </c>
      <c r="H330" s="192">
        <v>11.650553</v>
      </c>
      <c r="I330" s="105" t="s">
        <v>3962</v>
      </c>
      <c r="J330" s="105" t="s">
        <v>3589</v>
      </c>
      <c r="K330" s="105" t="s">
        <v>3450</v>
      </c>
      <c r="L330" s="105" t="s">
        <v>2641</v>
      </c>
      <c r="M330" s="74" t="s">
        <v>3547</v>
      </c>
    </row>
    <row r="331" spans="1:14">
      <c r="A331" s="105" t="s">
        <v>213</v>
      </c>
      <c r="B331" s="105" t="s">
        <v>611</v>
      </c>
      <c r="C331" s="112">
        <v>46019</v>
      </c>
      <c r="D331" s="105" t="s">
        <v>625</v>
      </c>
      <c r="E331" s="106">
        <v>46019.120760879632</v>
      </c>
      <c r="F331" s="108">
        <v>587</v>
      </c>
      <c r="G331" s="192">
        <v>38.456915000000002</v>
      </c>
      <c r="H331" s="192">
        <v>11.650553</v>
      </c>
      <c r="I331" s="105" t="s">
        <v>3963</v>
      </c>
      <c r="J331" s="105" t="s">
        <v>3589</v>
      </c>
      <c r="K331" s="105" t="s">
        <v>3455</v>
      </c>
      <c r="L331" s="105" t="s">
        <v>2641</v>
      </c>
      <c r="M331" s="74" t="s">
        <v>3547</v>
      </c>
    </row>
    <row r="332" spans="1:14">
      <c r="A332" s="105" t="s">
        <v>213</v>
      </c>
      <c r="B332" s="105" t="s">
        <v>611</v>
      </c>
      <c r="C332" s="112">
        <v>46019</v>
      </c>
      <c r="D332" s="105" t="s">
        <v>631</v>
      </c>
      <c r="E332" s="106">
        <v>46019.66407939815</v>
      </c>
      <c r="F332" s="108">
        <v>717</v>
      </c>
      <c r="G332" s="192">
        <v>38.390863000000003</v>
      </c>
      <c r="H332" s="192">
        <v>11.609344999999999</v>
      </c>
      <c r="I332" s="105" t="s">
        <v>3964</v>
      </c>
      <c r="J332" s="105" t="s">
        <v>3589</v>
      </c>
      <c r="K332" s="105" t="s">
        <v>3450</v>
      </c>
      <c r="L332" s="105" t="s">
        <v>3965</v>
      </c>
      <c r="M332" s="74" t="s">
        <v>3591</v>
      </c>
      <c r="N332" s="107" t="s">
        <v>3833</v>
      </c>
    </row>
    <row r="333" spans="1:14">
      <c r="A333" s="105" t="s">
        <v>213</v>
      </c>
      <c r="B333" s="105" t="s">
        <v>611</v>
      </c>
      <c r="C333" s="112">
        <v>46019</v>
      </c>
      <c r="D333" s="105" t="s">
        <v>631</v>
      </c>
      <c r="E333" s="106">
        <v>46019.66407939815</v>
      </c>
      <c r="F333" s="108">
        <v>717</v>
      </c>
      <c r="G333" s="192">
        <v>38.390863000000003</v>
      </c>
      <c r="H333" s="192">
        <v>11.609344999999999</v>
      </c>
      <c r="I333" s="105" t="s">
        <v>3966</v>
      </c>
      <c r="J333" s="105" t="s">
        <v>3589</v>
      </c>
      <c r="K333" s="105" t="s">
        <v>3450</v>
      </c>
      <c r="L333" s="105" t="s">
        <v>3967</v>
      </c>
      <c r="M333" s="74" t="s">
        <v>3591</v>
      </c>
    </row>
    <row r="334" spans="1:14">
      <c r="A334" s="105" t="s">
        <v>213</v>
      </c>
      <c r="B334" s="105" t="s">
        <v>611</v>
      </c>
      <c r="C334" s="112">
        <v>46019</v>
      </c>
      <c r="D334" s="105" t="s">
        <v>631</v>
      </c>
      <c r="E334" s="106">
        <v>46019.664074074077</v>
      </c>
      <c r="F334" s="108">
        <v>717</v>
      </c>
      <c r="G334" s="192">
        <v>38.390863000000003</v>
      </c>
      <c r="H334" s="192">
        <v>11.609344999999999</v>
      </c>
      <c r="I334" s="105" t="s">
        <v>3968</v>
      </c>
      <c r="J334" s="105" t="s">
        <v>3589</v>
      </c>
      <c r="K334" s="105" t="s">
        <v>3450</v>
      </c>
      <c r="L334" s="105" t="s">
        <v>3969</v>
      </c>
      <c r="M334" s="74" t="s">
        <v>3591</v>
      </c>
    </row>
    <row r="335" spans="1:14">
      <c r="A335" s="105" t="s">
        <v>213</v>
      </c>
      <c r="B335" s="105" t="s">
        <v>611</v>
      </c>
      <c r="C335" s="112">
        <v>46019</v>
      </c>
      <c r="D335" s="105" t="s">
        <v>631</v>
      </c>
      <c r="E335" s="106">
        <v>46019.619079282405</v>
      </c>
      <c r="F335" s="108">
        <v>839</v>
      </c>
      <c r="G335" s="192">
        <v>38.386951000000003</v>
      </c>
      <c r="H335" s="192">
        <v>11.611568</v>
      </c>
      <c r="I335" s="105" t="s">
        <v>3970</v>
      </c>
      <c r="J335" s="105" t="s">
        <v>3589</v>
      </c>
      <c r="K335" s="105" t="s">
        <v>3450</v>
      </c>
      <c r="L335" s="105" t="s">
        <v>3971</v>
      </c>
      <c r="M335" s="74" t="s">
        <v>3604</v>
      </c>
    </row>
    <row r="336" spans="1:14">
      <c r="A336" s="105" t="s">
        <v>213</v>
      </c>
      <c r="B336" s="105" t="s">
        <v>611</v>
      </c>
      <c r="C336" s="112">
        <v>46019</v>
      </c>
      <c r="D336" s="105" t="s">
        <v>634</v>
      </c>
      <c r="E336" s="106">
        <v>46019.869347337961</v>
      </c>
      <c r="F336" s="108">
        <v>151</v>
      </c>
      <c r="G336" s="192">
        <v>38.436892999999998</v>
      </c>
      <c r="H336" s="192">
        <v>11.589131</v>
      </c>
      <c r="I336" s="105" t="s">
        <v>3972</v>
      </c>
      <c r="J336" s="105" t="s">
        <v>3589</v>
      </c>
      <c r="K336" s="105" t="s">
        <v>3450</v>
      </c>
      <c r="L336" s="105" t="s">
        <v>2676</v>
      </c>
      <c r="M336" s="74" t="s">
        <v>3973</v>
      </c>
      <c r="N336" s="107" t="s">
        <v>3828</v>
      </c>
    </row>
    <row r="337" spans="1:14">
      <c r="A337" s="105" t="s">
        <v>213</v>
      </c>
      <c r="B337" s="105" t="s">
        <v>611</v>
      </c>
      <c r="C337" s="112">
        <v>46019</v>
      </c>
      <c r="D337" s="105" t="s">
        <v>634</v>
      </c>
      <c r="E337" s="106">
        <v>46019.869347337961</v>
      </c>
      <c r="F337" s="108">
        <v>151</v>
      </c>
      <c r="G337" s="192">
        <v>38.436892999999998</v>
      </c>
      <c r="H337" s="192">
        <v>11.589131</v>
      </c>
      <c r="I337" s="105" t="s">
        <v>3974</v>
      </c>
      <c r="J337" s="105" t="s">
        <v>3589</v>
      </c>
      <c r="K337" s="105" t="s">
        <v>3455</v>
      </c>
      <c r="L337" s="105" t="s">
        <v>2676</v>
      </c>
      <c r="M337" s="74" t="s">
        <v>3547</v>
      </c>
    </row>
    <row r="338" spans="1:14">
      <c r="A338" s="105" t="s">
        <v>213</v>
      </c>
      <c r="B338" s="105" t="s">
        <v>611</v>
      </c>
      <c r="C338" s="112">
        <v>46019</v>
      </c>
      <c r="D338" s="105" t="s">
        <v>634</v>
      </c>
      <c r="E338" s="106">
        <v>46019.869391666667</v>
      </c>
      <c r="F338" s="108">
        <v>151</v>
      </c>
      <c r="G338" s="192">
        <v>38.436892999999998</v>
      </c>
      <c r="H338" s="192">
        <v>11.589131</v>
      </c>
      <c r="I338" s="105" t="s">
        <v>3975</v>
      </c>
      <c r="J338" s="105" t="s">
        <v>3589</v>
      </c>
      <c r="K338" s="105" t="s">
        <v>3450</v>
      </c>
      <c r="L338" s="105" t="s">
        <v>2676</v>
      </c>
      <c r="M338" s="74" t="s">
        <v>3547</v>
      </c>
      <c r="N338" s="107" t="s">
        <v>3833</v>
      </c>
    </row>
    <row r="339" spans="1:14">
      <c r="A339" s="105" t="s">
        <v>213</v>
      </c>
      <c r="B339" s="105" t="s">
        <v>611</v>
      </c>
      <c r="C339" s="112">
        <v>46019</v>
      </c>
      <c r="D339" s="105" t="s">
        <v>634</v>
      </c>
      <c r="E339" s="106">
        <v>46019.869391666667</v>
      </c>
      <c r="F339" s="108">
        <v>151</v>
      </c>
      <c r="G339" s="192">
        <v>38.436892999999998</v>
      </c>
      <c r="H339" s="192">
        <v>11.589131</v>
      </c>
      <c r="I339" s="105" t="s">
        <v>3976</v>
      </c>
      <c r="J339" s="105" t="s">
        <v>3589</v>
      </c>
      <c r="K339" s="105" t="s">
        <v>3455</v>
      </c>
      <c r="L339" s="105" t="s">
        <v>2676</v>
      </c>
      <c r="M339" s="74" t="s">
        <v>3547</v>
      </c>
    </row>
    <row r="340" spans="1:14">
      <c r="A340" s="105" t="s">
        <v>213</v>
      </c>
      <c r="B340" s="105" t="s">
        <v>611</v>
      </c>
      <c r="C340" s="112">
        <v>46019</v>
      </c>
      <c r="D340" s="105" t="s">
        <v>634</v>
      </c>
      <c r="E340" s="106">
        <v>46019.935792476848</v>
      </c>
      <c r="F340" s="108">
        <v>176</v>
      </c>
      <c r="G340" s="192">
        <v>38.428057000000003</v>
      </c>
      <c r="H340" s="192">
        <v>11.585146999999999</v>
      </c>
      <c r="I340" s="105" t="s">
        <v>3977</v>
      </c>
      <c r="J340" s="105" t="s">
        <v>1059</v>
      </c>
      <c r="K340" s="105" t="s">
        <v>3791</v>
      </c>
      <c r="L340" s="105" t="s">
        <v>3792</v>
      </c>
      <c r="M340" s="74" t="s">
        <v>1059</v>
      </c>
      <c r="N340" s="107" t="s">
        <v>3793</v>
      </c>
    </row>
    <row r="341" spans="1:14">
      <c r="A341" s="105" t="s">
        <v>213</v>
      </c>
      <c r="B341" s="105" t="s">
        <v>611</v>
      </c>
      <c r="C341" s="112">
        <v>46019</v>
      </c>
      <c r="D341" s="105" t="s">
        <v>634</v>
      </c>
      <c r="E341" s="106">
        <v>46019.977459143498</v>
      </c>
      <c r="F341" s="108">
        <v>176</v>
      </c>
      <c r="G341" s="192">
        <v>38.428057000000003</v>
      </c>
      <c r="H341" s="192">
        <v>11.585146999999999</v>
      </c>
      <c r="I341" s="105" t="s">
        <v>3978</v>
      </c>
      <c r="J341" s="105" t="s">
        <v>1059</v>
      </c>
      <c r="K341" s="105" t="s">
        <v>3791</v>
      </c>
      <c r="L341" s="105" t="s">
        <v>3792</v>
      </c>
      <c r="M341" s="74" t="s">
        <v>1059</v>
      </c>
      <c r="N341" s="107" t="s">
        <v>3793</v>
      </c>
    </row>
    <row r="342" spans="1:14">
      <c r="A342" s="105" t="s">
        <v>213</v>
      </c>
      <c r="B342" s="105" t="s">
        <v>611</v>
      </c>
      <c r="C342" s="112">
        <v>46019</v>
      </c>
      <c r="D342" s="105" t="s">
        <v>634</v>
      </c>
      <c r="E342" s="106">
        <v>46020.019125810199</v>
      </c>
      <c r="F342" s="108">
        <v>176</v>
      </c>
      <c r="G342" s="192">
        <v>38.428057000000003</v>
      </c>
      <c r="H342" s="192">
        <v>11.585146999999999</v>
      </c>
      <c r="I342" s="105" t="s">
        <v>3979</v>
      </c>
      <c r="J342" s="105" t="s">
        <v>1059</v>
      </c>
      <c r="K342" s="105" t="s">
        <v>3797</v>
      </c>
      <c r="L342" s="105" t="s">
        <v>329</v>
      </c>
      <c r="M342" s="74" t="s">
        <v>1059</v>
      </c>
      <c r="N342" s="107" t="s">
        <v>3833</v>
      </c>
    </row>
    <row r="343" spans="1:14">
      <c r="A343" s="105" t="s">
        <v>213</v>
      </c>
      <c r="B343" s="105" t="s">
        <v>611</v>
      </c>
      <c r="C343" s="112">
        <v>46019</v>
      </c>
      <c r="D343" s="105" t="s">
        <v>634</v>
      </c>
      <c r="E343" s="106">
        <v>46020.060792476797</v>
      </c>
      <c r="F343" s="108">
        <v>176</v>
      </c>
      <c r="G343" s="192">
        <v>38.428057000000003</v>
      </c>
      <c r="H343" s="192">
        <v>11.585146999999999</v>
      </c>
      <c r="I343" s="105" t="s">
        <v>3980</v>
      </c>
      <c r="J343" s="105" t="s">
        <v>1059</v>
      </c>
      <c r="K343" s="105" t="s">
        <v>3797</v>
      </c>
      <c r="L343" s="105" t="s">
        <v>329</v>
      </c>
      <c r="M343" s="74" t="s">
        <v>1059</v>
      </c>
      <c r="N343" s="107" t="s">
        <v>3833</v>
      </c>
    </row>
    <row r="344" spans="1:14">
      <c r="A344" s="105" t="s">
        <v>213</v>
      </c>
      <c r="B344" s="105" t="s">
        <v>611</v>
      </c>
      <c r="C344" s="112">
        <v>46019</v>
      </c>
      <c r="D344" s="105" t="s">
        <v>634</v>
      </c>
      <c r="E344" s="106">
        <v>46020.102453703701</v>
      </c>
      <c r="F344" s="108">
        <v>176</v>
      </c>
      <c r="G344" s="192">
        <v>38.428057000000003</v>
      </c>
      <c r="H344" s="192">
        <v>11.585146999999999</v>
      </c>
      <c r="I344" s="105" t="s">
        <v>3981</v>
      </c>
      <c r="J344" s="105" t="s">
        <v>1059</v>
      </c>
      <c r="K344" s="105" t="s">
        <v>3797</v>
      </c>
      <c r="L344" s="105" t="s">
        <v>3874</v>
      </c>
      <c r="M344" s="74" t="s">
        <v>1059</v>
      </c>
      <c r="N344" s="107" t="s">
        <v>3982</v>
      </c>
    </row>
    <row r="345" spans="1:14">
      <c r="A345" s="105" t="s">
        <v>213</v>
      </c>
      <c r="B345" s="105" t="s">
        <v>611</v>
      </c>
      <c r="C345" s="112">
        <v>46022</v>
      </c>
      <c r="D345" s="105" t="s">
        <v>643</v>
      </c>
      <c r="E345" s="106">
        <v>9.3767129629629622</v>
      </c>
      <c r="F345" s="108">
        <v>694</v>
      </c>
      <c r="G345" s="192">
        <v>38.367641999999996</v>
      </c>
      <c r="H345" s="192">
        <v>11.85896</v>
      </c>
      <c r="I345" s="105" t="s">
        <v>3983</v>
      </c>
      <c r="J345" s="105" t="s">
        <v>3589</v>
      </c>
      <c r="K345" s="105" t="s">
        <v>3450</v>
      </c>
      <c r="L345" s="105" t="s">
        <v>1002</v>
      </c>
      <c r="M345" s="74" t="s">
        <v>3547</v>
      </c>
      <c r="N345" s="107" t="s">
        <v>3984</v>
      </c>
    </row>
    <row r="346" spans="1:14">
      <c r="A346" s="105" t="s">
        <v>213</v>
      </c>
      <c r="B346" s="105" t="s">
        <v>611</v>
      </c>
      <c r="C346" s="112">
        <v>46022</v>
      </c>
      <c r="D346" s="105" t="s">
        <v>643</v>
      </c>
      <c r="E346" s="106">
        <v>9.3767129629629622</v>
      </c>
      <c r="F346" s="108">
        <v>694</v>
      </c>
      <c r="G346" s="192">
        <v>38.367641999999996</v>
      </c>
      <c r="H346" s="192">
        <v>11.85896</v>
      </c>
      <c r="I346" s="105" t="s">
        <v>3985</v>
      </c>
      <c r="J346" s="105" t="s">
        <v>3589</v>
      </c>
      <c r="K346" s="105" t="s">
        <v>3450</v>
      </c>
      <c r="L346" s="105" t="s">
        <v>1002</v>
      </c>
      <c r="M346" s="74" t="s">
        <v>3547</v>
      </c>
      <c r="N346" s="107" t="s">
        <v>3984</v>
      </c>
    </row>
    <row r="347" spans="1:14">
      <c r="A347" s="105" t="s">
        <v>213</v>
      </c>
      <c r="B347" s="105" t="s">
        <v>611</v>
      </c>
      <c r="C347" s="112">
        <v>46022</v>
      </c>
      <c r="D347" s="105" t="s">
        <v>643</v>
      </c>
      <c r="E347" s="106">
        <v>9.3767129629629622</v>
      </c>
      <c r="F347" s="108">
        <v>694</v>
      </c>
      <c r="G347" s="192">
        <v>38.367641999999996</v>
      </c>
      <c r="H347" s="192">
        <v>11.85896</v>
      </c>
      <c r="I347" s="105" t="s">
        <v>3986</v>
      </c>
      <c r="J347" s="105" t="s">
        <v>3589</v>
      </c>
      <c r="K347" s="105" t="s">
        <v>3450</v>
      </c>
      <c r="L347" s="105" t="s">
        <v>1002</v>
      </c>
      <c r="M347" s="74" t="s">
        <v>3547</v>
      </c>
      <c r="N347" s="107" t="s">
        <v>3984</v>
      </c>
    </row>
    <row r="348" spans="1:14">
      <c r="A348" s="105" t="s">
        <v>213</v>
      </c>
      <c r="B348" s="105" t="s">
        <v>611</v>
      </c>
      <c r="C348" s="112">
        <v>46022</v>
      </c>
      <c r="D348" s="105" t="s">
        <v>651</v>
      </c>
      <c r="E348" s="106">
        <v>0.87239583333333337</v>
      </c>
      <c r="F348" s="108">
        <v>650</v>
      </c>
      <c r="G348" s="192">
        <v>38.373047</v>
      </c>
      <c r="H348" s="192">
        <v>11.526918</v>
      </c>
      <c r="I348" s="105" t="s">
        <v>3987</v>
      </c>
      <c r="J348" s="105" t="s">
        <v>3589</v>
      </c>
      <c r="K348" s="105" t="s">
        <v>3450</v>
      </c>
      <c r="L348" s="105" t="s">
        <v>3988</v>
      </c>
      <c r="M348" s="74" t="s">
        <v>3547</v>
      </c>
      <c r="N348" s="107" t="s">
        <v>3907</v>
      </c>
    </row>
    <row r="349" spans="1:14">
      <c r="A349" s="105" t="s">
        <v>213</v>
      </c>
      <c r="B349" s="105" t="s">
        <v>611</v>
      </c>
      <c r="C349" s="112">
        <v>46022</v>
      </c>
      <c r="D349" s="105" t="s">
        <v>651</v>
      </c>
      <c r="E349" s="106">
        <v>0.87239583333333337</v>
      </c>
      <c r="F349" s="108">
        <v>650</v>
      </c>
      <c r="G349" s="192">
        <v>38.373047</v>
      </c>
      <c r="H349" s="192">
        <v>11.526918</v>
      </c>
      <c r="I349" s="105" t="s">
        <v>3989</v>
      </c>
      <c r="J349" s="105" t="s">
        <v>3589</v>
      </c>
      <c r="K349" s="105" t="s">
        <v>3450</v>
      </c>
      <c r="L349" s="105" t="s">
        <v>3990</v>
      </c>
      <c r="M349" s="74" t="s">
        <v>3547</v>
      </c>
      <c r="N349" s="107" t="s">
        <v>3991</v>
      </c>
    </row>
    <row r="350" spans="1:14">
      <c r="A350" s="105" t="s">
        <v>213</v>
      </c>
      <c r="B350" s="105" t="s">
        <v>611</v>
      </c>
      <c r="C350" s="112">
        <v>46022</v>
      </c>
      <c r="D350" s="105" t="s">
        <v>651</v>
      </c>
      <c r="E350" s="106">
        <v>0.87239583333333337</v>
      </c>
      <c r="F350" s="108">
        <v>650</v>
      </c>
      <c r="G350" s="192">
        <v>38.373047</v>
      </c>
      <c r="H350" s="192">
        <v>11.526918</v>
      </c>
      <c r="I350" s="105" t="s">
        <v>3992</v>
      </c>
      <c r="J350" s="105" t="s">
        <v>3589</v>
      </c>
      <c r="K350" s="105" t="s">
        <v>3450</v>
      </c>
      <c r="L350" s="105" t="s">
        <v>3990</v>
      </c>
      <c r="M350" s="74" t="s">
        <v>3547</v>
      </c>
      <c r="N350" s="107" t="s">
        <v>3984</v>
      </c>
    </row>
    <row r="351" spans="1:14">
      <c r="A351" s="105" t="s">
        <v>213</v>
      </c>
      <c r="B351" s="105" t="s">
        <v>611</v>
      </c>
      <c r="C351" s="112">
        <v>46023</v>
      </c>
      <c r="D351" s="105" t="s">
        <v>660</v>
      </c>
      <c r="E351" s="106">
        <v>0.44225694444444447</v>
      </c>
      <c r="F351" s="108">
        <v>404</v>
      </c>
      <c r="G351" s="192">
        <v>38.346451999999999</v>
      </c>
      <c r="H351" s="192">
        <v>11.389786000000001</v>
      </c>
      <c r="I351" s="105" t="s">
        <v>3993</v>
      </c>
      <c r="J351" s="105" t="s">
        <v>3589</v>
      </c>
      <c r="K351" s="105" t="s">
        <v>3450</v>
      </c>
      <c r="L351" s="105" t="s">
        <v>2773</v>
      </c>
      <c r="M351" s="74" t="s">
        <v>3547</v>
      </c>
      <c r="N351" s="107" t="s">
        <v>3912</v>
      </c>
    </row>
    <row r="352" spans="1:14">
      <c r="A352" s="105" t="s">
        <v>213</v>
      </c>
      <c r="B352" s="105" t="s">
        <v>611</v>
      </c>
      <c r="C352" s="112">
        <v>46023</v>
      </c>
      <c r="D352" s="105" t="s">
        <v>660</v>
      </c>
      <c r="E352" s="106">
        <v>0.44225694444444447</v>
      </c>
      <c r="F352" s="108">
        <v>404</v>
      </c>
      <c r="G352" s="192">
        <v>38.346451999999999</v>
      </c>
      <c r="H352" s="192">
        <v>11.389786000000001</v>
      </c>
      <c r="I352" s="105" t="s">
        <v>3994</v>
      </c>
      <c r="J352" s="105" t="s">
        <v>3589</v>
      </c>
      <c r="K352" s="105" t="s">
        <v>3450</v>
      </c>
      <c r="L352" s="105" t="s">
        <v>2773</v>
      </c>
      <c r="M352" s="74" t="s">
        <v>3547</v>
      </c>
      <c r="N352" s="107" t="s">
        <v>3995</v>
      </c>
    </row>
    <row r="353" spans="1:15">
      <c r="A353" s="105" t="s">
        <v>213</v>
      </c>
      <c r="B353" s="105" t="s">
        <v>611</v>
      </c>
      <c r="C353" s="112">
        <v>46023</v>
      </c>
      <c r="D353" s="105" t="s">
        <v>660</v>
      </c>
      <c r="E353" s="106">
        <v>0.44225694444444447</v>
      </c>
      <c r="F353" s="108">
        <v>404</v>
      </c>
      <c r="G353" s="192">
        <v>38.346451999999999</v>
      </c>
      <c r="H353" s="192">
        <v>11.389786000000001</v>
      </c>
      <c r="I353" s="105" t="s">
        <v>3996</v>
      </c>
      <c r="J353" s="105" t="s">
        <v>3589</v>
      </c>
      <c r="K353" s="105" t="s">
        <v>3450</v>
      </c>
      <c r="L353" s="105" t="s">
        <v>2773</v>
      </c>
      <c r="M353" s="74" t="s">
        <v>3547</v>
      </c>
      <c r="N353" s="107" t="s">
        <v>3984</v>
      </c>
    </row>
    <row r="354" spans="1:15">
      <c r="A354" s="105" t="s">
        <v>213</v>
      </c>
      <c r="B354" s="105" t="s">
        <v>611</v>
      </c>
      <c r="C354" s="112">
        <v>46023</v>
      </c>
      <c r="D354" s="105" t="s">
        <v>655</v>
      </c>
      <c r="E354" s="106">
        <v>0.34037037037037038</v>
      </c>
      <c r="F354" s="108">
        <v>241</v>
      </c>
      <c r="G354" s="192">
        <v>38.407860999999997</v>
      </c>
      <c r="H354" s="192">
        <v>11.477425999999999</v>
      </c>
      <c r="I354" s="105" t="s">
        <v>3997</v>
      </c>
      <c r="J354" s="105" t="s">
        <v>1059</v>
      </c>
      <c r="K354" s="105" t="s">
        <v>3791</v>
      </c>
      <c r="L354" s="105" t="s">
        <v>3792</v>
      </c>
      <c r="M354" s="74" t="s">
        <v>1059</v>
      </c>
      <c r="N354" s="107" t="s">
        <v>3793</v>
      </c>
    </row>
    <row r="355" spans="1:15">
      <c r="A355" s="105" t="s">
        <v>213</v>
      </c>
      <c r="B355" s="105" t="s">
        <v>611</v>
      </c>
      <c r="C355" s="112">
        <v>46023</v>
      </c>
      <c r="D355" s="105" t="s">
        <v>655</v>
      </c>
      <c r="E355" s="106">
        <v>0.34037037037037038</v>
      </c>
      <c r="F355" s="108">
        <v>241</v>
      </c>
      <c r="G355" s="192">
        <v>38.407860999999997</v>
      </c>
      <c r="H355" s="192">
        <v>11.477425999999999</v>
      </c>
      <c r="I355" s="105" t="s">
        <v>3998</v>
      </c>
      <c r="J355" s="105" t="s">
        <v>1059</v>
      </c>
      <c r="K355" s="105" t="s">
        <v>3791</v>
      </c>
      <c r="L355" s="105" t="s">
        <v>3792</v>
      </c>
      <c r="M355" s="74" t="s">
        <v>1059</v>
      </c>
      <c r="N355" s="107" t="s">
        <v>3793</v>
      </c>
    </row>
    <row r="356" spans="1:15">
      <c r="A356" s="105" t="s">
        <v>213</v>
      </c>
      <c r="B356" s="105" t="s">
        <v>611</v>
      </c>
      <c r="C356" s="112">
        <v>46023</v>
      </c>
      <c r="D356" s="105" t="s">
        <v>655</v>
      </c>
      <c r="E356" s="106">
        <v>0.34037037037037038</v>
      </c>
      <c r="F356" s="108">
        <v>241</v>
      </c>
      <c r="G356" s="192">
        <v>38.407860999999997</v>
      </c>
      <c r="H356" s="192">
        <v>11.477425999999999</v>
      </c>
      <c r="I356" s="105" t="s">
        <v>3999</v>
      </c>
      <c r="J356" s="105" t="s">
        <v>1059</v>
      </c>
      <c r="K356" s="105" t="s">
        <v>3791</v>
      </c>
      <c r="L356" s="105" t="s">
        <v>3792</v>
      </c>
      <c r="M356" s="74" t="s">
        <v>1059</v>
      </c>
      <c r="N356" s="107" t="s">
        <v>3793</v>
      </c>
    </row>
    <row r="357" spans="1:15">
      <c r="A357" s="105" t="s">
        <v>213</v>
      </c>
      <c r="B357" s="105" t="s">
        <v>611</v>
      </c>
      <c r="C357" s="112">
        <v>46023</v>
      </c>
      <c r="D357" s="105" t="s">
        <v>655</v>
      </c>
      <c r="E357" s="106">
        <v>0.34037037037037038</v>
      </c>
      <c r="F357" s="108">
        <v>241</v>
      </c>
      <c r="G357" s="192">
        <v>38.407860999999997</v>
      </c>
      <c r="H357" s="192">
        <v>11.477425999999999</v>
      </c>
      <c r="I357" s="105" t="s">
        <v>4000</v>
      </c>
      <c r="J357" s="105" t="s">
        <v>1059</v>
      </c>
      <c r="K357" s="105" t="s">
        <v>3797</v>
      </c>
      <c r="L357" s="105" t="s">
        <v>329</v>
      </c>
      <c r="M357" s="74" t="s">
        <v>1059</v>
      </c>
      <c r="N357" s="107" t="s">
        <v>3833</v>
      </c>
    </row>
    <row r="358" spans="1:15">
      <c r="A358" s="105" t="s">
        <v>213</v>
      </c>
      <c r="B358" s="105" t="s">
        <v>611</v>
      </c>
      <c r="C358" s="112">
        <v>46023</v>
      </c>
      <c r="D358" s="105" t="s">
        <v>655</v>
      </c>
      <c r="E358" s="106">
        <v>0.34037037037037038</v>
      </c>
      <c r="F358" s="108">
        <v>241</v>
      </c>
      <c r="G358" s="192">
        <v>38.407860999999997</v>
      </c>
      <c r="H358" s="192">
        <v>11.477425999999999</v>
      </c>
      <c r="I358" s="105" t="s">
        <v>4001</v>
      </c>
      <c r="J358" s="105" t="s">
        <v>1059</v>
      </c>
      <c r="K358" s="105" t="s">
        <v>3797</v>
      </c>
      <c r="L358" s="105" t="s">
        <v>329</v>
      </c>
      <c r="M358" s="74" t="s">
        <v>1059</v>
      </c>
      <c r="N358" s="107" t="s">
        <v>3833</v>
      </c>
    </row>
    <row r="359" spans="1:15">
      <c r="A359" s="105" t="s">
        <v>213</v>
      </c>
      <c r="B359" s="105" t="s">
        <v>611</v>
      </c>
      <c r="C359" s="112">
        <v>46023</v>
      </c>
      <c r="D359" s="105" t="s">
        <v>655</v>
      </c>
      <c r="E359" s="106">
        <v>0.34037037037037038</v>
      </c>
      <c r="F359" s="108">
        <v>241</v>
      </c>
      <c r="G359" s="192">
        <v>38.407860999999997</v>
      </c>
      <c r="H359" s="192">
        <v>11.477425999999999</v>
      </c>
      <c r="I359" s="105" t="s">
        <v>4002</v>
      </c>
      <c r="J359" s="105" t="s">
        <v>1059</v>
      </c>
      <c r="K359" s="105" t="s">
        <v>3797</v>
      </c>
      <c r="L359" s="105" t="s">
        <v>3874</v>
      </c>
      <c r="M359" s="74" t="s">
        <v>1059</v>
      </c>
      <c r="N359" s="107" t="s">
        <v>3982</v>
      </c>
    </row>
    <row r="360" spans="1:15">
      <c r="A360" s="105" t="s">
        <v>213</v>
      </c>
      <c r="B360" s="105" t="s">
        <v>611</v>
      </c>
      <c r="C360" s="112">
        <v>46024</v>
      </c>
      <c r="D360" s="105" t="s">
        <v>673</v>
      </c>
      <c r="E360" s="106">
        <v>0.2137037037037037</v>
      </c>
      <c r="F360" s="108">
        <v>846</v>
      </c>
      <c r="G360" s="192">
        <v>38.310378</v>
      </c>
      <c r="H360" s="192">
        <v>11.380005000000001</v>
      </c>
      <c r="I360" s="105" t="s">
        <v>4003</v>
      </c>
      <c r="J360" s="105" t="s">
        <v>3589</v>
      </c>
      <c r="K360" s="105" t="s">
        <v>3450</v>
      </c>
      <c r="L360" s="105" t="s">
        <v>2040</v>
      </c>
      <c r="M360" s="74" t="s">
        <v>3547</v>
      </c>
      <c r="N360" s="107" t="s">
        <v>3991</v>
      </c>
    </row>
    <row r="361" spans="1:15">
      <c r="A361" s="105" t="s">
        <v>213</v>
      </c>
      <c r="B361" s="105" t="s">
        <v>611</v>
      </c>
      <c r="C361" s="112">
        <v>46024</v>
      </c>
      <c r="D361" s="105" t="s">
        <v>673</v>
      </c>
      <c r="E361" s="106">
        <v>0.2137037037037037</v>
      </c>
      <c r="F361" s="108">
        <v>846</v>
      </c>
      <c r="G361" s="192">
        <v>38.310378</v>
      </c>
      <c r="H361" s="192">
        <v>11.380005000000001</v>
      </c>
      <c r="I361" s="105" t="s">
        <v>4004</v>
      </c>
      <c r="J361" s="105" t="s">
        <v>3589</v>
      </c>
      <c r="K361" s="105" t="s">
        <v>3450</v>
      </c>
      <c r="L361" s="105" t="s">
        <v>2040</v>
      </c>
      <c r="M361" s="74" t="s">
        <v>3547</v>
      </c>
    </row>
    <row r="362" spans="1:15">
      <c r="A362" s="105" t="s">
        <v>213</v>
      </c>
      <c r="B362" s="105" t="s">
        <v>611</v>
      </c>
      <c r="C362" s="112">
        <v>46024</v>
      </c>
      <c r="D362" s="105" t="s">
        <v>673</v>
      </c>
      <c r="E362" s="106">
        <v>0.2137037037037037</v>
      </c>
      <c r="F362" s="108">
        <v>846</v>
      </c>
      <c r="G362" s="192">
        <v>38.310378</v>
      </c>
      <c r="H362" s="192">
        <v>11.380005000000001</v>
      </c>
      <c r="I362" s="105" t="s">
        <v>4005</v>
      </c>
      <c r="J362" s="105" t="s">
        <v>3589</v>
      </c>
      <c r="K362" s="105" t="s">
        <v>3450</v>
      </c>
      <c r="L362" s="105" t="s">
        <v>2040</v>
      </c>
      <c r="M362" s="74" t="s">
        <v>3547</v>
      </c>
      <c r="N362" s="107" t="s">
        <v>3984</v>
      </c>
    </row>
    <row r="363" spans="1:15">
      <c r="A363" s="105" t="s">
        <v>213</v>
      </c>
      <c r="B363" s="105" t="s">
        <v>611</v>
      </c>
      <c r="C363" s="112">
        <v>46024</v>
      </c>
      <c r="D363" s="105" t="s">
        <v>673</v>
      </c>
      <c r="E363" s="106">
        <v>0.2353587962962963</v>
      </c>
      <c r="F363" s="108">
        <v>825</v>
      </c>
      <c r="G363" s="192">
        <v>38.310786999999998</v>
      </c>
      <c r="H363" s="192">
        <v>11.381064</v>
      </c>
      <c r="I363" s="105" t="s">
        <v>4006</v>
      </c>
      <c r="J363" s="105" t="s">
        <v>3589</v>
      </c>
      <c r="K363" s="105" t="s">
        <v>3450</v>
      </c>
      <c r="L363" s="105" t="s">
        <v>1336</v>
      </c>
      <c r="M363" s="197" t="s">
        <v>3591</v>
      </c>
      <c r="N363" s="105" t="s">
        <v>3856</v>
      </c>
    </row>
    <row r="364" spans="1:15">
      <c r="A364" s="105" t="s">
        <v>213</v>
      </c>
      <c r="B364" s="105" t="s">
        <v>611</v>
      </c>
      <c r="C364" s="112">
        <v>46024</v>
      </c>
      <c r="D364" s="105" t="s">
        <v>673</v>
      </c>
      <c r="E364" s="106">
        <v>0.27099537037037036</v>
      </c>
      <c r="F364" s="108">
        <v>797</v>
      </c>
      <c r="G364" s="192">
        <v>38.311382000000002</v>
      </c>
      <c r="H364" s="192">
        <v>11.384206000000001</v>
      </c>
      <c r="I364" s="105" t="s">
        <v>4007</v>
      </c>
      <c r="J364" s="105" t="s">
        <v>3589</v>
      </c>
      <c r="K364" s="105" t="s">
        <v>3450</v>
      </c>
      <c r="L364" s="105" t="s">
        <v>2574</v>
      </c>
      <c r="M364" s="197" t="s">
        <v>3547</v>
      </c>
      <c r="N364" s="105" t="s">
        <v>3907</v>
      </c>
      <c r="O364" s="113"/>
    </row>
    <row r="365" spans="1:15">
      <c r="A365" s="105" t="s">
        <v>213</v>
      </c>
      <c r="B365" s="105" t="s">
        <v>611</v>
      </c>
      <c r="C365" s="112">
        <v>46024</v>
      </c>
      <c r="D365" s="105" t="s">
        <v>673</v>
      </c>
      <c r="E365" s="106">
        <v>0.27099537037037036</v>
      </c>
      <c r="F365" s="108">
        <v>797</v>
      </c>
      <c r="G365" s="192">
        <v>38.311382000000002</v>
      </c>
      <c r="H365" s="192">
        <v>11.384206000000001</v>
      </c>
      <c r="I365" s="105" t="s">
        <v>4008</v>
      </c>
      <c r="J365" s="105" t="s">
        <v>3589</v>
      </c>
      <c r="K365" s="105" t="s">
        <v>3450</v>
      </c>
      <c r="L365" s="105" t="s">
        <v>2574</v>
      </c>
      <c r="M365" s="197" t="s">
        <v>3547</v>
      </c>
      <c r="N365" s="105" t="s">
        <v>3907</v>
      </c>
      <c r="O365" s="113"/>
    </row>
    <row r="366" spans="1:15">
      <c r="A366" s="105" t="s">
        <v>213</v>
      </c>
      <c r="B366" s="105" t="s">
        <v>611</v>
      </c>
      <c r="C366" s="112">
        <v>46024</v>
      </c>
      <c r="D366" s="105" t="s">
        <v>682</v>
      </c>
      <c r="E366" s="106">
        <v>0.81665509259259261</v>
      </c>
      <c r="F366" s="108">
        <v>1585</v>
      </c>
      <c r="G366" s="192">
        <v>38.484968000000002</v>
      </c>
      <c r="H366" s="192">
        <v>11.72245</v>
      </c>
      <c r="I366" s="105" t="s">
        <v>4009</v>
      </c>
      <c r="J366" s="105" t="s">
        <v>1070</v>
      </c>
      <c r="M366" s="197"/>
      <c r="N366" s="107" t="s">
        <v>3465</v>
      </c>
      <c r="O366" s="113"/>
    </row>
    <row r="367" spans="1:15">
      <c r="A367" s="105" t="s">
        <v>213</v>
      </c>
      <c r="B367" s="105" t="s">
        <v>611</v>
      </c>
      <c r="C367" s="112">
        <v>46024</v>
      </c>
      <c r="D367" s="105" t="s">
        <v>682</v>
      </c>
      <c r="E367" s="106">
        <v>0.84612268518518519</v>
      </c>
      <c r="F367" s="108">
        <v>1591</v>
      </c>
      <c r="G367" s="192">
        <v>38.508944999999997</v>
      </c>
      <c r="H367" s="192">
        <v>11.376492000000001</v>
      </c>
      <c r="I367" s="105" t="s">
        <v>4010</v>
      </c>
      <c r="J367" s="105" t="s">
        <v>3589</v>
      </c>
      <c r="K367" s="105" t="s">
        <v>3450</v>
      </c>
      <c r="L367" s="105" t="s">
        <v>4011</v>
      </c>
      <c r="M367" s="197" t="s">
        <v>3591</v>
      </c>
      <c r="N367" s="105" t="s">
        <v>3991</v>
      </c>
      <c r="O367" s="113"/>
    </row>
    <row r="368" spans="1:15">
      <c r="A368" s="105" t="s">
        <v>213</v>
      </c>
      <c r="B368" s="105" t="s">
        <v>686</v>
      </c>
      <c r="C368" s="112">
        <v>46025</v>
      </c>
      <c r="D368" s="105" t="s">
        <v>687</v>
      </c>
      <c r="E368" s="106">
        <v>0.35245370370370371</v>
      </c>
      <c r="F368" s="108">
        <v>1358</v>
      </c>
      <c r="G368" s="192">
        <v>38.599010999999997</v>
      </c>
      <c r="H368" s="192">
        <v>11.461422000000001</v>
      </c>
      <c r="I368" s="105" t="s">
        <v>4012</v>
      </c>
      <c r="J368" s="105" t="s">
        <v>1070</v>
      </c>
      <c r="M368" s="197"/>
      <c r="N368" s="105" t="s">
        <v>3465</v>
      </c>
      <c r="O368" s="113"/>
    </row>
    <row r="369" spans="1:15">
      <c r="A369" s="105" t="s">
        <v>213</v>
      </c>
      <c r="B369" s="105" t="s">
        <v>686</v>
      </c>
      <c r="C369" s="112">
        <v>46026</v>
      </c>
      <c r="D369" s="105" t="s">
        <v>699</v>
      </c>
      <c r="E369" s="106">
        <v>0.25312499999999999</v>
      </c>
      <c r="F369" s="108">
        <v>1308</v>
      </c>
      <c r="G369" s="192">
        <v>38.641368999999997</v>
      </c>
      <c r="H369" s="192">
        <v>11.470803999999999</v>
      </c>
      <c r="I369" s="105" t="s">
        <v>4013</v>
      </c>
      <c r="J369" s="105" t="s">
        <v>3589</v>
      </c>
      <c r="K369" s="105" t="s">
        <v>3450</v>
      </c>
      <c r="L369" s="105" t="s">
        <v>4014</v>
      </c>
      <c r="M369" s="197" t="s">
        <v>3591</v>
      </c>
      <c r="N369" s="107" t="s">
        <v>3991</v>
      </c>
      <c r="O369" s="113"/>
    </row>
    <row r="370" spans="1:15">
      <c r="A370" s="105" t="s">
        <v>213</v>
      </c>
      <c r="B370" s="105" t="s">
        <v>686</v>
      </c>
      <c r="C370" s="112">
        <v>46026</v>
      </c>
      <c r="D370" s="105" t="s">
        <v>703</v>
      </c>
      <c r="E370" s="106">
        <v>0.51028935185185187</v>
      </c>
      <c r="F370" s="108">
        <v>1442</v>
      </c>
      <c r="G370" s="192">
        <v>38.653848000000004</v>
      </c>
      <c r="H370" s="192">
        <v>11.444103</v>
      </c>
      <c r="I370" s="105" t="s">
        <v>4015</v>
      </c>
      <c r="J370" s="105" t="s">
        <v>3589</v>
      </c>
      <c r="K370" s="105" t="s">
        <v>3450</v>
      </c>
      <c r="L370" s="105" t="s">
        <v>2773</v>
      </c>
      <c r="M370" s="197" t="s">
        <v>3547</v>
      </c>
      <c r="N370" s="107" t="s">
        <v>3991</v>
      </c>
      <c r="O370" s="113"/>
    </row>
    <row r="371" spans="1:15">
      <c r="A371" s="105" t="s">
        <v>213</v>
      </c>
      <c r="B371" s="105" t="s">
        <v>686</v>
      </c>
      <c r="C371" s="112">
        <v>46026</v>
      </c>
      <c r="D371" s="105" t="s">
        <v>703</v>
      </c>
      <c r="E371" s="106">
        <v>0.51028935185185187</v>
      </c>
      <c r="F371" s="108">
        <v>1442</v>
      </c>
      <c r="G371" s="192">
        <v>38.653848000000004</v>
      </c>
      <c r="H371" s="192">
        <v>11.444103</v>
      </c>
      <c r="I371" s="105" t="s">
        <v>4016</v>
      </c>
      <c r="J371" s="105" t="s">
        <v>3589</v>
      </c>
      <c r="K371" s="105" t="s">
        <v>3450</v>
      </c>
      <c r="L371" s="105" t="s">
        <v>2773</v>
      </c>
      <c r="M371" s="197" t="s">
        <v>3547</v>
      </c>
      <c r="N371" s="107" t="s">
        <v>3991</v>
      </c>
    </row>
    <row r="372" spans="1:15">
      <c r="A372" s="105" t="s">
        <v>213</v>
      </c>
      <c r="B372" s="105" t="s">
        <v>686</v>
      </c>
      <c r="C372" s="112">
        <v>46026</v>
      </c>
      <c r="D372" s="105" t="s">
        <v>703</v>
      </c>
      <c r="E372" s="106">
        <v>0.51028935185185187</v>
      </c>
      <c r="F372" s="108">
        <v>1442</v>
      </c>
      <c r="G372" s="192">
        <v>38.653848000000004</v>
      </c>
      <c r="H372" s="192">
        <v>11.444103</v>
      </c>
      <c r="I372" s="105" t="s">
        <v>4017</v>
      </c>
      <c r="J372" s="105" t="s">
        <v>3589</v>
      </c>
      <c r="K372" s="105" t="s">
        <v>3450</v>
      </c>
      <c r="L372" s="105" t="s">
        <v>2773</v>
      </c>
      <c r="M372" s="197" t="s">
        <v>3547</v>
      </c>
      <c r="N372" s="107" t="s">
        <v>3984</v>
      </c>
    </row>
    <row r="373" spans="1:15">
      <c r="A373" s="105" t="s">
        <v>213</v>
      </c>
      <c r="B373" s="105" t="s">
        <v>686</v>
      </c>
      <c r="C373" s="112">
        <v>46026</v>
      </c>
      <c r="D373" s="105" t="s">
        <v>703</v>
      </c>
      <c r="E373" s="106">
        <v>0.5166898148148148</v>
      </c>
      <c r="F373" s="108">
        <v>1442</v>
      </c>
      <c r="G373" s="192">
        <v>38.653848000000004</v>
      </c>
      <c r="H373" s="192">
        <v>11.444103</v>
      </c>
      <c r="I373" s="105" t="s">
        <v>4018</v>
      </c>
      <c r="J373" s="105" t="s">
        <v>3589</v>
      </c>
      <c r="K373" s="105" t="s">
        <v>3450</v>
      </c>
      <c r="L373" s="105" t="s">
        <v>2782</v>
      </c>
      <c r="M373" s="74" t="s">
        <v>3547</v>
      </c>
      <c r="N373" s="107" t="s">
        <v>3991</v>
      </c>
    </row>
    <row r="374" spans="1:15">
      <c r="A374" s="105" t="s">
        <v>213</v>
      </c>
      <c r="B374" s="105" t="s">
        <v>686</v>
      </c>
      <c r="C374" s="112">
        <v>46026</v>
      </c>
      <c r="D374" s="105" t="s">
        <v>703</v>
      </c>
      <c r="E374" s="106">
        <v>0.5166898148148148</v>
      </c>
      <c r="F374" s="108">
        <v>1442</v>
      </c>
      <c r="G374" s="192">
        <v>38.653848000000004</v>
      </c>
      <c r="H374" s="192">
        <v>11.444103</v>
      </c>
      <c r="I374" s="105" t="s">
        <v>4019</v>
      </c>
      <c r="J374" s="105" t="s">
        <v>3589</v>
      </c>
      <c r="K374" s="105" t="s">
        <v>3450</v>
      </c>
      <c r="L374" s="105" t="s">
        <v>2782</v>
      </c>
      <c r="M374" s="74" t="s">
        <v>3547</v>
      </c>
      <c r="N374" s="107" t="s">
        <v>3991</v>
      </c>
    </row>
    <row r="375" spans="1:15">
      <c r="A375" s="105" t="s">
        <v>213</v>
      </c>
      <c r="B375" s="105" t="s">
        <v>686</v>
      </c>
      <c r="C375" s="112">
        <v>46026</v>
      </c>
      <c r="D375" s="105" t="s">
        <v>703</v>
      </c>
      <c r="E375" s="106">
        <v>0.5166898148148148</v>
      </c>
      <c r="F375" s="108">
        <v>1442</v>
      </c>
      <c r="G375" s="192">
        <v>38.653848000000004</v>
      </c>
      <c r="H375" s="192">
        <v>11.444103</v>
      </c>
      <c r="I375" s="105" t="s">
        <v>4020</v>
      </c>
      <c r="J375" s="105" t="s">
        <v>3589</v>
      </c>
      <c r="K375" s="105" t="s">
        <v>3450</v>
      </c>
      <c r="L375" s="105" t="s">
        <v>2782</v>
      </c>
      <c r="M375" s="74" t="s">
        <v>3547</v>
      </c>
      <c r="N375" s="107" t="s">
        <v>3991</v>
      </c>
    </row>
    <row r="376" spans="1:15">
      <c r="A376" s="105" t="s">
        <v>213</v>
      </c>
      <c r="B376" s="105" t="s">
        <v>686</v>
      </c>
      <c r="C376" s="112">
        <v>46026</v>
      </c>
      <c r="D376" s="105" t="s">
        <v>703</v>
      </c>
      <c r="E376" s="106">
        <v>0.54120370370370374</v>
      </c>
      <c r="F376" s="108">
        <v>1384</v>
      </c>
      <c r="G376" s="192">
        <v>38.653793999999998</v>
      </c>
      <c r="H376" s="192">
        <v>11.44571</v>
      </c>
      <c r="I376" s="105" t="s">
        <v>4021</v>
      </c>
      <c r="J376" s="105" t="s">
        <v>3589</v>
      </c>
      <c r="K376" s="105" t="s">
        <v>3450</v>
      </c>
      <c r="L376" s="105" t="s">
        <v>2830</v>
      </c>
      <c r="M376" s="74" t="s">
        <v>3547</v>
      </c>
      <c r="N376" s="107" t="s">
        <v>3787</v>
      </c>
    </row>
    <row r="377" spans="1:15" s="148" customFormat="1">
      <c r="A377" s="105" t="s">
        <v>213</v>
      </c>
      <c r="B377" s="105" t="s">
        <v>686</v>
      </c>
      <c r="C377" s="112">
        <v>46026</v>
      </c>
      <c r="D377" s="105" t="s">
        <v>703</v>
      </c>
      <c r="E377" s="106">
        <v>0.54120370370370374</v>
      </c>
      <c r="F377" s="108">
        <v>1384</v>
      </c>
      <c r="G377" s="192">
        <v>38.653793999999998</v>
      </c>
      <c r="H377" s="192">
        <v>11.44571</v>
      </c>
      <c r="I377" s="105" t="s">
        <v>4022</v>
      </c>
      <c r="J377" s="105" t="s">
        <v>3589</v>
      </c>
      <c r="K377" s="105" t="s">
        <v>3450</v>
      </c>
      <c r="L377" s="105" t="s">
        <v>2830</v>
      </c>
      <c r="M377" s="74" t="s">
        <v>3547</v>
      </c>
      <c r="N377" s="107" t="s">
        <v>3991</v>
      </c>
      <c r="O377" s="104"/>
    </row>
    <row r="378" spans="1:15" s="148" customFormat="1">
      <c r="A378" s="105" t="s">
        <v>213</v>
      </c>
      <c r="B378" s="105" t="s">
        <v>686</v>
      </c>
      <c r="C378" s="112">
        <v>46026</v>
      </c>
      <c r="D378" s="105" t="s">
        <v>703</v>
      </c>
      <c r="E378" s="106">
        <v>0.54120370370370374</v>
      </c>
      <c r="F378" s="108">
        <v>1384</v>
      </c>
      <c r="G378" s="192">
        <v>38.653793999999998</v>
      </c>
      <c r="H378" s="192">
        <v>11.44571</v>
      </c>
      <c r="I378" s="105" t="s">
        <v>4023</v>
      </c>
      <c r="J378" s="105" t="s">
        <v>3589</v>
      </c>
      <c r="K378" s="105" t="s">
        <v>3450</v>
      </c>
      <c r="L378" s="105" t="s">
        <v>2830</v>
      </c>
      <c r="M378" s="74" t="s">
        <v>3547</v>
      </c>
      <c r="N378" s="107" t="s">
        <v>3991</v>
      </c>
      <c r="O378" s="104"/>
    </row>
    <row r="379" spans="1:15">
      <c r="A379" s="105" t="s">
        <v>213</v>
      </c>
      <c r="B379" s="105" t="s">
        <v>686</v>
      </c>
      <c r="C379" s="112">
        <v>46026</v>
      </c>
      <c r="D379" s="105" t="s">
        <v>711</v>
      </c>
      <c r="E379" s="106">
        <v>0.17791666666666667</v>
      </c>
      <c r="F379" s="108">
        <v>1515</v>
      </c>
      <c r="G379" s="192">
        <v>38.700875000000003</v>
      </c>
      <c r="H379" s="192">
        <v>11.473041</v>
      </c>
      <c r="I379" s="105" t="s">
        <v>4024</v>
      </c>
      <c r="J379" s="105" t="s">
        <v>3589</v>
      </c>
      <c r="K379" s="105" t="s">
        <v>3450</v>
      </c>
      <c r="L379" s="105" t="s">
        <v>1367</v>
      </c>
      <c r="M379" s="74" t="s">
        <v>3547</v>
      </c>
      <c r="N379" s="107" t="s">
        <v>3991</v>
      </c>
    </row>
    <row r="380" spans="1:15">
      <c r="A380" s="105" t="s">
        <v>213</v>
      </c>
      <c r="B380" s="105" t="s">
        <v>686</v>
      </c>
      <c r="C380" s="112">
        <v>46026</v>
      </c>
      <c r="D380" s="105" t="s">
        <v>711</v>
      </c>
      <c r="E380" s="106">
        <v>0.17791666666666667</v>
      </c>
      <c r="F380" s="108">
        <v>1515</v>
      </c>
      <c r="G380" s="192">
        <v>38.700875000000003</v>
      </c>
      <c r="H380" s="192">
        <v>11.473041</v>
      </c>
      <c r="I380" s="105" t="s">
        <v>4025</v>
      </c>
      <c r="J380" s="105" t="s">
        <v>3589</v>
      </c>
      <c r="K380" s="105" t="s">
        <v>3450</v>
      </c>
      <c r="L380" s="105" t="s">
        <v>1367</v>
      </c>
      <c r="M380" s="74" t="s">
        <v>3547</v>
      </c>
      <c r="N380" s="107" t="s">
        <v>3991</v>
      </c>
    </row>
    <row r="381" spans="1:15">
      <c r="A381" s="105" t="s">
        <v>213</v>
      </c>
      <c r="B381" s="105" t="s">
        <v>686</v>
      </c>
      <c r="C381" s="112">
        <v>46026</v>
      </c>
      <c r="D381" s="105" t="s">
        <v>711</v>
      </c>
      <c r="E381" s="106">
        <v>0.17791666666666667</v>
      </c>
      <c r="F381" s="108">
        <v>1515</v>
      </c>
      <c r="G381" s="192">
        <v>38.700875000000003</v>
      </c>
      <c r="H381" s="192">
        <v>11.473041</v>
      </c>
      <c r="I381" s="105" t="s">
        <v>4026</v>
      </c>
      <c r="J381" s="105" t="s">
        <v>3589</v>
      </c>
      <c r="K381" s="105" t="s">
        <v>3450</v>
      </c>
      <c r="L381" s="105" t="s">
        <v>1367</v>
      </c>
      <c r="M381" s="74" t="s">
        <v>3547</v>
      </c>
      <c r="N381" s="107" t="s">
        <v>3991</v>
      </c>
    </row>
    <row r="382" spans="1:15">
      <c r="A382" s="105" t="s">
        <v>213</v>
      </c>
      <c r="B382" s="105" t="s">
        <v>686</v>
      </c>
      <c r="C382" s="112">
        <v>46026</v>
      </c>
      <c r="D382" s="105" t="s">
        <v>711</v>
      </c>
      <c r="E382" s="106">
        <v>0.17791666666666667</v>
      </c>
      <c r="F382" s="108">
        <v>1515</v>
      </c>
      <c r="G382" s="192">
        <v>38.700875000000003</v>
      </c>
      <c r="H382" s="192">
        <v>11.473041</v>
      </c>
      <c r="I382" s="105" t="s">
        <v>4027</v>
      </c>
      <c r="J382" s="105" t="s">
        <v>3589</v>
      </c>
      <c r="K382" s="105" t="s">
        <v>3450</v>
      </c>
      <c r="L382" s="105" t="s">
        <v>1367</v>
      </c>
      <c r="M382" s="74" t="s">
        <v>3547</v>
      </c>
      <c r="N382" s="107" t="s">
        <v>3984</v>
      </c>
    </row>
    <row r="383" spans="1:15">
      <c r="A383" s="105" t="s">
        <v>213</v>
      </c>
      <c r="B383" s="105" t="s">
        <v>686</v>
      </c>
      <c r="C383" s="112">
        <v>46027</v>
      </c>
      <c r="D383" s="105" t="s">
        <v>715</v>
      </c>
      <c r="E383" s="106">
        <v>0.29236111111111113</v>
      </c>
      <c r="F383" s="108">
        <v>1562</v>
      </c>
      <c r="G383" s="192">
        <v>38.696640000000002</v>
      </c>
      <c r="H383" s="192">
        <v>11.490209999999999</v>
      </c>
      <c r="I383" s="133" t="s">
        <v>4028</v>
      </c>
      <c r="J383" s="105" t="s">
        <v>3427</v>
      </c>
      <c r="K383" s="105" t="s">
        <v>3455</v>
      </c>
      <c r="L383" s="105" t="s">
        <v>4029</v>
      </c>
      <c r="M383" s="74" t="s">
        <v>3547</v>
      </c>
      <c r="N383" s="107" t="s">
        <v>3907</v>
      </c>
    </row>
    <row r="384" spans="1:15">
      <c r="A384" s="107" t="s">
        <v>213</v>
      </c>
      <c r="B384" s="105" t="s">
        <v>686</v>
      </c>
      <c r="C384" s="112">
        <v>46027</v>
      </c>
      <c r="D384" s="105" t="s">
        <v>715</v>
      </c>
      <c r="E384" s="106">
        <v>0.38762731481481483</v>
      </c>
      <c r="F384" s="108">
        <v>1494</v>
      </c>
      <c r="G384" s="192">
        <v>38.694063999999997</v>
      </c>
      <c r="H384" s="192">
        <v>11.483612000000001</v>
      </c>
      <c r="I384" s="133" t="s">
        <v>4030</v>
      </c>
      <c r="J384" s="105" t="s">
        <v>3427</v>
      </c>
      <c r="K384" s="105" t="s">
        <v>3455</v>
      </c>
      <c r="L384" s="105" t="s">
        <v>4029</v>
      </c>
      <c r="M384" s="74" t="s">
        <v>3547</v>
      </c>
      <c r="N384" s="107" t="s">
        <v>4031</v>
      </c>
    </row>
    <row r="385" spans="1:14">
      <c r="A385" s="105" t="s">
        <v>213</v>
      </c>
      <c r="B385" s="105" t="s">
        <v>686</v>
      </c>
      <c r="C385" s="112">
        <v>46027</v>
      </c>
      <c r="D385" s="105" t="s">
        <v>715</v>
      </c>
      <c r="E385" s="106">
        <v>0.38762731481481483</v>
      </c>
      <c r="F385" s="108">
        <v>1494</v>
      </c>
      <c r="G385" s="192">
        <v>38.694063999999997</v>
      </c>
      <c r="H385" s="192">
        <v>11.483612000000001</v>
      </c>
      <c r="I385" s="109" t="s">
        <v>4032</v>
      </c>
      <c r="J385" s="105" t="s">
        <v>3589</v>
      </c>
      <c r="K385" s="105" t="s">
        <v>3450</v>
      </c>
      <c r="L385" s="105" t="s">
        <v>4033</v>
      </c>
      <c r="M385" s="74" t="s">
        <v>3547</v>
      </c>
      <c r="N385" s="107" t="s">
        <v>3991</v>
      </c>
    </row>
    <row r="386" spans="1:14">
      <c r="A386" s="105" t="s">
        <v>213</v>
      </c>
      <c r="B386" s="105" t="s">
        <v>686</v>
      </c>
      <c r="C386" s="112">
        <v>46027</v>
      </c>
      <c r="D386" s="105" t="s">
        <v>715</v>
      </c>
      <c r="E386" s="106">
        <v>0.38762731481481483</v>
      </c>
      <c r="F386" s="108">
        <v>1494</v>
      </c>
      <c r="G386" s="192">
        <v>38.694063999999997</v>
      </c>
      <c r="H386" s="192">
        <v>11.483612000000001</v>
      </c>
      <c r="I386" s="109" t="s">
        <v>4034</v>
      </c>
      <c r="J386" s="105" t="s">
        <v>3589</v>
      </c>
      <c r="K386" s="105" t="s">
        <v>3450</v>
      </c>
      <c r="L386" s="105" t="s">
        <v>4033</v>
      </c>
      <c r="M386" s="74" t="s">
        <v>3547</v>
      </c>
      <c r="N386" s="107" t="s">
        <v>3991</v>
      </c>
    </row>
    <row r="387" spans="1:14">
      <c r="A387" s="105" t="s">
        <v>213</v>
      </c>
      <c r="B387" s="105" t="s">
        <v>686</v>
      </c>
      <c r="C387" s="112">
        <v>46027</v>
      </c>
      <c r="D387" s="105" t="s">
        <v>715</v>
      </c>
      <c r="E387" s="106">
        <v>0.38762731481481483</v>
      </c>
      <c r="F387" s="108">
        <v>1494</v>
      </c>
      <c r="G387" s="192">
        <v>38.694063999999997</v>
      </c>
      <c r="H387" s="192">
        <v>11.483612000000001</v>
      </c>
      <c r="I387" s="105" t="s">
        <v>4035</v>
      </c>
      <c r="J387" s="105" t="s">
        <v>3589</v>
      </c>
      <c r="K387" s="105" t="s">
        <v>3450</v>
      </c>
      <c r="L387" s="105" t="s">
        <v>4036</v>
      </c>
      <c r="M387" s="74" t="s">
        <v>3547</v>
      </c>
      <c r="N387" s="107" t="s">
        <v>3856</v>
      </c>
    </row>
    <row r="388" spans="1:14">
      <c r="A388" s="105" t="s">
        <v>213</v>
      </c>
      <c r="B388" s="105" t="s">
        <v>686</v>
      </c>
      <c r="C388" s="112">
        <v>46027</v>
      </c>
      <c r="D388" s="105" t="s">
        <v>715</v>
      </c>
      <c r="E388" s="106">
        <v>0.38762731481481483</v>
      </c>
      <c r="F388" s="108">
        <v>1494</v>
      </c>
      <c r="G388" s="192">
        <v>38.694063999999997</v>
      </c>
      <c r="H388" s="192">
        <v>11.483612000000001</v>
      </c>
      <c r="I388" s="105" t="s">
        <v>4037</v>
      </c>
      <c r="J388" s="105" t="s">
        <v>3589</v>
      </c>
      <c r="K388" s="105" t="s">
        <v>3450</v>
      </c>
      <c r="L388" s="105" t="s">
        <v>2651</v>
      </c>
      <c r="M388" s="74" t="s">
        <v>3547</v>
      </c>
      <c r="N388" s="107" t="s">
        <v>4038</v>
      </c>
    </row>
    <row r="389" spans="1:14">
      <c r="A389" s="105" t="s">
        <v>213</v>
      </c>
      <c r="B389" s="105" t="s">
        <v>686</v>
      </c>
      <c r="C389" s="112">
        <v>46027</v>
      </c>
      <c r="D389" s="105" t="s">
        <v>715</v>
      </c>
      <c r="E389" s="106">
        <v>0.38762731481481483</v>
      </c>
      <c r="F389" s="108">
        <v>1494</v>
      </c>
      <c r="G389" s="192">
        <v>38.694063999999997</v>
      </c>
      <c r="H389" s="192">
        <v>11.483612000000001</v>
      </c>
      <c r="I389" s="105" t="s">
        <v>4039</v>
      </c>
      <c r="J389" s="105" t="s">
        <v>3589</v>
      </c>
      <c r="K389" s="105" t="s">
        <v>3450</v>
      </c>
      <c r="L389" s="105" t="s">
        <v>4040</v>
      </c>
      <c r="M389" s="74" t="s">
        <v>3547</v>
      </c>
      <c r="N389" s="107" t="s">
        <v>3856</v>
      </c>
    </row>
    <row r="390" spans="1:14">
      <c r="A390" s="105" t="s">
        <v>213</v>
      </c>
      <c r="B390" s="105" t="s">
        <v>686</v>
      </c>
      <c r="C390" s="112">
        <v>46027</v>
      </c>
      <c r="D390" s="105" t="s">
        <v>715</v>
      </c>
      <c r="E390" s="106">
        <v>0.38762731481481483</v>
      </c>
      <c r="F390" s="108">
        <v>1494</v>
      </c>
      <c r="G390" s="192">
        <v>38.694063999999997</v>
      </c>
      <c r="H390" s="192">
        <v>11.483612000000001</v>
      </c>
      <c r="I390" s="105" t="s">
        <v>4041</v>
      </c>
      <c r="J390" s="105" t="s">
        <v>3589</v>
      </c>
      <c r="K390" s="105" t="s">
        <v>3450</v>
      </c>
      <c r="L390" s="105" t="s">
        <v>4042</v>
      </c>
      <c r="M390" s="74" t="s">
        <v>3547</v>
      </c>
      <c r="N390" s="107" t="s">
        <v>4043</v>
      </c>
    </row>
    <row r="391" spans="1:14">
      <c r="A391" s="105" t="s">
        <v>213</v>
      </c>
      <c r="B391" s="105" t="s">
        <v>686</v>
      </c>
      <c r="C391" s="112">
        <v>46027</v>
      </c>
      <c r="D391" s="105" t="s">
        <v>715</v>
      </c>
      <c r="E391" s="106">
        <v>0.38762731481481483</v>
      </c>
      <c r="F391" s="108">
        <v>1494</v>
      </c>
      <c r="G391" s="192">
        <v>38.694063999999997</v>
      </c>
      <c r="H391" s="192">
        <v>11.483612000000001</v>
      </c>
      <c r="I391" s="105" t="s">
        <v>4044</v>
      </c>
      <c r="J391" s="105" t="s">
        <v>3589</v>
      </c>
      <c r="K391" s="105" t="s">
        <v>3450</v>
      </c>
      <c r="L391" s="105" t="s">
        <v>4045</v>
      </c>
      <c r="M391" s="74" t="s">
        <v>3547</v>
      </c>
      <c r="N391" s="107" t="s">
        <v>3984</v>
      </c>
    </row>
    <row r="392" spans="1:14">
      <c r="A392" s="105" t="s">
        <v>4046</v>
      </c>
      <c r="B392" s="105" t="s">
        <v>719</v>
      </c>
      <c r="C392" s="112">
        <v>46028</v>
      </c>
      <c r="D392" s="105" t="s">
        <v>720</v>
      </c>
      <c r="E392" s="106">
        <v>8.5717592592592595E-2</v>
      </c>
      <c r="F392" s="108">
        <v>1708</v>
      </c>
      <c r="G392" s="192">
        <v>39.631127999999997</v>
      </c>
      <c r="H392" s="192">
        <v>10.359532</v>
      </c>
      <c r="I392" s="105" t="s">
        <v>4047</v>
      </c>
      <c r="J392" s="105" t="s">
        <v>3427</v>
      </c>
      <c r="K392" s="105" t="s">
        <v>3455</v>
      </c>
      <c r="L392" s="105" t="s">
        <v>3528</v>
      </c>
      <c r="M392" s="74" t="s">
        <v>3547</v>
      </c>
      <c r="N392" s="107" t="s">
        <v>329</v>
      </c>
    </row>
    <row r="393" spans="1:14">
      <c r="A393" s="105" t="s">
        <v>4046</v>
      </c>
      <c r="B393" s="105" t="s">
        <v>719</v>
      </c>
      <c r="C393" s="112">
        <v>46028</v>
      </c>
      <c r="D393" s="105" t="s">
        <v>720</v>
      </c>
      <c r="E393" s="106">
        <v>8.5717592592592595E-2</v>
      </c>
      <c r="F393" s="108">
        <v>1708</v>
      </c>
      <c r="G393" s="192">
        <v>39.631127999999997</v>
      </c>
      <c r="H393" s="192">
        <v>10.359532</v>
      </c>
      <c r="I393" s="105" t="s">
        <v>4048</v>
      </c>
      <c r="J393" s="105" t="s">
        <v>3589</v>
      </c>
      <c r="K393" s="105" t="s">
        <v>3450</v>
      </c>
      <c r="L393" s="105" t="s">
        <v>4049</v>
      </c>
      <c r="M393" s="74" t="s">
        <v>3547</v>
      </c>
      <c r="N393" s="107" t="s">
        <v>3856</v>
      </c>
    </row>
    <row r="394" spans="1:14">
      <c r="A394" s="105" t="s">
        <v>4046</v>
      </c>
      <c r="B394" s="105" t="s">
        <v>719</v>
      </c>
      <c r="C394" s="112">
        <v>46028</v>
      </c>
      <c r="D394" s="105" t="s">
        <v>720</v>
      </c>
      <c r="E394" s="106">
        <v>8.5717592592592595E-2</v>
      </c>
      <c r="F394" s="108">
        <v>1708</v>
      </c>
      <c r="G394" s="192">
        <v>39.631127999999997</v>
      </c>
      <c r="H394" s="192">
        <v>10.359532</v>
      </c>
      <c r="I394" s="105" t="s">
        <v>4050</v>
      </c>
      <c r="J394" s="105" t="s">
        <v>3589</v>
      </c>
      <c r="K394" s="105" t="s">
        <v>3450</v>
      </c>
      <c r="L394" s="107" t="s">
        <v>4045</v>
      </c>
      <c r="M394" s="74" t="s">
        <v>3547</v>
      </c>
      <c r="N394" s="107" t="s">
        <v>3991</v>
      </c>
    </row>
    <row r="395" spans="1:14">
      <c r="A395" s="105" t="s">
        <v>4046</v>
      </c>
      <c r="B395" s="105" t="s">
        <v>719</v>
      </c>
      <c r="C395" s="112">
        <v>46028</v>
      </c>
      <c r="D395" s="105" t="s">
        <v>720</v>
      </c>
      <c r="E395" s="106">
        <v>0.17550925925925925</v>
      </c>
      <c r="F395" s="108">
        <v>1622</v>
      </c>
      <c r="G395" s="192">
        <v>39.634985999999998</v>
      </c>
      <c r="H395" s="192">
        <v>10.353138</v>
      </c>
      <c r="I395" s="105" t="s">
        <v>4051</v>
      </c>
      <c r="J395" s="105" t="s">
        <v>3589</v>
      </c>
      <c r="K395" s="105" t="s">
        <v>3450</v>
      </c>
      <c r="L395" s="105" t="s">
        <v>1507</v>
      </c>
      <c r="M395" s="74" t="s">
        <v>3547</v>
      </c>
      <c r="N395" s="107" t="s">
        <v>3907</v>
      </c>
    </row>
    <row r="396" spans="1:14">
      <c r="A396" s="105" t="s">
        <v>4046</v>
      </c>
      <c r="B396" s="105" t="s">
        <v>719</v>
      </c>
      <c r="C396" s="112">
        <v>46028</v>
      </c>
      <c r="D396" s="105" t="s">
        <v>720</v>
      </c>
      <c r="E396" s="106">
        <v>0.17550925925925925</v>
      </c>
      <c r="F396" s="108">
        <v>1622</v>
      </c>
      <c r="G396" s="192">
        <v>39.634985999999998</v>
      </c>
      <c r="H396" s="192">
        <v>10.353138</v>
      </c>
      <c r="I396" s="105" t="s">
        <v>4052</v>
      </c>
      <c r="J396" s="105" t="s">
        <v>3589</v>
      </c>
      <c r="K396" s="105" t="s">
        <v>3450</v>
      </c>
      <c r="L396" s="105" t="s">
        <v>1507</v>
      </c>
      <c r="M396" s="74" t="s">
        <v>3547</v>
      </c>
      <c r="N396" s="107" t="s">
        <v>3991</v>
      </c>
    </row>
    <row r="397" spans="1:14">
      <c r="A397" s="105" t="s">
        <v>4046</v>
      </c>
      <c r="B397" s="105" t="s">
        <v>719</v>
      </c>
      <c r="C397" s="112">
        <v>46028</v>
      </c>
      <c r="D397" s="105" t="s">
        <v>720</v>
      </c>
      <c r="E397" s="106">
        <v>0.17550925925925925</v>
      </c>
      <c r="F397" s="108">
        <v>1622</v>
      </c>
      <c r="G397" s="192">
        <v>39.634985999999998</v>
      </c>
      <c r="H397" s="192">
        <v>10.353138</v>
      </c>
      <c r="I397" s="105" t="s">
        <v>4053</v>
      </c>
      <c r="J397" s="105" t="s">
        <v>3589</v>
      </c>
      <c r="K397" s="105" t="s">
        <v>3450</v>
      </c>
      <c r="L397" s="105" t="s">
        <v>1507</v>
      </c>
      <c r="M397" s="74" t="s">
        <v>3547</v>
      </c>
      <c r="N397" s="107" t="s">
        <v>3991</v>
      </c>
    </row>
    <row r="398" spans="1:14">
      <c r="A398" s="105" t="s">
        <v>4046</v>
      </c>
      <c r="B398" s="105" t="s">
        <v>719</v>
      </c>
      <c r="C398" s="112">
        <v>46028</v>
      </c>
      <c r="D398" s="105" t="s">
        <v>720</v>
      </c>
      <c r="E398" s="106">
        <v>0.17550925925925925</v>
      </c>
      <c r="F398" s="108">
        <v>1622</v>
      </c>
      <c r="G398" s="192">
        <v>39.634985999999998</v>
      </c>
      <c r="H398" s="192">
        <v>10.353138</v>
      </c>
      <c r="I398" s="105" t="s">
        <v>4054</v>
      </c>
      <c r="J398" s="105" t="s">
        <v>3589</v>
      </c>
      <c r="K398" s="105" t="s">
        <v>3450</v>
      </c>
      <c r="L398" s="105" t="s">
        <v>1507</v>
      </c>
      <c r="M398" s="74" t="s">
        <v>3547</v>
      </c>
      <c r="N398" s="107" t="s">
        <v>3991</v>
      </c>
    </row>
    <row r="399" spans="1:14">
      <c r="A399" s="105" t="s">
        <v>4046</v>
      </c>
      <c r="B399" s="105" t="s">
        <v>719</v>
      </c>
      <c r="C399" s="112">
        <v>46028</v>
      </c>
      <c r="D399" s="105" t="s">
        <v>720</v>
      </c>
      <c r="E399" s="106">
        <v>0.17550925925925925</v>
      </c>
      <c r="F399" s="108">
        <v>1622</v>
      </c>
      <c r="G399" s="192">
        <v>39.634985999999998</v>
      </c>
      <c r="H399" s="192">
        <v>10.353138</v>
      </c>
      <c r="I399" s="105" t="s">
        <v>4055</v>
      </c>
      <c r="J399" s="105" t="s">
        <v>3589</v>
      </c>
      <c r="K399" s="105" t="s">
        <v>3450</v>
      </c>
      <c r="L399" s="105" t="s">
        <v>4056</v>
      </c>
      <c r="M399" s="74" t="s">
        <v>3547</v>
      </c>
      <c r="N399" s="107" t="s">
        <v>3984</v>
      </c>
    </row>
    <row r="400" spans="1:14">
      <c r="A400" s="105" t="s">
        <v>4046</v>
      </c>
      <c r="B400" s="105" t="s">
        <v>719</v>
      </c>
      <c r="C400" s="112">
        <v>46028</v>
      </c>
      <c r="D400" s="105" t="s">
        <v>720</v>
      </c>
      <c r="E400" s="106">
        <v>0.20070601851851852</v>
      </c>
      <c r="F400" s="108">
        <v>1601</v>
      </c>
      <c r="G400" s="192">
        <v>39.635325000000002</v>
      </c>
      <c r="H400" s="192">
        <v>10.351832999999999</v>
      </c>
      <c r="I400" s="105" t="s">
        <v>4057</v>
      </c>
      <c r="J400" s="105" t="s">
        <v>3589</v>
      </c>
      <c r="K400" s="105" t="s">
        <v>3450</v>
      </c>
      <c r="L400" s="105" t="s">
        <v>2903</v>
      </c>
      <c r="M400" s="74" t="s">
        <v>3547</v>
      </c>
      <c r="N400" s="107" t="s">
        <v>3984</v>
      </c>
    </row>
    <row r="401" spans="1:14">
      <c r="A401" s="105" t="s">
        <v>4046</v>
      </c>
      <c r="B401" s="105" t="s">
        <v>719</v>
      </c>
      <c r="C401" s="112">
        <v>46028</v>
      </c>
      <c r="D401" s="105" t="s">
        <v>720</v>
      </c>
      <c r="E401" s="106">
        <v>0.20070601851851852</v>
      </c>
      <c r="F401" s="108">
        <v>1601</v>
      </c>
      <c r="G401" s="192">
        <v>39.635325000000002</v>
      </c>
      <c r="H401" s="192">
        <v>10.351832999999999</v>
      </c>
      <c r="I401" s="105" t="s">
        <v>4058</v>
      </c>
      <c r="J401" s="105" t="s">
        <v>3589</v>
      </c>
      <c r="K401" s="105" t="s">
        <v>3450</v>
      </c>
      <c r="L401" s="105" t="s">
        <v>2903</v>
      </c>
      <c r="M401" s="74" t="s">
        <v>3547</v>
      </c>
      <c r="N401" s="107" t="s">
        <v>3984</v>
      </c>
    </row>
    <row r="402" spans="1:14">
      <c r="A402" s="105" t="s">
        <v>4046</v>
      </c>
      <c r="B402" s="105" t="s">
        <v>719</v>
      </c>
      <c r="C402" s="112">
        <v>46028</v>
      </c>
      <c r="D402" s="105" t="s">
        <v>724</v>
      </c>
      <c r="E402" s="106">
        <v>0.57222222222222219</v>
      </c>
      <c r="F402" s="108">
        <v>1417</v>
      </c>
      <c r="G402" s="192">
        <v>39.645837999999998</v>
      </c>
      <c r="H402" s="192">
        <v>10.34159</v>
      </c>
      <c r="I402" s="105" t="s">
        <v>4059</v>
      </c>
      <c r="J402" s="105" t="s">
        <v>3427</v>
      </c>
      <c r="K402" s="105" t="s">
        <v>3455</v>
      </c>
      <c r="L402" s="105" t="s">
        <v>3528</v>
      </c>
      <c r="M402" s="74" t="s">
        <v>3547</v>
      </c>
      <c r="N402" s="107" t="s">
        <v>3472</v>
      </c>
    </row>
    <row r="403" spans="1:14">
      <c r="A403" s="105" t="s">
        <v>4046</v>
      </c>
      <c r="B403" s="105" t="s">
        <v>719</v>
      </c>
      <c r="C403" s="112">
        <v>46028</v>
      </c>
      <c r="D403" s="105" t="s">
        <v>724</v>
      </c>
      <c r="E403" s="106">
        <v>0.53388888888888886</v>
      </c>
      <c r="F403" s="108">
        <v>1465</v>
      </c>
      <c r="G403" s="192">
        <v>39.648370999999997</v>
      </c>
      <c r="H403" s="192">
        <v>10.342033000000001</v>
      </c>
      <c r="I403" s="105" t="s">
        <v>4060</v>
      </c>
      <c r="J403" s="105" t="s">
        <v>3427</v>
      </c>
      <c r="K403" s="105" t="s">
        <v>3455</v>
      </c>
      <c r="L403" s="105" t="s">
        <v>3528</v>
      </c>
      <c r="M403" s="74" t="s">
        <v>3547</v>
      </c>
      <c r="N403" s="107" t="s">
        <v>3472</v>
      </c>
    </row>
    <row r="404" spans="1:14">
      <c r="A404" s="105" t="s">
        <v>4046</v>
      </c>
      <c r="B404" s="105" t="s">
        <v>719</v>
      </c>
      <c r="C404" s="112">
        <v>46028</v>
      </c>
      <c r="D404" s="105" t="s">
        <v>724</v>
      </c>
      <c r="E404" s="106">
        <v>0.53388888888888886</v>
      </c>
      <c r="F404" s="108">
        <v>1465</v>
      </c>
      <c r="G404" s="192">
        <v>39.648370999999997</v>
      </c>
      <c r="H404" s="192">
        <v>10.342033000000001</v>
      </c>
      <c r="I404" s="105" t="s">
        <v>4061</v>
      </c>
      <c r="J404" s="105" t="s">
        <v>3589</v>
      </c>
      <c r="K404" s="105" t="s">
        <v>3450</v>
      </c>
      <c r="L404" s="105" t="s">
        <v>2912</v>
      </c>
      <c r="M404" s="74" t="s">
        <v>3547</v>
      </c>
      <c r="N404" s="107" t="s">
        <v>3984</v>
      </c>
    </row>
    <row r="405" spans="1:14">
      <c r="A405" s="105" t="s">
        <v>4046</v>
      </c>
      <c r="B405" s="105" t="s">
        <v>719</v>
      </c>
      <c r="C405" s="112">
        <v>46028</v>
      </c>
      <c r="D405" s="105" t="s">
        <v>724</v>
      </c>
      <c r="E405" s="106">
        <v>0.53388888888888886</v>
      </c>
      <c r="F405" s="108">
        <v>1465</v>
      </c>
      <c r="G405" s="192">
        <v>39.648370999999997</v>
      </c>
      <c r="H405" s="192">
        <v>10.342033000000001</v>
      </c>
      <c r="I405" s="105" t="s">
        <v>4062</v>
      </c>
      <c r="J405" s="105" t="s">
        <v>3589</v>
      </c>
      <c r="K405" s="105" t="s">
        <v>3450</v>
      </c>
      <c r="L405" s="105" t="s">
        <v>2912</v>
      </c>
      <c r="M405" s="74" t="s">
        <v>3547</v>
      </c>
      <c r="N405" s="107" t="s">
        <v>3984</v>
      </c>
    </row>
    <row r="406" spans="1:14">
      <c r="A406" s="105" t="s">
        <v>4046</v>
      </c>
      <c r="B406" s="105" t="s">
        <v>719</v>
      </c>
      <c r="C406" s="112">
        <v>46028</v>
      </c>
      <c r="D406" s="105" t="s">
        <v>728</v>
      </c>
      <c r="E406" s="106">
        <v>0.82446759259259261</v>
      </c>
      <c r="F406" s="108">
        <v>1800</v>
      </c>
      <c r="G406" s="192">
        <v>39.669027</v>
      </c>
      <c r="H406" s="192">
        <v>10.370359000000001</v>
      </c>
      <c r="I406" s="105" t="s">
        <v>4063</v>
      </c>
      <c r="J406" s="105" t="s">
        <v>3589</v>
      </c>
      <c r="K406" s="105" t="s">
        <v>3450</v>
      </c>
      <c r="L406" s="105" t="s">
        <v>2641</v>
      </c>
      <c r="M406" s="74" t="s">
        <v>3547</v>
      </c>
      <c r="N406" s="107" t="s">
        <v>3907</v>
      </c>
    </row>
    <row r="407" spans="1:14">
      <c r="A407" s="105" t="s">
        <v>4046</v>
      </c>
      <c r="B407" s="105" t="s">
        <v>719</v>
      </c>
      <c r="C407" s="112">
        <v>46028</v>
      </c>
      <c r="D407" s="105" t="s">
        <v>728</v>
      </c>
      <c r="E407" s="106">
        <v>0.82446759259259261</v>
      </c>
      <c r="F407" s="108">
        <v>1800</v>
      </c>
      <c r="G407" s="192">
        <v>39.669027</v>
      </c>
      <c r="H407" s="192">
        <v>10.370359000000001</v>
      </c>
      <c r="I407" s="105" t="s">
        <v>4064</v>
      </c>
      <c r="J407" s="105" t="s">
        <v>3589</v>
      </c>
      <c r="K407" s="105" t="s">
        <v>3450</v>
      </c>
      <c r="L407" s="105" t="s">
        <v>2641</v>
      </c>
      <c r="M407" s="74" t="s">
        <v>3547</v>
      </c>
      <c r="N407" s="107" t="s">
        <v>3984</v>
      </c>
    </row>
    <row r="408" spans="1:14">
      <c r="A408" s="105" t="s">
        <v>4046</v>
      </c>
      <c r="B408" s="105" t="s">
        <v>719</v>
      </c>
      <c r="C408" s="112">
        <v>46028</v>
      </c>
      <c r="D408" s="105" t="s">
        <v>728</v>
      </c>
      <c r="E408" s="106">
        <v>0.82452546296296292</v>
      </c>
      <c r="F408" s="108">
        <v>1800</v>
      </c>
      <c r="G408" s="192">
        <v>39.669027</v>
      </c>
      <c r="H408" s="192">
        <v>10.370359000000001</v>
      </c>
      <c r="I408" s="105" t="s">
        <v>4065</v>
      </c>
      <c r="J408" s="105" t="s">
        <v>3589</v>
      </c>
      <c r="K408" s="105" t="s">
        <v>3450</v>
      </c>
      <c r="L408" s="105" t="s">
        <v>2641</v>
      </c>
      <c r="M408" s="74" t="s">
        <v>3547</v>
      </c>
      <c r="N408" s="107" t="s">
        <v>3787</v>
      </c>
    </row>
    <row r="409" spans="1:14">
      <c r="A409" s="105" t="s">
        <v>4046</v>
      </c>
      <c r="B409" s="105" t="s">
        <v>719</v>
      </c>
      <c r="C409" s="112">
        <v>46028</v>
      </c>
      <c r="D409" s="105" t="s">
        <v>728</v>
      </c>
      <c r="E409" s="106">
        <v>0.84986111111111107</v>
      </c>
      <c r="F409" s="108">
        <v>1784</v>
      </c>
      <c r="G409" s="192">
        <v>39.668740999999997</v>
      </c>
      <c r="H409" s="192">
        <v>10.369590000000001</v>
      </c>
      <c r="I409" s="105" t="s">
        <v>4066</v>
      </c>
      <c r="J409" s="105" t="s">
        <v>3589</v>
      </c>
      <c r="K409" s="105" t="s">
        <v>3450</v>
      </c>
      <c r="L409" s="105" t="s">
        <v>4067</v>
      </c>
      <c r="M409" s="74" t="s">
        <v>3547</v>
      </c>
      <c r="N409" s="107" t="s">
        <v>3856</v>
      </c>
    </row>
    <row r="410" spans="1:14">
      <c r="A410" s="105" t="s">
        <v>4046</v>
      </c>
      <c r="B410" s="105" t="s">
        <v>719</v>
      </c>
      <c r="C410" s="112">
        <v>46028</v>
      </c>
      <c r="D410" s="105" t="s">
        <v>728</v>
      </c>
      <c r="E410" s="106">
        <v>0.84986111111111107</v>
      </c>
      <c r="F410" s="108">
        <v>1784</v>
      </c>
      <c r="G410" s="192">
        <v>39.668740999999997</v>
      </c>
      <c r="H410" s="192">
        <v>10.369590000000001</v>
      </c>
      <c r="I410" s="105" t="s">
        <v>4068</v>
      </c>
      <c r="J410" s="105" t="s">
        <v>3589</v>
      </c>
      <c r="K410" s="105" t="s">
        <v>3450</v>
      </c>
      <c r="L410" s="105" t="s">
        <v>4067</v>
      </c>
      <c r="M410" s="74" t="s">
        <v>3547</v>
      </c>
      <c r="N410" s="107" t="s">
        <v>3984</v>
      </c>
    </row>
    <row r="411" spans="1:14">
      <c r="A411" s="105" t="s">
        <v>4046</v>
      </c>
      <c r="B411" s="105" t="s">
        <v>719</v>
      </c>
      <c r="C411" s="112">
        <v>46028</v>
      </c>
      <c r="D411" s="105" t="s">
        <v>728</v>
      </c>
      <c r="E411" s="106">
        <v>0.84986111111111107</v>
      </c>
      <c r="F411" s="108">
        <v>1784</v>
      </c>
      <c r="G411" s="192">
        <v>39.668740999999997</v>
      </c>
      <c r="H411" s="192">
        <v>10.369590000000001</v>
      </c>
      <c r="I411" s="105" t="s">
        <v>4069</v>
      </c>
      <c r="J411" s="105" t="s">
        <v>3589</v>
      </c>
      <c r="K411" s="105" t="s">
        <v>3450</v>
      </c>
      <c r="L411" s="105" t="s">
        <v>4067</v>
      </c>
      <c r="M411" s="74" t="s">
        <v>3547</v>
      </c>
      <c r="N411" s="107" t="s">
        <v>3984</v>
      </c>
    </row>
    <row r="412" spans="1:14">
      <c r="A412" s="105" t="s">
        <v>4046</v>
      </c>
      <c r="B412" s="105" t="s">
        <v>719</v>
      </c>
      <c r="C412" s="112">
        <v>46028</v>
      </c>
      <c r="D412" s="105" t="s">
        <v>728</v>
      </c>
      <c r="E412" s="106">
        <v>0.84986111111111107</v>
      </c>
      <c r="F412" s="108">
        <v>1784</v>
      </c>
      <c r="G412" s="192">
        <v>39.668740999999997</v>
      </c>
      <c r="H412" s="192">
        <v>10.369590000000001</v>
      </c>
      <c r="I412" s="105" t="s">
        <v>4070</v>
      </c>
      <c r="J412" s="105" t="s">
        <v>3589</v>
      </c>
      <c r="K412" s="105" t="s">
        <v>3450</v>
      </c>
      <c r="L412" s="105" t="s">
        <v>4067</v>
      </c>
      <c r="M412" s="74" t="s">
        <v>3547</v>
      </c>
      <c r="N412" s="107" t="s">
        <v>3984</v>
      </c>
    </row>
    <row r="413" spans="1:14">
      <c r="A413" s="105" t="s">
        <v>4046</v>
      </c>
      <c r="B413" s="105" t="s">
        <v>719</v>
      </c>
      <c r="C413" s="112">
        <v>46028</v>
      </c>
      <c r="D413" s="105" t="s">
        <v>728</v>
      </c>
      <c r="E413" s="106">
        <v>0.9</v>
      </c>
      <c r="F413" s="108">
        <v>1738</v>
      </c>
      <c r="G413" s="192">
        <v>39.668256</v>
      </c>
      <c r="H413" s="192">
        <v>10.367746</v>
      </c>
      <c r="I413" s="105" t="s">
        <v>4071</v>
      </c>
      <c r="J413" s="105" t="s">
        <v>3589</v>
      </c>
      <c r="K413" s="105" t="s">
        <v>3450</v>
      </c>
      <c r="L413" s="105" t="s">
        <v>4072</v>
      </c>
      <c r="M413" s="74" t="s">
        <v>3547</v>
      </c>
      <c r="N413" s="107" t="s">
        <v>3907</v>
      </c>
    </row>
    <row r="414" spans="1:14">
      <c r="A414" s="105" t="s">
        <v>4046</v>
      </c>
      <c r="B414" s="105" t="s">
        <v>719</v>
      </c>
      <c r="C414" s="112">
        <v>46028</v>
      </c>
      <c r="D414" s="105" t="s">
        <v>728</v>
      </c>
      <c r="E414" s="106">
        <v>0.9</v>
      </c>
      <c r="F414" s="108">
        <v>1738</v>
      </c>
      <c r="G414" s="192">
        <v>39.668256</v>
      </c>
      <c r="H414" s="192">
        <v>10.367746</v>
      </c>
      <c r="I414" s="105" t="s">
        <v>4073</v>
      </c>
      <c r="J414" s="105" t="s">
        <v>3589</v>
      </c>
      <c r="K414" s="105" t="s">
        <v>3450</v>
      </c>
      <c r="L414" s="105" t="s">
        <v>4074</v>
      </c>
      <c r="M414" s="74" t="s">
        <v>3547</v>
      </c>
      <c r="N414" s="107" t="s">
        <v>3984</v>
      </c>
    </row>
    <row r="415" spans="1:14">
      <c r="A415" s="105" t="s">
        <v>4046</v>
      </c>
      <c r="B415" s="105" t="s">
        <v>719</v>
      </c>
      <c r="C415" s="112">
        <v>46028</v>
      </c>
      <c r="D415" s="105" t="s">
        <v>728</v>
      </c>
      <c r="E415" s="106">
        <v>0.9</v>
      </c>
      <c r="F415" s="108">
        <v>1738</v>
      </c>
      <c r="G415" s="192">
        <v>39.668256</v>
      </c>
      <c r="H415" s="192">
        <v>10.367746</v>
      </c>
      <c r="I415" s="105" t="s">
        <v>4075</v>
      </c>
      <c r="J415" s="105" t="s">
        <v>3589</v>
      </c>
      <c r="K415" s="105" t="s">
        <v>3450</v>
      </c>
      <c r="L415" s="105" t="s">
        <v>4074</v>
      </c>
      <c r="M415" s="74" t="s">
        <v>3547</v>
      </c>
      <c r="N415" s="107" t="s">
        <v>3991</v>
      </c>
    </row>
    <row r="416" spans="1:14">
      <c r="A416" s="105" t="s">
        <v>4046</v>
      </c>
      <c r="B416" s="105" t="s">
        <v>719</v>
      </c>
      <c r="C416" s="112">
        <v>46028</v>
      </c>
      <c r="D416" s="105" t="s">
        <v>728</v>
      </c>
      <c r="E416" s="106">
        <v>0.92396990740740736</v>
      </c>
      <c r="F416" s="108">
        <v>1731</v>
      </c>
      <c r="G416" s="192">
        <v>39.668106000000002</v>
      </c>
      <c r="H416" s="192">
        <v>10.366319000000001</v>
      </c>
      <c r="I416" s="105" t="s">
        <v>4076</v>
      </c>
      <c r="J416" s="105" t="s">
        <v>3589</v>
      </c>
      <c r="K416" s="105" t="s">
        <v>3450</v>
      </c>
      <c r="L416" s="105" t="s">
        <v>4077</v>
      </c>
      <c r="M416" s="74" t="s">
        <v>3547</v>
      </c>
      <c r="N416" s="107" t="s">
        <v>3856</v>
      </c>
    </row>
    <row r="417" spans="1:16">
      <c r="A417" s="105" t="s">
        <v>4046</v>
      </c>
      <c r="B417" s="105" t="s">
        <v>719</v>
      </c>
      <c r="C417" s="112">
        <v>46028</v>
      </c>
      <c r="D417" s="105" t="s">
        <v>728</v>
      </c>
      <c r="E417" s="106">
        <v>0.92396990740740736</v>
      </c>
      <c r="F417" s="108">
        <v>1731</v>
      </c>
      <c r="G417" s="192">
        <v>39.668106000000002</v>
      </c>
      <c r="H417" s="192">
        <v>10.366319000000001</v>
      </c>
      <c r="I417" s="105" t="s">
        <v>4078</v>
      </c>
      <c r="J417" s="105" t="s">
        <v>3589</v>
      </c>
      <c r="K417" s="105" t="s">
        <v>3450</v>
      </c>
      <c r="L417" s="105" t="s">
        <v>4079</v>
      </c>
      <c r="M417" s="74" t="s">
        <v>3547</v>
      </c>
      <c r="N417" s="107" t="s">
        <v>3984</v>
      </c>
    </row>
    <row r="418" spans="1:16">
      <c r="A418" s="105" t="s">
        <v>4046</v>
      </c>
      <c r="B418" s="105" t="s">
        <v>719</v>
      </c>
      <c r="C418" s="112">
        <v>46028</v>
      </c>
      <c r="D418" s="105" t="s">
        <v>728</v>
      </c>
      <c r="E418" s="106">
        <v>0.92396990740740736</v>
      </c>
      <c r="F418" s="108">
        <v>1731</v>
      </c>
      <c r="G418" s="192">
        <v>39.668106000000002</v>
      </c>
      <c r="H418" s="192">
        <v>10.366319000000001</v>
      </c>
      <c r="I418" s="155" t="s">
        <v>4080</v>
      </c>
      <c r="J418" s="105" t="s">
        <v>3589</v>
      </c>
      <c r="K418" s="105" t="s">
        <v>3450</v>
      </c>
      <c r="L418" s="105" t="s">
        <v>4079</v>
      </c>
      <c r="M418" s="74" t="s">
        <v>3547</v>
      </c>
      <c r="N418" s="107" t="s">
        <v>3984</v>
      </c>
    </row>
    <row r="419" spans="1:16">
      <c r="A419" s="105" t="s">
        <v>4046</v>
      </c>
      <c r="B419" s="105" t="s">
        <v>719</v>
      </c>
      <c r="C419" s="112">
        <v>46028</v>
      </c>
      <c r="D419" s="105" t="s">
        <v>728</v>
      </c>
      <c r="E419" s="106">
        <v>0.9243865740740741</v>
      </c>
      <c r="F419" s="108">
        <v>1731</v>
      </c>
      <c r="G419" s="192">
        <v>39.668109000000001</v>
      </c>
      <c r="H419" s="192">
        <v>10.366307000000001</v>
      </c>
      <c r="I419" s="105" t="s">
        <v>4081</v>
      </c>
      <c r="J419" s="105" t="s">
        <v>3589</v>
      </c>
      <c r="K419" s="105" t="s">
        <v>3450</v>
      </c>
      <c r="L419" s="105" t="s">
        <v>2927</v>
      </c>
      <c r="M419" s="74" t="s">
        <v>3547</v>
      </c>
      <c r="N419" s="107" t="s">
        <v>3856</v>
      </c>
    </row>
    <row r="420" spans="1:16">
      <c r="A420" s="105" t="s">
        <v>4046</v>
      </c>
      <c r="B420" s="105" t="s">
        <v>719</v>
      </c>
      <c r="C420" s="112">
        <v>46029</v>
      </c>
      <c r="D420" s="105" t="s">
        <v>732</v>
      </c>
      <c r="E420" s="106">
        <v>0.39444444444444443</v>
      </c>
      <c r="F420" s="108">
        <v>1534</v>
      </c>
      <c r="G420" s="192">
        <v>39.681769000000003</v>
      </c>
      <c r="H420" s="192">
        <v>10.338721</v>
      </c>
      <c r="I420" s="105" t="s">
        <v>4082</v>
      </c>
      <c r="J420" s="105" t="s">
        <v>3589</v>
      </c>
      <c r="K420" s="105" t="s">
        <v>3450</v>
      </c>
      <c r="L420" s="111" t="s">
        <v>4083</v>
      </c>
      <c r="M420" s="74" t="s">
        <v>3547</v>
      </c>
      <c r="N420" s="107" t="s">
        <v>3991</v>
      </c>
    </row>
    <row r="421" spans="1:16">
      <c r="A421" s="105" t="s">
        <v>4046</v>
      </c>
      <c r="B421" s="105" t="s">
        <v>736</v>
      </c>
      <c r="C421" s="112">
        <v>46029</v>
      </c>
      <c r="D421" s="105" t="s">
        <v>737</v>
      </c>
      <c r="E421" s="106">
        <v>0.77930555555555558</v>
      </c>
      <c r="F421" s="108">
        <v>1488</v>
      </c>
      <c r="G421" s="192">
        <v>39.948436999999998</v>
      </c>
      <c r="H421" s="192">
        <v>10.171118999999999</v>
      </c>
      <c r="I421" s="105" t="s">
        <v>4084</v>
      </c>
      <c r="J421" s="105" t="s">
        <v>3589</v>
      </c>
      <c r="K421" s="105" t="s">
        <v>3450</v>
      </c>
      <c r="L421" s="105" t="s">
        <v>4085</v>
      </c>
      <c r="M421" s="74" t="s">
        <v>3812</v>
      </c>
    </row>
    <row r="422" spans="1:16">
      <c r="A422" s="105" t="s">
        <v>4046</v>
      </c>
      <c r="B422" s="105" t="s">
        <v>736</v>
      </c>
      <c r="C422" s="112">
        <v>46029</v>
      </c>
      <c r="D422" s="105" t="s">
        <v>737</v>
      </c>
      <c r="E422" s="106">
        <v>0.80379629629629634</v>
      </c>
      <c r="F422" s="108">
        <v>1467</v>
      </c>
      <c r="G422" s="192">
        <v>39.948481999999998</v>
      </c>
      <c r="H422" s="192">
        <v>10.172516999999999</v>
      </c>
      <c r="I422" s="105" t="s">
        <v>4086</v>
      </c>
      <c r="J422" s="105" t="s">
        <v>1070</v>
      </c>
      <c r="M422" s="197"/>
      <c r="N422" s="107" t="s">
        <v>3465</v>
      </c>
    </row>
    <row r="423" spans="1:16" s="148" customFormat="1">
      <c r="A423" s="105" t="s">
        <v>4046</v>
      </c>
      <c r="B423" s="105" t="s">
        <v>736</v>
      </c>
      <c r="C423" s="112">
        <v>46029</v>
      </c>
      <c r="D423" s="105" t="s">
        <v>742</v>
      </c>
      <c r="E423" s="106">
        <v>0.98233796296296294</v>
      </c>
      <c r="F423" s="108">
        <v>1464</v>
      </c>
      <c r="G423" s="192">
        <v>39.952210999999998</v>
      </c>
      <c r="H423" s="192">
        <v>10.145619</v>
      </c>
      <c r="I423" s="105" t="s">
        <v>4087</v>
      </c>
      <c r="J423" s="105" t="s">
        <v>3589</v>
      </c>
      <c r="K423" s="105" t="s">
        <v>3450</v>
      </c>
      <c r="L423" s="105" t="s">
        <v>4088</v>
      </c>
      <c r="M423" s="74" t="s">
        <v>3547</v>
      </c>
      <c r="N423" s="107" t="s">
        <v>3856</v>
      </c>
      <c r="O423" s="104"/>
      <c r="P423" s="104"/>
    </row>
    <row r="424" spans="1:16">
      <c r="A424" s="105" t="s">
        <v>4046</v>
      </c>
      <c r="B424" s="105" t="s">
        <v>736</v>
      </c>
      <c r="C424" s="112">
        <v>46029</v>
      </c>
      <c r="D424" s="105" t="s">
        <v>750</v>
      </c>
      <c r="E424" s="106">
        <v>0.54696759259259264</v>
      </c>
      <c r="F424" s="108">
        <v>1486</v>
      </c>
      <c r="G424" s="192">
        <v>39.981991999999998</v>
      </c>
      <c r="H424" s="192">
        <v>10.200628</v>
      </c>
      <c r="I424" s="105" t="s">
        <v>4089</v>
      </c>
      <c r="J424" s="105" t="s">
        <v>3589</v>
      </c>
      <c r="K424" s="105" t="s">
        <v>3450</v>
      </c>
      <c r="L424" s="105" t="s">
        <v>2993</v>
      </c>
      <c r="M424" s="74" t="s">
        <v>3547</v>
      </c>
      <c r="N424" s="107" t="s">
        <v>4090</v>
      </c>
    </row>
    <row r="425" spans="1:16">
      <c r="A425" s="105" t="s">
        <v>4046</v>
      </c>
      <c r="B425" s="105" t="s">
        <v>736</v>
      </c>
      <c r="C425" s="112">
        <v>46029</v>
      </c>
      <c r="D425" s="105" t="s">
        <v>750</v>
      </c>
      <c r="E425" s="106">
        <v>0.54696759259259264</v>
      </c>
      <c r="F425" s="108">
        <v>1486</v>
      </c>
      <c r="G425" s="192">
        <v>39.981991999999998</v>
      </c>
      <c r="H425" s="192">
        <v>10.200628</v>
      </c>
      <c r="I425" s="105" t="s">
        <v>4091</v>
      </c>
      <c r="J425" s="105" t="s">
        <v>3589</v>
      </c>
      <c r="K425" s="105" t="s">
        <v>3450</v>
      </c>
      <c r="L425" s="105" t="s">
        <v>2993</v>
      </c>
      <c r="M425" s="74" t="s">
        <v>3547</v>
      </c>
      <c r="N425" s="107" t="s">
        <v>4092</v>
      </c>
    </row>
    <row r="426" spans="1:16">
      <c r="A426" s="105" t="s">
        <v>4046</v>
      </c>
      <c r="B426" s="105" t="s">
        <v>736</v>
      </c>
      <c r="C426" s="112">
        <v>46029</v>
      </c>
      <c r="D426" s="105" t="s">
        <v>750</v>
      </c>
      <c r="E426" s="106">
        <v>0.54696759259259264</v>
      </c>
      <c r="F426" s="108">
        <v>1486</v>
      </c>
      <c r="G426" s="192">
        <v>39.981991999999998</v>
      </c>
      <c r="H426" s="192">
        <v>10.200628</v>
      </c>
      <c r="I426" s="105" t="s">
        <v>4093</v>
      </c>
      <c r="J426" s="105" t="s">
        <v>3589</v>
      </c>
      <c r="K426" s="105" t="s">
        <v>3450</v>
      </c>
      <c r="L426" s="105" t="s">
        <v>2993</v>
      </c>
      <c r="M426" s="74" t="s">
        <v>3547</v>
      </c>
      <c r="N426" s="107" t="s">
        <v>4090</v>
      </c>
    </row>
    <row r="427" spans="1:16">
      <c r="A427" s="105" t="s">
        <v>4046</v>
      </c>
      <c r="B427" s="105" t="s">
        <v>736</v>
      </c>
      <c r="C427" s="112">
        <v>46029</v>
      </c>
      <c r="D427" s="105" t="s">
        <v>750</v>
      </c>
      <c r="E427" s="106">
        <v>0.54696759259259264</v>
      </c>
      <c r="F427" s="108">
        <v>1486</v>
      </c>
      <c r="G427" s="192">
        <v>39.981991999999998</v>
      </c>
      <c r="H427" s="192">
        <v>10.200628</v>
      </c>
      <c r="I427" s="105" t="s">
        <v>4094</v>
      </c>
      <c r="J427" s="105" t="s">
        <v>3589</v>
      </c>
      <c r="K427" s="105" t="s">
        <v>3450</v>
      </c>
      <c r="L427" s="105" t="s">
        <v>2993</v>
      </c>
      <c r="M427" s="74" t="s">
        <v>3547</v>
      </c>
      <c r="N427" s="107" t="s">
        <v>4092</v>
      </c>
    </row>
    <row r="428" spans="1:16">
      <c r="A428" s="105" t="s">
        <v>4046</v>
      </c>
      <c r="B428" s="105" t="s">
        <v>736</v>
      </c>
      <c r="C428" s="112">
        <v>46031</v>
      </c>
      <c r="D428" s="105" t="s">
        <v>762</v>
      </c>
      <c r="E428" s="106">
        <v>0.37634259259259262</v>
      </c>
      <c r="F428" s="108">
        <v>1587</v>
      </c>
      <c r="G428" s="192">
        <v>40.026074999999999</v>
      </c>
      <c r="H428" s="192">
        <v>10.114955</v>
      </c>
      <c r="I428" s="105" t="s">
        <v>4095</v>
      </c>
      <c r="J428" s="105" t="s">
        <v>3589</v>
      </c>
      <c r="K428" s="105" t="s">
        <v>3450</v>
      </c>
      <c r="L428" s="105" t="s">
        <v>2993</v>
      </c>
      <c r="M428" s="74" t="s">
        <v>3547</v>
      </c>
      <c r="N428" s="107" t="s">
        <v>4096</v>
      </c>
    </row>
    <row r="429" spans="1:16">
      <c r="A429" s="105" t="s">
        <v>4046</v>
      </c>
      <c r="B429" s="105" t="s">
        <v>736</v>
      </c>
      <c r="C429" s="112">
        <v>46031</v>
      </c>
      <c r="D429" s="105" t="s">
        <v>762</v>
      </c>
      <c r="E429" s="106">
        <v>0.37634259259259262</v>
      </c>
      <c r="F429" s="108">
        <v>1587</v>
      </c>
      <c r="G429" s="192">
        <v>40.026074999999999</v>
      </c>
      <c r="H429" s="192">
        <v>10.114955</v>
      </c>
      <c r="I429" s="105" t="s">
        <v>4097</v>
      </c>
      <c r="J429" s="105" t="s">
        <v>3589</v>
      </c>
      <c r="K429" s="105" t="s">
        <v>3450</v>
      </c>
      <c r="L429" s="105" t="s">
        <v>2993</v>
      </c>
      <c r="M429" s="74" t="s">
        <v>3547</v>
      </c>
      <c r="N429" s="133" t="s">
        <v>4098</v>
      </c>
    </row>
    <row r="430" spans="1:16">
      <c r="A430" s="105" t="s">
        <v>4046</v>
      </c>
      <c r="B430" s="105" t="s">
        <v>736</v>
      </c>
      <c r="C430" s="112">
        <v>46031</v>
      </c>
      <c r="D430" s="105" t="s">
        <v>762</v>
      </c>
      <c r="E430" s="106">
        <v>0.37634259259259262</v>
      </c>
      <c r="F430" s="108">
        <v>1587</v>
      </c>
      <c r="G430" s="192">
        <v>40.026074999999999</v>
      </c>
      <c r="H430" s="192">
        <v>10.114955</v>
      </c>
      <c r="I430" s="155" t="s">
        <v>4099</v>
      </c>
      <c r="J430" s="105" t="s">
        <v>3589</v>
      </c>
      <c r="K430" s="105" t="s">
        <v>3450</v>
      </c>
      <c r="L430" s="105" t="s">
        <v>2993</v>
      </c>
      <c r="M430" s="74" t="s">
        <v>3547</v>
      </c>
      <c r="N430" s="107" t="s">
        <v>4096</v>
      </c>
    </row>
    <row r="431" spans="1:16">
      <c r="A431" s="105" t="s">
        <v>4046</v>
      </c>
      <c r="B431" s="105" t="s">
        <v>736</v>
      </c>
      <c r="C431" s="112">
        <v>46031</v>
      </c>
      <c r="D431" s="105" t="s">
        <v>762</v>
      </c>
      <c r="E431" s="106">
        <v>0.37634259259259262</v>
      </c>
      <c r="F431" s="108">
        <v>1587</v>
      </c>
      <c r="G431" s="192">
        <v>40.026074999999999</v>
      </c>
      <c r="H431" s="192">
        <v>10.114955</v>
      </c>
      <c r="I431" s="105" t="s">
        <v>4100</v>
      </c>
      <c r="J431" s="105" t="s">
        <v>3589</v>
      </c>
      <c r="K431" s="105" t="s">
        <v>3450</v>
      </c>
      <c r="L431" s="105" t="s">
        <v>2993</v>
      </c>
      <c r="M431" s="74" t="s">
        <v>3547</v>
      </c>
      <c r="N431" s="133" t="s">
        <v>4101</v>
      </c>
    </row>
    <row r="432" spans="1:16">
      <c r="A432" s="105" t="s">
        <v>4046</v>
      </c>
      <c r="B432" s="105" t="s">
        <v>736</v>
      </c>
      <c r="C432" s="112">
        <v>46031</v>
      </c>
      <c r="D432" s="105" t="s">
        <v>762</v>
      </c>
      <c r="E432" s="106">
        <v>0.39611111111111114</v>
      </c>
      <c r="F432" s="108">
        <v>1571</v>
      </c>
      <c r="G432" s="192">
        <v>40.026249999999997</v>
      </c>
      <c r="H432" s="192">
        <v>10.115126</v>
      </c>
      <c r="I432" s="105" t="s">
        <v>4102</v>
      </c>
      <c r="J432" s="105" t="s">
        <v>3589</v>
      </c>
      <c r="K432" s="105" t="s">
        <v>3450</v>
      </c>
      <c r="L432" s="105" t="s">
        <v>4036</v>
      </c>
      <c r="M432" s="74" t="s">
        <v>3591</v>
      </c>
      <c r="N432" s="107" t="s">
        <v>4096</v>
      </c>
    </row>
    <row r="433" spans="1:14" s="139" customFormat="1">
      <c r="A433" s="109" t="s">
        <v>4046</v>
      </c>
      <c r="B433" s="109" t="s">
        <v>736</v>
      </c>
      <c r="C433" s="112">
        <v>46031</v>
      </c>
      <c r="D433" s="109" t="s">
        <v>762</v>
      </c>
      <c r="E433" s="140" t="s">
        <v>4103</v>
      </c>
      <c r="F433" s="141">
        <v>1469</v>
      </c>
      <c r="G433" s="179">
        <v>40.027506000000002</v>
      </c>
      <c r="H433" s="179">
        <v>10.118903</v>
      </c>
      <c r="I433" s="109" t="s">
        <v>4104</v>
      </c>
      <c r="J433" s="109" t="s">
        <v>3589</v>
      </c>
      <c r="K433" s="109" t="s">
        <v>3450</v>
      </c>
      <c r="L433" s="109" t="s">
        <v>4105</v>
      </c>
      <c r="M433" s="200" t="s">
        <v>3591</v>
      </c>
      <c r="N433" s="133" t="s">
        <v>4096</v>
      </c>
    </row>
    <row r="434" spans="1:14">
      <c r="A434" s="105" t="s">
        <v>4046</v>
      </c>
      <c r="B434" s="105" t="s">
        <v>736</v>
      </c>
      <c r="C434" s="112">
        <v>46031</v>
      </c>
      <c r="D434" s="105" t="s">
        <v>762</v>
      </c>
      <c r="E434" s="140" t="s">
        <v>4103</v>
      </c>
      <c r="F434" s="108">
        <v>1469</v>
      </c>
      <c r="G434" s="192">
        <v>40.027506000000002</v>
      </c>
      <c r="H434" s="192">
        <v>10.118903</v>
      </c>
      <c r="I434" s="105" t="s">
        <v>4106</v>
      </c>
      <c r="J434" s="105" t="s">
        <v>3589</v>
      </c>
      <c r="K434" s="105" t="s">
        <v>3450</v>
      </c>
      <c r="L434" s="105" t="s">
        <v>4105</v>
      </c>
      <c r="M434" s="74" t="s">
        <v>3591</v>
      </c>
      <c r="N434" s="133" t="s">
        <v>4096</v>
      </c>
    </row>
    <row r="435" spans="1:14">
      <c r="A435" s="105" t="s">
        <v>4046</v>
      </c>
      <c r="B435" s="105" t="s">
        <v>736</v>
      </c>
      <c r="C435" s="112">
        <v>46031</v>
      </c>
      <c r="D435" s="105" t="s">
        <v>762</v>
      </c>
      <c r="E435" s="140" t="s">
        <v>4103</v>
      </c>
      <c r="F435" s="108">
        <v>1469</v>
      </c>
      <c r="G435" s="192">
        <v>40.027506000000002</v>
      </c>
      <c r="H435" s="192">
        <v>10.118903</v>
      </c>
      <c r="I435" s="105" t="s">
        <v>4107</v>
      </c>
      <c r="J435" s="105" t="s">
        <v>3427</v>
      </c>
      <c r="K435" s="105" t="s">
        <v>3455</v>
      </c>
      <c r="L435" s="105" t="s">
        <v>3528</v>
      </c>
      <c r="M435" s="74" t="s">
        <v>3547</v>
      </c>
      <c r="N435" s="133" t="s">
        <v>3472</v>
      </c>
    </row>
    <row r="436" spans="1:14">
      <c r="A436" s="105" t="s">
        <v>4046</v>
      </c>
      <c r="B436" s="105" t="s">
        <v>736</v>
      </c>
      <c r="C436" s="112">
        <v>46031</v>
      </c>
      <c r="D436" s="105" t="s">
        <v>769</v>
      </c>
      <c r="E436" s="106">
        <v>0.89391203703703703</v>
      </c>
      <c r="F436" s="108">
        <v>1619</v>
      </c>
      <c r="G436" s="192">
        <v>40.076526000000001</v>
      </c>
      <c r="H436" s="192">
        <v>10.11473</v>
      </c>
      <c r="I436" s="105" t="s">
        <v>4108</v>
      </c>
      <c r="J436" s="105" t="s">
        <v>3589</v>
      </c>
      <c r="K436" s="105" t="s">
        <v>3450</v>
      </c>
      <c r="L436" s="105" t="s">
        <v>2899</v>
      </c>
      <c r="M436" s="74" t="s">
        <v>3591</v>
      </c>
      <c r="N436" s="107" t="s">
        <v>4090</v>
      </c>
    </row>
    <row r="437" spans="1:14">
      <c r="A437" s="107" t="s">
        <v>4046</v>
      </c>
      <c r="B437" s="107" t="s">
        <v>736</v>
      </c>
      <c r="C437" s="162">
        <v>46033</v>
      </c>
      <c r="D437" s="105" t="s">
        <v>769</v>
      </c>
      <c r="E437" s="106">
        <v>0.43236111111111108</v>
      </c>
      <c r="F437" s="108">
        <v>1528</v>
      </c>
      <c r="G437" s="192">
        <v>40.074280999999999</v>
      </c>
      <c r="H437" s="192">
        <v>10.122785</v>
      </c>
      <c r="I437" s="105" t="s">
        <v>4109</v>
      </c>
      <c r="J437" s="105" t="s">
        <v>3589</v>
      </c>
      <c r="K437" s="105" t="s">
        <v>3450</v>
      </c>
      <c r="L437" s="105" t="s">
        <v>4110</v>
      </c>
      <c r="M437" s="74" t="s">
        <v>3591</v>
      </c>
      <c r="N437" s="107" t="s">
        <v>3856</v>
      </c>
    </row>
    <row r="438" spans="1:14">
      <c r="A438" s="105" t="s">
        <v>213</v>
      </c>
      <c r="B438" s="105" t="s">
        <v>776</v>
      </c>
      <c r="C438" s="162">
        <v>46033</v>
      </c>
      <c r="D438" s="105" t="s">
        <v>777</v>
      </c>
      <c r="E438" s="106">
        <v>0.95784722222222218</v>
      </c>
      <c r="F438" s="108">
        <v>728</v>
      </c>
      <c r="G438" s="192">
        <v>38.809981000000001</v>
      </c>
      <c r="H438" s="192">
        <v>9.6928710000000002</v>
      </c>
      <c r="I438" s="105" t="s">
        <v>4111</v>
      </c>
      <c r="J438" s="105" t="s">
        <v>3589</v>
      </c>
      <c r="K438" s="105" t="s">
        <v>3450</v>
      </c>
      <c r="L438" s="105" t="s">
        <v>4112</v>
      </c>
      <c r="M438" s="74" t="s">
        <v>3547</v>
      </c>
      <c r="N438" s="107" t="s">
        <v>4113</v>
      </c>
    </row>
    <row r="439" spans="1:14">
      <c r="A439" s="105" t="s">
        <v>213</v>
      </c>
      <c r="B439" s="105" t="s">
        <v>776</v>
      </c>
      <c r="C439" s="162">
        <v>46033</v>
      </c>
      <c r="D439" s="105" t="s">
        <v>777</v>
      </c>
      <c r="E439" s="106">
        <v>0.95784722222222218</v>
      </c>
      <c r="F439" s="108">
        <v>728</v>
      </c>
      <c r="G439" s="192">
        <v>38.809981000000001</v>
      </c>
      <c r="H439" s="192">
        <v>9.6928710000000002</v>
      </c>
      <c r="I439" s="105" t="s">
        <v>4114</v>
      </c>
      <c r="J439" s="105" t="s">
        <v>3589</v>
      </c>
      <c r="K439" s="105" t="s">
        <v>3450</v>
      </c>
      <c r="L439" s="105" t="s">
        <v>4112</v>
      </c>
      <c r="M439" s="74" t="s">
        <v>3547</v>
      </c>
      <c r="N439" s="107" t="s">
        <v>4115</v>
      </c>
    </row>
    <row r="440" spans="1:14">
      <c r="A440" s="105" t="s">
        <v>213</v>
      </c>
      <c r="B440" s="105" t="s">
        <v>776</v>
      </c>
      <c r="C440" s="162">
        <v>46033</v>
      </c>
      <c r="D440" s="105" t="s">
        <v>777</v>
      </c>
      <c r="E440" s="106">
        <v>0.95784722222222218</v>
      </c>
      <c r="F440" s="108">
        <v>728</v>
      </c>
      <c r="G440" s="192">
        <v>38.809981000000001</v>
      </c>
      <c r="H440" s="192">
        <v>9.6928710000000002</v>
      </c>
      <c r="I440" s="105" t="s">
        <v>4116</v>
      </c>
      <c r="J440" s="105" t="s">
        <v>3589</v>
      </c>
      <c r="K440" s="105" t="s">
        <v>3450</v>
      </c>
      <c r="L440" s="105" t="s">
        <v>4112</v>
      </c>
      <c r="M440" s="74" t="s">
        <v>3547</v>
      </c>
      <c r="N440" s="107" t="s">
        <v>4101</v>
      </c>
    </row>
    <row r="441" spans="1:14">
      <c r="A441" s="105" t="s">
        <v>213</v>
      </c>
      <c r="B441" s="105" t="s">
        <v>776</v>
      </c>
      <c r="C441" s="162">
        <v>46033</v>
      </c>
      <c r="D441" s="105" t="s">
        <v>777</v>
      </c>
      <c r="E441" s="106">
        <v>0.95784722222222218</v>
      </c>
      <c r="F441" s="108">
        <v>728</v>
      </c>
      <c r="G441" s="192">
        <v>38.809981000000001</v>
      </c>
      <c r="H441" s="192">
        <v>9.6928710000000002</v>
      </c>
      <c r="I441" s="105" t="s">
        <v>4117</v>
      </c>
      <c r="J441" s="105" t="s">
        <v>3589</v>
      </c>
      <c r="K441" s="105" t="s">
        <v>3450</v>
      </c>
      <c r="L441" s="105" t="s">
        <v>4112</v>
      </c>
      <c r="M441" s="74" t="s">
        <v>3547</v>
      </c>
      <c r="N441" s="107" t="s">
        <v>4101</v>
      </c>
    </row>
    <row r="442" spans="1:14">
      <c r="A442" s="105" t="s">
        <v>213</v>
      </c>
      <c r="B442" s="105" t="s">
        <v>776</v>
      </c>
      <c r="C442" s="162">
        <v>46034</v>
      </c>
      <c r="D442" s="105" t="s">
        <v>781</v>
      </c>
      <c r="E442" s="106">
        <v>0.41369212962962965</v>
      </c>
      <c r="F442" s="108">
        <v>403</v>
      </c>
      <c r="G442" s="192">
        <v>38.757040000000003</v>
      </c>
      <c r="H442" s="192">
        <v>9.6127160000000007</v>
      </c>
      <c r="I442" s="105" t="s">
        <v>4118</v>
      </c>
      <c r="J442" s="105" t="s">
        <v>3589</v>
      </c>
      <c r="K442" s="105" t="s">
        <v>3450</v>
      </c>
      <c r="L442" s="105" t="s">
        <v>4119</v>
      </c>
      <c r="M442" s="74" t="s">
        <v>3547</v>
      </c>
      <c r="N442" s="107" t="s">
        <v>3472</v>
      </c>
    </row>
    <row r="443" spans="1:14">
      <c r="A443" s="105" t="s">
        <v>213</v>
      </c>
      <c r="B443" s="105" t="s">
        <v>776</v>
      </c>
      <c r="C443" s="162">
        <v>46034</v>
      </c>
      <c r="D443" s="105" t="s">
        <v>781</v>
      </c>
      <c r="E443" s="106">
        <v>0.53688657407407403</v>
      </c>
      <c r="F443" s="108">
        <v>262</v>
      </c>
      <c r="G443" s="192">
        <v>38.767918999999999</v>
      </c>
      <c r="H443" s="192">
        <v>9.6065760000000004</v>
      </c>
      <c r="I443" s="105" t="s">
        <v>4120</v>
      </c>
      <c r="J443" s="105" t="s">
        <v>3589</v>
      </c>
      <c r="K443" s="105" t="s">
        <v>3472</v>
      </c>
      <c r="L443" s="105" t="s">
        <v>4119</v>
      </c>
      <c r="M443" s="74" t="s">
        <v>3547</v>
      </c>
      <c r="N443" s="107" t="s">
        <v>3472</v>
      </c>
    </row>
    <row r="444" spans="1:14">
      <c r="A444" s="105" t="s">
        <v>213</v>
      </c>
      <c r="B444" s="105" t="s">
        <v>776</v>
      </c>
      <c r="C444" s="162">
        <v>46034</v>
      </c>
      <c r="D444" s="105" t="s">
        <v>781</v>
      </c>
      <c r="E444" s="106">
        <v>0.53688657407407403</v>
      </c>
      <c r="F444" s="108">
        <v>262</v>
      </c>
      <c r="G444" s="192">
        <v>38.767918999999999</v>
      </c>
      <c r="H444" s="192">
        <v>9.6065760000000004</v>
      </c>
      <c r="I444" s="105" t="s">
        <v>4121</v>
      </c>
      <c r="J444" s="105" t="s">
        <v>3589</v>
      </c>
      <c r="K444" s="105" t="s">
        <v>3450</v>
      </c>
      <c r="L444" s="105" t="s">
        <v>4122</v>
      </c>
      <c r="M444" s="74" t="s">
        <v>3547</v>
      </c>
      <c r="N444" s="107" t="s">
        <v>4096</v>
      </c>
    </row>
    <row r="445" spans="1:14">
      <c r="A445" s="105" t="s">
        <v>213</v>
      </c>
      <c r="B445" s="105" t="s">
        <v>776</v>
      </c>
      <c r="C445" s="162">
        <v>46034</v>
      </c>
      <c r="D445" s="105" t="s">
        <v>781</v>
      </c>
      <c r="E445" s="106">
        <v>0.53688657407407403</v>
      </c>
      <c r="F445" s="108">
        <v>262</v>
      </c>
      <c r="G445" s="192">
        <v>38.767918999999999</v>
      </c>
      <c r="H445" s="192">
        <v>9.6065760000000004</v>
      </c>
      <c r="I445" s="105" t="s">
        <v>4123</v>
      </c>
      <c r="J445" s="105" t="s">
        <v>3589</v>
      </c>
      <c r="K445" s="105" t="s">
        <v>3450</v>
      </c>
      <c r="L445" s="105" t="s">
        <v>4124</v>
      </c>
      <c r="M445" s="74" t="s">
        <v>3547</v>
      </c>
      <c r="N445" s="107" t="s">
        <v>4125</v>
      </c>
    </row>
    <row r="446" spans="1:14">
      <c r="A446" s="105" t="s">
        <v>213</v>
      </c>
      <c r="B446" s="105" t="s">
        <v>776</v>
      </c>
      <c r="C446" s="162">
        <v>46034</v>
      </c>
      <c r="D446" s="105" t="s">
        <v>781</v>
      </c>
      <c r="E446" s="106">
        <v>0.54939814814814814</v>
      </c>
      <c r="F446" s="108">
        <v>257</v>
      </c>
      <c r="G446" s="192">
        <v>38.767989</v>
      </c>
      <c r="H446" s="192">
        <v>9.6064699999999998</v>
      </c>
      <c r="I446" s="105" t="s">
        <v>4126</v>
      </c>
      <c r="J446" s="105" t="s">
        <v>3589</v>
      </c>
      <c r="K446" s="105" t="s">
        <v>3450</v>
      </c>
      <c r="L446" s="105" t="s">
        <v>1235</v>
      </c>
      <c r="M446" s="74" t="s">
        <v>3547</v>
      </c>
      <c r="N446" s="107" t="s">
        <v>4098</v>
      </c>
    </row>
    <row r="447" spans="1:14">
      <c r="A447" s="105" t="s">
        <v>213</v>
      </c>
      <c r="B447" s="105" t="s">
        <v>776</v>
      </c>
      <c r="C447" s="162">
        <v>46034</v>
      </c>
      <c r="D447" s="105" t="s">
        <v>781</v>
      </c>
      <c r="E447" s="106">
        <v>0.54939814814814814</v>
      </c>
      <c r="F447" s="108">
        <v>257</v>
      </c>
      <c r="G447" s="192">
        <v>38.767989</v>
      </c>
      <c r="H447" s="192">
        <v>9.6064699999999998</v>
      </c>
      <c r="I447" s="105" t="s">
        <v>4127</v>
      </c>
      <c r="J447" s="105" t="s">
        <v>3589</v>
      </c>
      <c r="K447" s="105" t="s">
        <v>3450</v>
      </c>
      <c r="L447" s="105" t="s">
        <v>1235</v>
      </c>
      <c r="M447" s="74" t="s">
        <v>3547</v>
      </c>
      <c r="N447" s="107" t="s">
        <v>4125</v>
      </c>
    </row>
    <row r="448" spans="1:14">
      <c r="A448" s="105" t="s">
        <v>213</v>
      </c>
      <c r="B448" s="105" t="s">
        <v>776</v>
      </c>
      <c r="C448" s="162">
        <v>46034</v>
      </c>
      <c r="D448" s="105" t="s">
        <v>781</v>
      </c>
      <c r="E448" s="106">
        <v>0.54939814814814814</v>
      </c>
      <c r="F448" s="108">
        <v>257</v>
      </c>
      <c r="G448" s="192">
        <v>38.767989</v>
      </c>
      <c r="H448" s="192">
        <v>9.6064699999999998</v>
      </c>
      <c r="I448" s="105" t="s">
        <v>4128</v>
      </c>
      <c r="J448" s="105" t="s">
        <v>3589</v>
      </c>
      <c r="K448" s="105" t="s">
        <v>3450</v>
      </c>
      <c r="L448" s="105" t="s">
        <v>1235</v>
      </c>
      <c r="M448" s="74" t="s">
        <v>3547</v>
      </c>
      <c r="N448" s="107" t="s">
        <v>4125</v>
      </c>
    </row>
    <row r="449" spans="1:16">
      <c r="A449" s="105" t="s">
        <v>213</v>
      </c>
      <c r="B449" s="105" t="s">
        <v>776</v>
      </c>
      <c r="C449" s="162">
        <v>46034</v>
      </c>
      <c r="D449" s="105" t="s">
        <v>781</v>
      </c>
      <c r="E449" s="106">
        <v>0.54939814814814814</v>
      </c>
      <c r="F449" s="108">
        <v>257</v>
      </c>
      <c r="G449" s="192">
        <v>38.767989</v>
      </c>
      <c r="H449" s="192">
        <v>9.6064699999999998</v>
      </c>
      <c r="I449" s="105" t="s">
        <v>4129</v>
      </c>
      <c r="J449" s="105" t="s">
        <v>3589</v>
      </c>
      <c r="K449" s="105" t="s">
        <v>3450</v>
      </c>
      <c r="L449" s="105" t="s">
        <v>1235</v>
      </c>
      <c r="M449" s="74" t="s">
        <v>3547</v>
      </c>
      <c r="N449" s="107" t="s">
        <v>4125</v>
      </c>
    </row>
    <row r="450" spans="1:16">
      <c r="A450" s="105" t="s">
        <v>213</v>
      </c>
      <c r="B450" s="105" t="s">
        <v>776</v>
      </c>
      <c r="C450" s="162">
        <v>46034</v>
      </c>
      <c r="D450" s="105" t="s">
        <v>781</v>
      </c>
      <c r="E450" s="106">
        <v>0.55278935185185185</v>
      </c>
      <c r="F450" s="108">
        <v>257</v>
      </c>
      <c r="G450" s="192">
        <v>38.767992</v>
      </c>
      <c r="H450" s="192">
        <v>9.6064629999999998</v>
      </c>
      <c r="I450" s="105" t="s">
        <v>4130</v>
      </c>
      <c r="J450" s="105" t="s">
        <v>1059</v>
      </c>
      <c r="K450" s="105" t="s">
        <v>3791</v>
      </c>
      <c r="L450" s="105" t="s">
        <v>3792</v>
      </c>
      <c r="M450" s="74" t="s">
        <v>1059</v>
      </c>
      <c r="N450" s="107" t="s">
        <v>3793</v>
      </c>
    </row>
    <row r="451" spans="1:16">
      <c r="A451" s="105" t="s">
        <v>213</v>
      </c>
      <c r="B451" s="105" t="s">
        <v>776</v>
      </c>
      <c r="C451" s="162">
        <v>46034</v>
      </c>
      <c r="D451" s="105" t="s">
        <v>781</v>
      </c>
      <c r="E451" s="106">
        <v>0.55278935185185185</v>
      </c>
      <c r="F451" s="108">
        <v>257</v>
      </c>
      <c r="G451" s="192">
        <v>38.767992</v>
      </c>
      <c r="H451" s="192">
        <v>9.6064629999999998</v>
      </c>
      <c r="I451" s="105" t="s">
        <v>4131</v>
      </c>
      <c r="J451" s="105" t="s">
        <v>1059</v>
      </c>
      <c r="K451" s="105" t="s">
        <v>3791</v>
      </c>
      <c r="L451" s="105" t="s">
        <v>3792</v>
      </c>
      <c r="M451" s="74" t="s">
        <v>1059</v>
      </c>
      <c r="N451" s="107" t="s">
        <v>3793</v>
      </c>
    </row>
    <row r="452" spans="1:16">
      <c r="A452" s="105" t="s">
        <v>213</v>
      </c>
      <c r="B452" s="105" t="s">
        <v>776</v>
      </c>
      <c r="C452" s="162">
        <v>46034</v>
      </c>
      <c r="D452" s="105" t="s">
        <v>781</v>
      </c>
      <c r="E452" s="106">
        <v>0.55278935185185185</v>
      </c>
      <c r="F452" s="108">
        <v>257</v>
      </c>
      <c r="G452" s="192">
        <v>38.767992</v>
      </c>
      <c r="H452" s="192">
        <v>9.6064629999999998</v>
      </c>
      <c r="I452" s="105" t="s">
        <v>4132</v>
      </c>
      <c r="J452" s="105" t="s">
        <v>1059</v>
      </c>
      <c r="K452" s="105" t="s">
        <v>3791</v>
      </c>
      <c r="L452" s="105" t="s">
        <v>3792</v>
      </c>
      <c r="M452" s="74" t="s">
        <v>1059</v>
      </c>
      <c r="N452" s="107" t="s">
        <v>3793</v>
      </c>
    </row>
    <row r="453" spans="1:16">
      <c r="A453" s="105" t="s">
        <v>213</v>
      </c>
      <c r="B453" s="105" t="s">
        <v>776</v>
      </c>
      <c r="C453" s="162">
        <v>46034</v>
      </c>
      <c r="D453" s="105" t="s">
        <v>781</v>
      </c>
      <c r="E453" s="106">
        <v>0.55278935185185185</v>
      </c>
      <c r="F453" s="108">
        <v>257</v>
      </c>
      <c r="G453" s="192">
        <v>38.767992</v>
      </c>
      <c r="H453" s="192">
        <v>9.6064629999999998</v>
      </c>
      <c r="I453" s="105" t="s">
        <v>4133</v>
      </c>
      <c r="J453" s="105" t="s">
        <v>1059</v>
      </c>
      <c r="K453" s="105" t="s">
        <v>3797</v>
      </c>
      <c r="M453" s="74" t="s">
        <v>1059</v>
      </c>
      <c r="N453" s="107" t="s">
        <v>3991</v>
      </c>
    </row>
    <row r="454" spans="1:16">
      <c r="A454" s="105" t="s">
        <v>213</v>
      </c>
      <c r="B454" s="105" t="s">
        <v>776</v>
      </c>
      <c r="C454" s="162">
        <v>46034</v>
      </c>
      <c r="D454" s="105" t="s">
        <v>781</v>
      </c>
      <c r="E454" s="106">
        <v>0.55278935185185185</v>
      </c>
      <c r="F454" s="108">
        <v>257</v>
      </c>
      <c r="G454" s="192">
        <v>38.767992</v>
      </c>
      <c r="H454" s="192">
        <v>9.6064629999999998</v>
      </c>
      <c r="I454" s="105" t="s">
        <v>4134</v>
      </c>
      <c r="J454" s="105" t="s">
        <v>1059</v>
      </c>
      <c r="K454" s="105" t="s">
        <v>3797</v>
      </c>
      <c r="M454" s="74" t="s">
        <v>1059</v>
      </c>
      <c r="N454" s="107" t="s">
        <v>3991</v>
      </c>
    </row>
    <row r="455" spans="1:16">
      <c r="A455" s="105" t="s">
        <v>213</v>
      </c>
      <c r="B455" s="105" t="s">
        <v>776</v>
      </c>
      <c r="C455" s="162">
        <v>46034</v>
      </c>
      <c r="D455" s="105" t="s">
        <v>781</v>
      </c>
      <c r="E455" s="106">
        <v>0.55278935185185185</v>
      </c>
      <c r="F455" s="108">
        <v>257</v>
      </c>
      <c r="G455" s="192">
        <v>38.767992</v>
      </c>
      <c r="H455" s="192">
        <v>9.6064629999999998</v>
      </c>
      <c r="I455" s="105" t="s">
        <v>4135</v>
      </c>
      <c r="J455" s="105" t="s">
        <v>1059</v>
      </c>
      <c r="K455" s="105" t="s">
        <v>3797</v>
      </c>
      <c r="L455" s="105" t="s">
        <v>3874</v>
      </c>
      <c r="M455" s="74" t="s">
        <v>1059</v>
      </c>
      <c r="N455" s="107" t="s">
        <v>4136</v>
      </c>
    </row>
    <row r="456" spans="1:16">
      <c r="A456" s="105" t="s">
        <v>213</v>
      </c>
      <c r="B456" s="105" t="s">
        <v>776</v>
      </c>
      <c r="C456" s="162">
        <v>46034</v>
      </c>
      <c r="D456" s="105" t="s">
        <v>785</v>
      </c>
      <c r="E456" s="106">
        <v>0.67046296296296293</v>
      </c>
      <c r="F456" s="108">
        <v>828</v>
      </c>
      <c r="G456" s="192">
        <v>38.68562</v>
      </c>
      <c r="H456" s="192">
        <v>9.616892</v>
      </c>
      <c r="I456" s="105" t="s">
        <v>4137</v>
      </c>
      <c r="J456" s="105" t="s">
        <v>3589</v>
      </c>
      <c r="K456" s="105" t="s">
        <v>3450</v>
      </c>
      <c r="L456" s="105" t="s">
        <v>4138</v>
      </c>
      <c r="M456" s="74" t="s">
        <v>3547</v>
      </c>
      <c r="N456" s="107" t="s">
        <v>4098</v>
      </c>
    </row>
    <row r="457" spans="1:16">
      <c r="A457" s="105" t="s">
        <v>213</v>
      </c>
      <c r="B457" s="105" t="s">
        <v>776</v>
      </c>
      <c r="C457" s="162">
        <v>46034</v>
      </c>
      <c r="D457" s="105" t="s">
        <v>785</v>
      </c>
      <c r="E457" s="106">
        <v>0.68825231481481486</v>
      </c>
      <c r="F457" s="108">
        <v>789</v>
      </c>
      <c r="G457" s="192">
        <v>38.686445999999997</v>
      </c>
      <c r="H457" s="192">
        <v>9.6153670000000009</v>
      </c>
      <c r="I457" s="105" t="s">
        <v>4139</v>
      </c>
      <c r="J457" s="105" t="s">
        <v>1070</v>
      </c>
      <c r="M457" s="197"/>
      <c r="N457" s="107" t="s">
        <v>3465</v>
      </c>
    </row>
    <row r="458" spans="1:16">
      <c r="A458" s="105" t="s">
        <v>213</v>
      </c>
      <c r="B458" s="105" t="s">
        <v>776</v>
      </c>
      <c r="C458" s="112">
        <v>46035</v>
      </c>
      <c r="D458" s="105" t="s">
        <v>797</v>
      </c>
      <c r="E458" s="106">
        <v>0.38611111111111113</v>
      </c>
      <c r="F458" s="108">
        <v>586</v>
      </c>
      <c r="G458" s="192">
        <v>38.613298999999998</v>
      </c>
      <c r="H458" s="192">
        <v>9.5182939999999991</v>
      </c>
      <c r="I458" s="105" t="s">
        <v>4140</v>
      </c>
      <c r="J458" s="105" t="s">
        <v>3427</v>
      </c>
      <c r="K458" s="105" t="s">
        <v>3450</v>
      </c>
      <c r="L458" s="105" t="s">
        <v>4141</v>
      </c>
      <c r="M458" s="74" t="s">
        <v>3591</v>
      </c>
      <c r="P458" s="104" t="s">
        <v>4142</v>
      </c>
    </row>
    <row r="459" spans="1:16">
      <c r="A459" s="105" t="s">
        <v>213</v>
      </c>
      <c r="B459" s="105" t="s">
        <v>776</v>
      </c>
      <c r="C459" s="112">
        <v>46035</v>
      </c>
      <c r="D459" s="105" t="s">
        <v>797</v>
      </c>
      <c r="E459" s="106">
        <v>0.38611111111111113</v>
      </c>
      <c r="F459" s="108">
        <v>586</v>
      </c>
      <c r="G459" s="192">
        <v>38.613298999999998</v>
      </c>
      <c r="H459" s="192">
        <v>9.5182939999999991</v>
      </c>
      <c r="I459" s="105" t="s">
        <v>4143</v>
      </c>
      <c r="J459" s="105" t="s">
        <v>3427</v>
      </c>
      <c r="K459" s="105" t="s">
        <v>3450</v>
      </c>
      <c r="L459" s="107" t="s">
        <v>4141</v>
      </c>
      <c r="M459" s="74" t="s">
        <v>3591</v>
      </c>
    </row>
    <row r="460" spans="1:16">
      <c r="A460" s="105" t="s">
        <v>213</v>
      </c>
      <c r="B460" s="105" t="s">
        <v>776</v>
      </c>
      <c r="C460" s="112">
        <v>46035</v>
      </c>
      <c r="D460" s="105" t="s">
        <v>797</v>
      </c>
      <c r="E460" s="106">
        <v>0.38611111111111113</v>
      </c>
      <c r="F460" s="108">
        <v>586</v>
      </c>
      <c r="G460" s="192">
        <v>38.613298999999998</v>
      </c>
      <c r="H460" s="192">
        <v>9.5182939999999991</v>
      </c>
      <c r="I460" s="105" t="s">
        <v>4144</v>
      </c>
      <c r="J460" s="105" t="s">
        <v>3427</v>
      </c>
      <c r="K460" s="105" t="s">
        <v>3450</v>
      </c>
      <c r="L460" s="107" t="s">
        <v>4141</v>
      </c>
      <c r="M460" s="74" t="s">
        <v>3591</v>
      </c>
    </row>
    <row r="461" spans="1:16">
      <c r="A461" s="105" t="s">
        <v>213</v>
      </c>
      <c r="B461" s="105" t="s">
        <v>776</v>
      </c>
      <c r="C461" s="112">
        <v>46035</v>
      </c>
      <c r="D461" s="105" t="s">
        <v>797</v>
      </c>
      <c r="E461" s="106">
        <v>0.38611111111111113</v>
      </c>
      <c r="F461" s="108">
        <v>586</v>
      </c>
      <c r="G461" s="192">
        <v>38.613298999999998</v>
      </c>
      <c r="H461" s="192">
        <v>9.5182939999999991</v>
      </c>
      <c r="I461" s="105" t="s">
        <v>4145</v>
      </c>
      <c r="J461" s="105" t="s">
        <v>3427</v>
      </c>
      <c r="K461" s="105" t="s">
        <v>3450</v>
      </c>
      <c r="L461" s="107" t="s">
        <v>4141</v>
      </c>
      <c r="M461" s="74" t="s">
        <v>3591</v>
      </c>
    </row>
    <row r="462" spans="1:16">
      <c r="A462" s="105" t="s">
        <v>213</v>
      </c>
      <c r="B462" s="105" t="s">
        <v>776</v>
      </c>
      <c r="C462" s="112">
        <v>46035</v>
      </c>
      <c r="D462" s="105" t="s">
        <v>797</v>
      </c>
      <c r="E462" s="106">
        <v>0.39513888888888887</v>
      </c>
      <c r="F462" s="108">
        <v>572</v>
      </c>
      <c r="G462" s="192">
        <v>38.613692</v>
      </c>
      <c r="H462" s="192">
        <v>9.5182310000000001</v>
      </c>
      <c r="I462" s="105" t="s">
        <v>4146</v>
      </c>
      <c r="J462" s="105" t="s">
        <v>3427</v>
      </c>
      <c r="K462" s="105" t="s">
        <v>3455</v>
      </c>
      <c r="L462" s="107" t="s">
        <v>4147</v>
      </c>
      <c r="M462" s="74" t="s">
        <v>3547</v>
      </c>
    </row>
    <row r="463" spans="1:16">
      <c r="A463" s="105" t="s">
        <v>213</v>
      </c>
      <c r="B463" s="105" t="s">
        <v>776</v>
      </c>
      <c r="C463" s="112">
        <v>46035</v>
      </c>
      <c r="D463" s="105" t="s">
        <v>797</v>
      </c>
      <c r="E463" s="106">
        <v>0.39513888888888887</v>
      </c>
      <c r="F463" s="108">
        <v>572</v>
      </c>
      <c r="G463" s="192">
        <v>38.613692</v>
      </c>
      <c r="H463" s="192">
        <v>9.5182310000000001</v>
      </c>
      <c r="I463" s="105" t="s">
        <v>4148</v>
      </c>
      <c r="J463" s="105" t="s">
        <v>3427</v>
      </c>
      <c r="K463" s="105" t="s">
        <v>3455</v>
      </c>
      <c r="L463" s="107" t="s">
        <v>4149</v>
      </c>
      <c r="M463" s="74" t="s">
        <v>3547</v>
      </c>
    </row>
    <row r="464" spans="1:16">
      <c r="A464" s="105" t="s">
        <v>213</v>
      </c>
      <c r="B464" s="105" t="s">
        <v>776</v>
      </c>
      <c r="C464" s="112">
        <v>46035</v>
      </c>
      <c r="D464" s="105" t="s">
        <v>797</v>
      </c>
      <c r="E464" s="106">
        <v>0.39513888888888887</v>
      </c>
      <c r="F464" s="108">
        <v>572</v>
      </c>
      <c r="G464" s="192">
        <v>38.613692</v>
      </c>
      <c r="H464" s="192">
        <v>9.5182310000000001</v>
      </c>
      <c r="I464" s="105" t="s">
        <v>4150</v>
      </c>
      <c r="J464" s="105" t="s">
        <v>3589</v>
      </c>
      <c r="K464" s="105" t="s">
        <v>3450</v>
      </c>
      <c r="L464" s="105" t="s">
        <v>4151</v>
      </c>
      <c r="M464" s="74" t="s">
        <v>3547</v>
      </c>
      <c r="N464" s="107" t="s">
        <v>3991</v>
      </c>
    </row>
    <row r="465" spans="1:16">
      <c r="A465" s="105" t="s">
        <v>213</v>
      </c>
      <c r="B465" s="105" t="s">
        <v>776</v>
      </c>
      <c r="C465" s="112">
        <v>46035</v>
      </c>
      <c r="D465" s="105" t="s">
        <v>797</v>
      </c>
      <c r="E465" s="106">
        <v>0.39513888888888887</v>
      </c>
      <c r="F465" s="108">
        <v>572</v>
      </c>
      <c r="G465" s="192">
        <v>38.613692</v>
      </c>
      <c r="H465" s="192">
        <v>9.5182310000000001</v>
      </c>
      <c r="I465" s="105" t="s">
        <v>4152</v>
      </c>
      <c r="J465" s="105" t="s">
        <v>3589</v>
      </c>
      <c r="K465" s="105" t="s">
        <v>3450</v>
      </c>
      <c r="L465" s="105" t="s">
        <v>4151</v>
      </c>
      <c r="M465" s="74" t="s">
        <v>3547</v>
      </c>
      <c r="N465" s="107" t="s">
        <v>4101</v>
      </c>
    </row>
    <row r="466" spans="1:16">
      <c r="A466" s="105" t="s">
        <v>213</v>
      </c>
      <c r="B466" s="105" t="s">
        <v>776</v>
      </c>
      <c r="C466" s="112">
        <v>46035</v>
      </c>
      <c r="D466" s="105" t="s">
        <v>797</v>
      </c>
      <c r="E466" s="106">
        <v>0.39513888888888898</v>
      </c>
      <c r="F466" s="108">
        <v>572</v>
      </c>
      <c r="G466" s="192">
        <v>38.613692</v>
      </c>
      <c r="H466" s="192">
        <v>9.5182310000000001</v>
      </c>
      <c r="I466" s="105" t="s">
        <v>4153</v>
      </c>
      <c r="J466" s="105" t="s">
        <v>3589</v>
      </c>
      <c r="K466" s="105" t="s">
        <v>3450</v>
      </c>
      <c r="L466" s="105" t="s">
        <v>4151</v>
      </c>
      <c r="M466" s="74" t="s">
        <v>3547</v>
      </c>
      <c r="N466" s="107" t="s">
        <v>4101</v>
      </c>
    </row>
    <row r="467" spans="1:16">
      <c r="A467" s="105" t="s">
        <v>213</v>
      </c>
      <c r="B467" s="105" t="s">
        <v>776</v>
      </c>
      <c r="C467" s="112">
        <v>46035</v>
      </c>
      <c r="D467" s="105" t="s">
        <v>797</v>
      </c>
      <c r="E467" s="106">
        <v>0.41944444444444445</v>
      </c>
      <c r="F467" s="108">
        <v>504</v>
      </c>
      <c r="G467" s="192">
        <v>38.614773999999997</v>
      </c>
      <c r="H467" s="192">
        <v>9.5174450000000004</v>
      </c>
      <c r="I467" s="105" t="s">
        <v>4154</v>
      </c>
      <c r="J467" s="105" t="s">
        <v>3589</v>
      </c>
      <c r="K467" s="105" t="s">
        <v>3455</v>
      </c>
      <c r="L467" s="105" t="s">
        <v>3169</v>
      </c>
      <c r="M467" s="74" t="s">
        <v>3547</v>
      </c>
      <c r="N467" s="170"/>
    </row>
    <row r="468" spans="1:16">
      <c r="A468" s="105" t="s">
        <v>213</v>
      </c>
      <c r="B468" s="105" t="s">
        <v>776</v>
      </c>
      <c r="C468" s="112">
        <v>46035</v>
      </c>
      <c r="D468" s="105" t="s">
        <v>797</v>
      </c>
      <c r="E468" s="106">
        <v>0.47203703703703703</v>
      </c>
      <c r="F468" s="108">
        <v>381</v>
      </c>
      <c r="G468" s="192">
        <v>38.616374999999998</v>
      </c>
      <c r="H468" s="192">
        <v>9.5174950000000003</v>
      </c>
      <c r="I468" s="105" t="s">
        <v>4155</v>
      </c>
      <c r="J468" s="105" t="s">
        <v>3589</v>
      </c>
      <c r="K468" s="105" t="s">
        <v>3450</v>
      </c>
      <c r="L468" s="105" t="s">
        <v>1235</v>
      </c>
      <c r="M468" s="74" t="s">
        <v>3547</v>
      </c>
      <c r="N468" s="107" t="s">
        <v>4156</v>
      </c>
    </row>
    <row r="469" spans="1:16">
      <c r="A469" s="105" t="s">
        <v>213</v>
      </c>
      <c r="B469" s="105" t="s">
        <v>776</v>
      </c>
      <c r="C469" s="112">
        <v>46035</v>
      </c>
      <c r="D469" s="105" t="s">
        <v>797</v>
      </c>
      <c r="E469" s="106">
        <v>0.47203703703703703</v>
      </c>
      <c r="F469" s="108">
        <v>381</v>
      </c>
      <c r="G469" s="192">
        <v>38.616374999999998</v>
      </c>
      <c r="H469" s="192">
        <v>9.5174950000000003</v>
      </c>
      <c r="I469" s="105" t="s">
        <v>4157</v>
      </c>
      <c r="J469" s="105" t="s">
        <v>3589</v>
      </c>
      <c r="K469" s="105" t="s">
        <v>3450</v>
      </c>
      <c r="L469" s="105" t="s">
        <v>1235</v>
      </c>
      <c r="M469" s="74" t="s">
        <v>3547</v>
      </c>
      <c r="N469" s="107" t="s">
        <v>3991</v>
      </c>
    </row>
    <row r="470" spans="1:16">
      <c r="A470" s="105" t="s">
        <v>213</v>
      </c>
      <c r="B470" s="105" t="s">
        <v>776</v>
      </c>
      <c r="C470" s="112">
        <v>46035</v>
      </c>
      <c r="D470" s="105" t="s">
        <v>797</v>
      </c>
      <c r="E470" s="106">
        <v>0.47203703703703703</v>
      </c>
      <c r="F470" s="108">
        <v>381</v>
      </c>
      <c r="G470" s="192">
        <v>38.616374999999998</v>
      </c>
      <c r="H470" s="192">
        <v>9.5174950000000003</v>
      </c>
      <c r="I470" s="105" t="s">
        <v>4158</v>
      </c>
      <c r="J470" s="105" t="s">
        <v>3589</v>
      </c>
      <c r="K470" s="105" t="s">
        <v>3450</v>
      </c>
      <c r="L470" s="105" t="s">
        <v>1235</v>
      </c>
      <c r="M470" s="74" t="s">
        <v>3547</v>
      </c>
      <c r="N470" s="107" t="s">
        <v>4098</v>
      </c>
    </row>
    <row r="471" spans="1:16">
      <c r="A471" s="105" t="s">
        <v>213</v>
      </c>
      <c r="B471" s="105" t="s">
        <v>776</v>
      </c>
      <c r="C471" s="112">
        <v>46035</v>
      </c>
      <c r="D471" s="105" t="s">
        <v>797</v>
      </c>
      <c r="E471" s="106">
        <v>0.47203703703703703</v>
      </c>
      <c r="F471" s="108">
        <v>381</v>
      </c>
      <c r="G471" s="192">
        <v>38.616374999999998</v>
      </c>
      <c r="H471" s="192">
        <v>9.5174950000000003</v>
      </c>
      <c r="I471" s="105" t="s">
        <v>4159</v>
      </c>
      <c r="J471" s="105" t="s">
        <v>3589</v>
      </c>
      <c r="K471" s="105" t="s">
        <v>3450</v>
      </c>
      <c r="L471" s="105" t="s">
        <v>1235</v>
      </c>
      <c r="M471" s="74" t="s">
        <v>3547</v>
      </c>
      <c r="N471" s="107" t="s">
        <v>3991</v>
      </c>
    </row>
    <row r="472" spans="1:16">
      <c r="A472" s="105" t="s">
        <v>213</v>
      </c>
      <c r="B472" s="105" t="s">
        <v>776</v>
      </c>
      <c r="C472" s="112">
        <v>46035</v>
      </c>
      <c r="D472" s="105" t="s">
        <v>797</v>
      </c>
      <c r="E472" s="106">
        <v>0.51186342592592593</v>
      </c>
      <c r="F472" s="108">
        <v>380</v>
      </c>
      <c r="G472" s="192">
        <v>38.616506000000001</v>
      </c>
      <c r="H472" s="192">
        <v>9.5175739999999998</v>
      </c>
      <c r="I472" s="105" t="s">
        <v>4160</v>
      </c>
      <c r="J472" s="105" t="s">
        <v>3589</v>
      </c>
      <c r="K472" s="105" t="s">
        <v>3450</v>
      </c>
      <c r="L472" s="105" t="s">
        <v>1235</v>
      </c>
      <c r="M472" s="74" t="s">
        <v>3547</v>
      </c>
      <c r="N472" s="107" t="s">
        <v>4098</v>
      </c>
    </row>
    <row r="473" spans="1:16">
      <c r="A473" s="105" t="s">
        <v>213</v>
      </c>
      <c r="B473" s="105" t="s">
        <v>776</v>
      </c>
      <c r="C473" s="112">
        <v>46035</v>
      </c>
      <c r="D473" s="105" t="s">
        <v>797</v>
      </c>
      <c r="E473" s="106">
        <v>0.51186342592592593</v>
      </c>
      <c r="F473" s="108">
        <v>380</v>
      </c>
      <c r="G473" s="192">
        <v>38.616506000000001</v>
      </c>
      <c r="H473" s="192">
        <v>9.5175739999999998</v>
      </c>
      <c r="I473" s="105" t="s">
        <v>4161</v>
      </c>
      <c r="J473" s="105" t="s">
        <v>3589</v>
      </c>
      <c r="K473" s="105" t="s">
        <v>3450</v>
      </c>
      <c r="L473" s="105" t="s">
        <v>1235</v>
      </c>
      <c r="M473" s="74" t="s">
        <v>3547</v>
      </c>
      <c r="N473" s="107" t="s">
        <v>4101</v>
      </c>
    </row>
    <row r="474" spans="1:16">
      <c r="A474" s="105" t="s">
        <v>213</v>
      </c>
      <c r="B474" s="105" t="s">
        <v>776</v>
      </c>
      <c r="C474" s="112">
        <v>46035</v>
      </c>
      <c r="D474" s="105" t="s">
        <v>797</v>
      </c>
      <c r="E474" s="106">
        <v>0.51186342592592593</v>
      </c>
      <c r="F474" s="108">
        <v>380</v>
      </c>
      <c r="G474" s="192">
        <v>38.616506000000001</v>
      </c>
      <c r="H474" s="192">
        <v>9.5175739999999998</v>
      </c>
      <c r="I474" s="105" t="s">
        <v>4162</v>
      </c>
      <c r="J474" s="105" t="s">
        <v>3589</v>
      </c>
      <c r="K474" s="105" t="s">
        <v>3450</v>
      </c>
      <c r="L474" s="105" t="s">
        <v>1235</v>
      </c>
      <c r="M474" s="74" t="s">
        <v>3547</v>
      </c>
      <c r="N474" s="107" t="s">
        <v>4101</v>
      </c>
    </row>
    <row r="475" spans="1:16">
      <c r="A475" s="105" t="s">
        <v>213</v>
      </c>
      <c r="B475" s="105" t="s">
        <v>776</v>
      </c>
      <c r="C475" s="112">
        <v>46035</v>
      </c>
      <c r="D475" s="105" t="s">
        <v>797</v>
      </c>
      <c r="E475" s="106">
        <v>0.51186342592592593</v>
      </c>
      <c r="F475" s="108">
        <v>380</v>
      </c>
      <c r="G475" s="192">
        <v>38.616506000000001</v>
      </c>
      <c r="H475" s="192">
        <v>9.5175739999999998</v>
      </c>
      <c r="I475" s="105" t="s">
        <v>4163</v>
      </c>
      <c r="J475" s="105" t="s">
        <v>3589</v>
      </c>
      <c r="K475" s="105" t="s">
        <v>3450</v>
      </c>
      <c r="L475" s="105" t="s">
        <v>1235</v>
      </c>
      <c r="M475" s="74" t="s">
        <v>3547</v>
      </c>
      <c r="N475" s="107" t="s">
        <v>4101</v>
      </c>
    </row>
    <row r="476" spans="1:16" s="172" customFormat="1">
      <c r="A476" s="155" t="s">
        <v>213</v>
      </c>
      <c r="B476" s="155" t="s">
        <v>776</v>
      </c>
      <c r="C476" s="171">
        <v>46035</v>
      </c>
      <c r="D476" s="155" t="s">
        <v>801</v>
      </c>
      <c r="E476" s="136"/>
      <c r="F476" s="137"/>
      <c r="G476" s="191"/>
      <c r="H476" s="191"/>
      <c r="I476" s="155" t="s">
        <v>4164</v>
      </c>
      <c r="J476" s="155" t="s">
        <v>3589</v>
      </c>
      <c r="K476" s="155"/>
      <c r="L476" s="155" t="s">
        <v>955</v>
      </c>
      <c r="M476" s="201"/>
      <c r="N476" s="170"/>
      <c r="P476" s="172" t="s">
        <v>4165</v>
      </c>
    </row>
    <row r="477" spans="1:16">
      <c r="A477" s="105" t="s">
        <v>213</v>
      </c>
      <c r="B477" s="105" t="s">
        <v>776</v>
      </c>
      <c r="C477" s="112">
        <v>46035</v>
      </c>
      <c r="D477" s="105" t="s">
        <v>801</v>
      </c>
      <c r="E477" s="106">
        <v>0.73018518518518516</v>
      </c>
      <c r="F477" s="108">
        <v>439</v>
      </c>
      <c r="G477" s="192">
        <v>38.570323000000002</v>
      </c>
      <c r="H477" s="192">
        <v>9.4816760000000002</v>
      </c>
      <c r="I477" s="105" t="s">
        <v>4166</v>
      </c>
      <c r="J477" s="105" t="s">
        <v>3589</v>
      </c>
      <c r="K477" s="105" t="s">
        <v>3450</v>
      </c>
      <c r="L477" s="105" t="s">
        <v>4167</v>
      </c>
      <c r="M477" s="74" t="s">
        <v>3591</v>
      </c>
      <c r="N477" s="107" t="s">
        <v>4101</v>
      </c>
    </row>
    <row r="478" spans="1:16">
      <c r="A478" s="105" t="s">
        <v>213</v>
      </c>
      <c r="B478" s="105" t="s">
        <v>776</v>
      </c>
      <c r="C478" s="112">
        <v>46035</v>
      </c>
      <c r="D478" s="105" t="s">
        <v>805</v>
      </c>
      <c r="E478" s="106">
        <v>0.93030092592592595</v>
      </c>
      <c r="F478" s="108">
        <v>807</v>
      </c>
      <c r="G478" s="192">
        <v>38.504686</v>
      </c>
      <c r="H478" s="192">
        <v>9.4212229999999995</v>
      </c>
      <c r="I478" s="105" t="s">
        <v>4168</v>
      </c>
      <c r="J478" s="105" t="s">
        <v>3589</v>
      </c>
      <c r="K478" s="105" t="s">
        <v>3450</v>
      </c>
      <c r="L478" s="105" t="s">
        <v>4169</v>
      </c>
      <c r="M478" s="74" t="s">
        <v>3547</v>
      </c>
      <c r="N478" s="107" t="s">
        <v>3991</v>
      </c>
    </row>
    <row r="479" spans="1:16">
      <c r="A479" s="105" t="s">
        <v>213</v>
      </c>
      <c r="B479" s="105" t="s">
        <v>776</v>
      </c>
      <c r="C479" s="112">
        <v>46035</v>
      </c>
      <c r="D479" s="105" t="s">
        <v>805</v>
      </c>
      <c r="E479" s="106">
        <v>0.9318981481481482</v>
      </c>
      <c r="F479" s="108">
        <v>807</v>
      </c>
      <c r="G479" s="192">
        <v>38.504686</v>
      </c>
      <c r="H479" s="192">
        <v>9.4212229999999995</v>
      </c>
      <c r="I479" s="105" t="s">
        <v>4170</v>
      </c>
      <c r="J479" s="105" t="s">
        <v>3589</v>
      </c>
      <c r="K479" s="105" t="s">
        <v>3450</v>
      </c>
      <c r="L479" s="105" t="s">
        <v>4171</v>
      </c>
      <c r="M479" s="74" t="s">
        <v>3547</v>
      </c>
      <c r="N479" s="107" t="s">
        <v>3991</v>
      </c>
    </row>
    <row r="480" spans="1:16">
      <c r="A480" s="105" t="s">
        <v>213</v>
      </c>
      <c r="B480" s="105" t="s">
        <v>776</v>
      </c>
      <c r="C480" s="112">
        <v>46035</v>
      </c>
      <c r="D480" s="105" t="s">
        <v>805</v>
      </c>
      <c r="E480" s="106">
        <v>0.9579050925925926</v>
      </c>
      <c r="F480" s="108">
        <v>798</v>
      </c>
      <c r="G480" s="192">
        <v>38.505063999999997</v>
      </c>
      <c r="H480" s="192">
        <v>9.4211220000000004</v>
      </c>
      <c r="I480" s="105" t="s">
        <v>4172</v>
      </c>
      <c r="J480" s="105" t="s">
        <v>3589</v>
      </c>
      <c r="K480" s="105" t="s">
        <v>3450</v>
      </c>
      <c r="L480" s="105" t="s">
        <v>4173</v>
      </c>
      <c r="M480" s="74" t="s">
        <v>3591</v>
      </c>
      <c r="N480" s="107" t="s">
        <v>4174</v>
      </c>
    </row>
    <row r="481" spans="1:16">
      <c r="A481" s="105" t="s">
        <v>213</v>
      </c>
      <c r="B481" s="105" t="s">
        <v>776</v>
      </c>
      <c r="C481" s="112">
        <v>46035</v>
      </c>
      <c r="D481" s="105" t="s">
        <v>805</v>
      </c>
      <c r="E481" s="106">
        <v>0.9579050925925926</v>
      </c>
      <c r="F481" s="108">
        <v>798</v>
      </c>
      <c r="G481" s="192">
        <v>38.505063999999997</v>
      </c>
      <c r="H481" s="192">
        <v>9.4211220000000004</v>
      </c>
      <c r="I481" s="105" t="s">
        <v>4175</v>
      </c>
      <c r="J481" s="105" t="s">
        <v>3589</v>
      </c>
      <c r="K481" s="105" t="s">
        <v>3450</v>
      </c>
      <c r="L481" s="105" t="s">
        <v>4173</v>
      </c>
      <c r="M481" s="74" t="s">
        <v>3591</v>
      </c>
      <c r="N481" s="107" t="s">
        <v>4101</v>
      </c>
    </row>
    <row r="482" spans="1:16">
      <c r="A482" s="105" t="s">
        <v>213</v>
      </c>
      <c r="B482" s="105" t="s">
        <v>776</v>
      </c>
      <c r="C482" s="112">
        <v>46035</v>
      </c>
      <c r="D482" s="105" t="s">
        <v>805</v>
      </c>
      <c r="E482" s="106">
        <v>0.9579050925925926</v>
      </c>
      <c r="F482" s="108">
        <v>798</v>
      </c>
      <c r="G482" s="192">
        <v>38.505063999999997</v>
      </c>
      <c r="H482" s="192">
        <v>9.4211220000000004</v>
      </c>
      <c r="I482" s="105" t="s">
        <v>4176</v>
      </c>
      <c r="J482" s="105" t="s">
        <v>3589</v>
      </c>
      <c r="K482" s="105" t="s">
        <v>3450</v>
      </c>
      <c r="L482" s="105" t="s">
        <v>4173</v>
      </c>
      <c r="M482" s="74" t="s">
        <v>3591</v>
      </c>
      <c r="N482" s="107" t="s">
        <v>4174</v>
      </c>
    </row>
    <row r="483" spans="1:16" s="172" customFormat="1">
      <c r="A483" s="155" t="s">
        <v>213</v>
      </c>
      <c r="B483" s="155" t="s">
        <v>776</v>
      </c>
      <c r="C483" s="171">
        <v>46035</v>
      </c>
      <c r="D483" s="155" t="s">
        <v>805</v>
      </c>
      <c r="E483" s="136">
        <v>0.9579050925925926</v>
      </c>
      <c r="F483" s="137">
        <v>798</v>
      </c>
      <c r="G483" s="191">
        <v>38.505063999999997</v>
      </c>
      <c r="H483" s="191">
        <v>9.4211220000000004</v>
      </c>
      <c r="I483" s="155" t="s">
        <v>4177</v>
      </c>
      <c r="J483" s="155" t="s">
        <v>3589</v>
      </c>
      <c r="K483" s="155" t="s">
        <v>3455</v>
      </c>
      <c r="L483" s="155" t="s">
        <v>4178</v>
      </c>
      <c r="M483" s="201" t="s">
        <v>3591</v>
      </c>
      <c r="N483" s="170" t="s">
        <v>4179</v>
      </c>
      <c r="P483" s="172" t="s">
        <v>4180</v>
      </c>
    </row>
    <row r="484" spans="1:16">
      <c r="A484" s="105" t="s">
        <v>213</v>
      </c>
      <c r="B484" s="105" t="s">
        <v>776</v>
      </c>
      <c r="C484" s="112">
        <v>46035</v>
      </c>
      <c r="D484" s="105" t="s">
        <v>805</v>
      </c>
      <c r="E484" s="106">
        <v>0.96321759259259254</v>
      </c>
      <c r="F484" s="108">
        <v>798</v>
      </c>
      <c r="G484" s="192">
        <v>38.505063999999997</v>
      </c>
      <c r="H484" s="192">
        <v>9.4211179999999999</v>
      </c>
      <c r="I484" s="105" t="s">
        <v>4181</v>
      </c>
      <c r="J484" s="105" t="s">
        <v>3589</v>
      </c>
      <c r="K484" s="105" t="s">
        <v>3450</v>
      </c>
      <c r="L484" s="105" t="s">
        <v>2411</v>
      </c>
      <c r="M484" s="74" t="s">
        <v>3547</v>
      </c>
      <c r="N484" s="107" t="s">
        <v>4174</v>
      </c>
    </row>
    <row r="485" spans="1:16">
      <c r="A485" s="105" t="s">
        <v>213</v>
      </c>
      <c r="B485" s="105" t="s">
        <v>776</v>
      </c>
      <c r="C485" s="112">
        <v>46035</v>
      </c>
      <c r="D485" s="105" t="s">
        <v>805</v>
      </c>
      <c r="E485" s="106">
        <v>0.96321759259259254</v>
      </c>
      <c r="F485" s="108">
        <v>798</v>
      </c>
      <c r="G485" s="192">
        <v>38.505063999999997</v>
      </c>
      <c r="H485" s="192">
        <v>9.4211179999999999</v>
      </c>
      <c r="I485" s="105" t="s">
        <v>4182</v>
      </c>
      <c r="J485" s="105" t="s">
        <v>3589</v>
      </c>
      <c r="K485" s="105" t="s">
        <v>3450</v>
      </c>
      <c r="L485" s="105" t="s">
        <v>2411</v>
      </c>
      <c r="M485" s="74" t="s">
        <v>3547</v>
      </c>
      <c r="N485" s="107" t="s">
        <v>4174</v>
      </c>
    </row>
    <row r="486" spans="1:16">
      <c r="A486" s="105" t="s">
        <v>213</v>
      </c>
      <c r="B486" s="105" t="s">
        <v>776</v>
      </c>
      <c r="C486" s="112">
        <v>46035</v>
      </c>
      <c r="D486" s="105" t="s">
        <v>805</v>
      </c>
      <c r="E486" s="106">
        <v>0.96321759259259254</v>
      </c>
      <c r="F486" s="108">
        <v>798</v>
      </c>
      <c r="G486" s="192">
        <v>38.505063999999997</v>
      </c>
      <c r="H486" s="192">
        <v>9.4211179999999999</v>
      </c>
      <c r="I486" s="105" t="s">
        <v>4183</v>
      </c>
      <c r="J486" s="105" t="s">
        <v>3589</v>
      </c>
      <c r="K486" s="105" t="s">
        <v>3450</v>
      </c>
      <c r="L486" s="105" t="s">
        <v>2411</v>
      </c>
      <c r="M486" s="74" t="s">
        <v>3547</v>
      </c>
      <c r="N486" s="107" t="s">
        <v>4174</v>
      </c>
    </row>
    <row r="487" spans="1:16">
      <c r="A487" s="105" t="s">
        <v>213</v>
      </c>
      <c r="B487" s="105" t="s">
        <v>776</v>
      </c>
      <c r="C487" s="112">
        <v>46036</v>
      </c>
      <c r="D487" s="105" t="s">
        <v>805</v>
      </c>
      <c r="E487" s="106">
        <v>9.0277777777777774E-4</v>
      </c>
      <c r="F487" s="108">
        <v>752</v>
      </c>
      <c r="G487" s="192">
        <v>38.506754999999998</v>
      </c>
      <c r="H487" s="192">
        <v>9.4205919999999992</v>
      </c>
      <c r="I487" s="105" t="s">
        <v>4184</v>
      </c>
      <c r="J487" s="105" t="s">
        <v>3589</v>
      </c>
      <c r="K487" s="105" t="s">
        <v>3450</v>
      </c>
      <c r="L487" s="105" t="s">
        <v>4185</v>
      </c>
      <c r="M487" s="74" t="s">
        <v>3547</v>
      </c>
      <c r="N487" s="107" t="s">
        <v>3787</v>
      </c>
    </row>
    <row r="488" spans="1:16">
      <c r="A488" s="105" t="s">
        <v>213</v>
      </c>
      <c r="B488" s="105" t="s">
        <v>776</v>
      </c>
      <c r="C488" s="112">
        <v>46036</v>
      </c>
      <c r="D488" s="105" t="s">
        <v>805</v>
      </c>
      <c r="E488" s="106">
        <v>3.5636574074074077E-2</v>
      </c>
      <c r="F488" s="108">
        <v>769</v>
      </c>
      <c r="G488" s="192">
        <v>38.508598999999997</v>
      </c>
      <c r="H488" s="192">
        <v>9.4230889999999992</v>
      </c>
      <c r="I488" s="105" t="s">
        <v>4186</v>
      </c>
      <c r="J488" s="105" t="s">
        <v>3589</v>
      </c>
      <c r="K488" s="105" t="s">
        <v>3450</v>
      </c>
      <c r="L488" s="105" t="s">
        <v>4187</v>
      </c>
      <c r="M488" s="74" t="s">
        <v>3547</v>
      </c>
      <c r="N488" s="107" t="s">
        <v>4174</v>
      </c>
    </row>
    <row r="489" spans="1:16">
      <c r="A489" s="105" t="s">
        <v>213</v>
      </c>
      <c r="B489" s="105" t="s">
        <v>776</v>
      </c>
      <c r="C489" s="112">
        <v>46036</v>
      </c>
      <c r="D489" s="105" t="s">
        <v>805</v>
      </c>
      <c r="E489" s="106">
        <v>3.5636574074074077E-2</v>
      </c>
      <c r="F489" s="108">
        <v>769</v>
      </c>
      <c r="G489" s="192">
        <v>38.508598999999997</v>
      </c>
      <c r="H489" s="192">
        <v>9.4230889999999992</v>
      </c>
      <c r="I489" s="105" t="s">
        <v>4188</v>
      </c>
      <c r="J489" s="105" t="s">
        <v>3589</v>
      </c>
      <c r="K489" s="105" t="s">
        <v>3450</v>
      </c>
      <c r="L489" s="105" t="s">
        <v>4187</v>
      </c>
      <c r="M489" s="74" t="s">
        <v>3547</v>
      </c>
      <c r="N489" s="107" t="s">
        <v>4101</v>
      </c>
    </row>
    <row r="490" spans="1:16">
      <c r="A490" s="105" t="s">
        <v>213</v>
      </c>
      <c r="B490" s="105" t="s">
        <v>776</v>
      </c>
      <c r="C490" s="112">
        <v>46036</v>
      </c>
      <c r="D490" s="105" t="s">
        <v>805</v>
      </c>
      <c r="E490" s="106">
        <v>3.5636574074074077E-2</v>
      </c>
      <c r="F490" s="108">
        <v>769</v>
      </c>
      <c r="G490" s="192">
        <v>38.508598999999997</v>
      </c>
      <c r="H490" s="192">
        <v>9.4230889999999992</v>
      </c>
      <c r="I490" s="105" t="s">
        <v>4189</v>
      </c>
      <c r="J490" s="105" t="s">
        <v>3589</v>
      </c>
      <c r="K490" s="105" t="s">
        <v>3450</v>
      </c>
      <c r="L490" s="105" t="s">
        <v>4187</v>
      </c>
      <c r="M490" s="74" t="s">
        <v>3547</v>
      </c>
      <c r="N490" s="107" t="s">
        <v>4174</v>
      </c>
    </row>
    <row r="491" spans="1:16">
      <c r="A491" s="105" t="s">
        <v>213</v>
      </c>
      <c r="B491" s="105" t="s">
        <v>776</v>
      </c>
      <c r="C491" s="112">
        <v>46036</v>
      </c>
      <c r="D491" s="105" t="s">
        <v>810</v>
      </c>
      <c r="E491" s="106">
        <v>0.20351851851851852</v>
      </c>
      <c r="F491" s="108">
        <v>673</v>
      </c>
      <c r="G491" s="192">
        <v>38.543137000000002</v>
      </c>
      <c r="H491" s="192">
        <v>9.4233569999999993</v>
      </c>
      <c r="I491" s="105" t="s">
        <v>4190</v>
      </c>
      <c r="J491" s="105" t="s">
        <v>3589</v>
      </c>
      <c r="K491" s="105" t="s">
        <v>3450</v>
      </c>
      <c r="L491" s="105" t="s">
        <v>3216</v>
      </c>
      <c r="M491" s="74" t="s">
        <v>3547</v>
      </c>
      <c r="N491" s="107" t="s">
        <v>4096</v>
      </c>
    </row>
    <row r="492" spans="1:16">
      <c r="A492" s="105" t="s">
        <v>213</v>
      </c>
      <c r="B492" s="105" t="s">
        <v>776</v>
      </c>
      <c r="C492" s="112">
        <v>46036</v>
      </c>
      <c r="D492" s="105" t="s">
        <v>810</v>
      </c>
      <c r="E492" s="106">
        <v>0.31334490740740739</v>
      </c>
      <c r="F492" s="108">
        <v>632</v>
      </c>
      <c r="G492" s="192">
        <v>38.536596000000003</v>
      </c>
      <c r="H492" s="192">
        <v>9.4236419999999992</v>
      </c>
      <c r="I492" s="105" t="s">
        <v>4191</v>
      </c>
      <c r="J492" s="105" t="s">
        <v>3589</v>
      </c>
      <c r="K492" s="105" t="s">
        <v>3450</v>
      </c>
      <c r="L492" s="105" t="s">
        <v>2773</v>
      </c>
      <c r="M492" s="74" t="s">
        <v>3547</v>
      </c>
      <c r="N492" s="107" t="s">
        <v>4101</v>
      </c>
    </row>
    <row r="493" spans="1:16">
      <c r="A493" s="105" t="s">
        <v>213</v>
      </c>
      <c r="B493" s="105" t="s">
        <v>776</v>
      </c>
      <c r="C493" s="112">
        <v>46036</v>
      </c>
      <c r="D493" s="105" t="s">
        <v>810</v>
      </c>
      <c r="E493" s="106">
        <v>0.31334490740740739</v>
      </c>
      <c r="F493" s="108">
        <v>632</v>
      </c>
      <c r="G493" s="192">
        <v>38.536596000000003</v>
      </c>
      <c r="H493" s="192">
        <v>9.4236419999999992</v>
      </c>
      <c r="I493" s="111" t="s">
        <v>4192</v>
      </c>
      <c r="J493" s="105" t="s">
        <v>3589</v>
      </c>
      <c r="K493" s="105" t="s">
        <v>3450</v>
      </c>
      <c r="L493" s="105" t="s">
        <v>2773</v>
      </c>
      <c r="M493" s="74" t="s">
        <v>3547</v>
      </c>
      <c r="N493" s="107" t="s">
        <v>4098</v>
      </c>
    </row>
    <row r="494" spans="1:16">
      <c r="A494" s="105" t="s">
        <v>213</v>
      </c>
      <c r="B494" s="105" t="s">
        <v>776</v>
      </c>
      <c r="C494" s="112">
        <v>46036</v>
      </c>
      <c r="D494" s="105" t="s">
        <v>810</v>
      </c>
      <c r="E494" s="106">
        <v>0.31334490740740739</v>
      </c>
      <c r="F494" s="108">
        <v>632</v>
      </c>
      <c r="G494" s="192">
        <v>38.536596000000003</v>
      </c>
      <c r="H494" s="192">
        <v>9.4236419999999992</v>
      </c>
      <c r="I494" s="105" t="s">
        <v>4193</v>
      </c>
      <c r="J494" s="105" t="s">
        <v>3589</v>
      </c>
      <c r="K494" s="105" t="s">
        <v>3450</v>
      </c>
      <c r="L494" s="105" t="s">
        <v>2773</v>
      </c>
      <c r="M494" s="74" t="s">
        <v>3547</v>
      </c>
      <c r="N494" s="107" t="s">
        <v>4098</v>
      </c>
    </row>
    <row r="495" spans="1:16">
      <c r="A495" s="105" t="s">
        <v>213</v>
      </c>
      <c r="B495" s="105" t="s">
        <v>776</v>
      </c>
      <c r="C495" s="112">
        <v>46036</v>
      </c>
      <c r="D495" s="105" t="s">
        <v>810</v>
      </c>
      <c r="E495" s="106">
        <v>0.31334490740740739</v>
      </c>
      <c r="F495" s="108">
        <v>632</v>
      </c>
      <c r="G495" s="192">
        <v>38.536596000000003</v>
      </c>
      <c r="H495" s="192">
        <v>9.4236419999999992</v>
      </c>
      <c r="I495" s="105" t="s">
        <v>4194</v>
      </c>
      <c r="J495" s="105" t="s">
        <v>3589</v>
      </c>
      <c r="K495" s="105" t="s">
        <v>3450</v>
      </c>
      <c r="L495" s="105" t="s">
        <v>2773</v>
      </c>
      <c r="M495" s="74" t="s">
        <v>3547</v>
      </c>
      <c r="N495" s="133" t="s">
        <v>4096</v>
      </c>
    </row>
    <row r="496" spans="1:16">
      <c r="A496" s="105" t="s">
        <v>213</v>
      </c>
      <c r="B496" s="105" t="s">
        <v>776</v>
      </c>
      <c r="C496" s="112">
        <v>46036</v>
      </c>
      <c r="D496" s="105" t="s">
        <v>810</v>
      </c>
      <c r="E496" s="106">
        <v>0.1744212962962963</v>
      </c>
      <c r="F496" s="108">
        <v>671</v>
      </c>
      <c r="G496" s="192">
        <v>38.543767000000003</v>
      </c>
      <c r="H496" s="192">
        <v>9.4231999999999996</v>
      </c>
      <c r="I496" s="105" t="s">
        <v>4195</v>
      </c>
      <c r="J496" s="105" t="s">
        <v>3589</v>
      </c>
      <c r="K496" s="105" t="s">
        <v>3450</v>
      </c>
      <c r="L496" s="105" t="s">
        <v>2413</v>
      </c>
      <c r="M496" s="74" t="s">
        <v>3547</v>
      </c>
      <c r="N496" s="51" t="s">
        <v>4196</v>
      </c>
    </row>
    <row r="497" spans="1:14">
      <c r="A497" s="105" t="s">
        <v>213</v>
      </c>
      <c r="B497" s="105" t="s">
        <v>776</v>
      </c>
      <c r="C497" s="112">
        <v>46036</v>
      </c>
      <c r="D497" s="105" t="s">
        <v>814</v>
      </c>
      <c r="E497" s="106">
        <v>0.66767361111111112</v>
      </c>
      <c r="F497" s="108">
        <v>608</v>
      </c>
      <c r="G497" s="192">
        <v>38.562466999999998</v>
      </c>
      <c r="H497" s="192">
        <v>9.4422300000000003</v>
      </c>
      <c r="I497" s="105" t="s">
        <v>4197</v>
      </c>
      <c r="J497" s="105" t="s">
        <v>3589</v>
      </c>
      <c r="K497" s="105" t="s">
        <v>3455</v>
      </c>
      <c r="L497" s="105" t="s">
        <v>4198</v>
      </c>
      <c r="M497" s="74" t="s">
        <v>3547</v>
      </c>
      <c r="N497" s="51" t="s">
        <v>4199</v>
      </c>
    </row>
    <row r="498" spans="1:14">
      <c r="A498" s="105" t="s">
        <v>213</v>
      </c>
      <c r="B498" s="105" t="s">
        <v>776</v>
      </c>
      <c r="C498" s="112">
        <v>46036</v>
      </c>
      <c r="D498" s="105" t="s">
        <v>814</v>
      </c>
      <c r="E498" s="106">
        <v>0.66767361111111112</v>
      </c>
      <c r="F498" s="108">
        <v>608</v>
      </c>
      <c r="G498" s="192">
        <v>38.562466999999998</v>
      </c>
      <c r="H498" s="192">
        <v>9.4422300000000003</v>
      </c>
      <c r="I498" s="105" t="s">
        <v>4200</v>
      </c>
      <c r="J498" s="105" t="s">
        <v>3589</v>
      </c>
      <c r="K498" s="105" t="s">
        <v>3455</v>
      </c>
      <c r="L498" s="105" t="s">
        <v>4201</v>
      </c>
      <c r="M498" s="74" t="s">
        <v>3547</v>
      </c>
      <c r="N498" s="51" t="s">
        <v>4199</v>
      </c>
    </row>
    <row r="499" spans="1:14">
      <c r="A499" s="105" t="s">
        <v>213</v>
      </c>
      <c r="B499" s="105" t="s">
        <v>776</v>
      </c>
      <c r="C499" s="112">
        <v>46036</v>
      </c>
      <c r="D499" s="105" t="s">
        <v>814</v>
      </c>
      <c r="E499" s="106">
        <v>0.66767361111111112</v>
      </c>
      <c r="F499" s="108">
        <v>608</v>
      </c>
      <c r="G499" s="192">
        <v>38.562466999999998</v>
      </c>
      <c r="H499" s="192">
        <v>9.4422300000000003</v>
      </c>
      <c r="I499" s="105" t="s">
        <v>4202</v>
      </c>
      <c r="J499" s="105" t="s">
        <v>3589</v>
      </c>
      <c r="K499" s="105" t="s">
        <v>3450</v>
      </c>
      <c r="L499" s="105" t="s">
        <v>4203</v>
      </c>
      <c r="M499" s="74" t="s">
        <v>3547</v>
      </c>
      <c r="N499" s="51" t="s">
        <v>4204</v>
      </c>
    </row>
    <row r="500" spans="1:14">
      <c r="A500" s="105" t="s">
        <v>213</v>
      </c>
      <c r="B500" s="105" t="s">
        <v>776</v>
      </c>
      <c r="C500" s="112">
        <v>46036</v>
      </c>
      <c r="D500" s="105" t="s">
        <v>814</v>
      </c>
      <c r="E500" s="106">
        <v>0.66767361111111112</v>
      </c>
      <c r="F500" s="108">
        <v>608</v>
      </c>
      <c r="G500" s="192">
        <v>38.562466999999998</v>
      </c>
      <c r="H500" s="192">
        <v>9.4422300000000003</v>
      </c>
      <c r="I500" s="105" t="s">
        <v>4205</v>
      </c>
      <c r="J500" s="105" t="s">
        <v>3589</v>
      </c>
      <c r="K500" s="105" t="s">
        <v>3455</v>
      </c>
      <c r="L500" s="105" t="s">
        <v>4206</v>
      </c>
      <c r="M500" s="74" t="s">
        <v>3547</v>
      </c>
      <c r="N500" s="51" t="s">
        <v>3472</v>
      </c>
    </row>
    <row r="501" spans="1:14">
      <c r="A501" s="105" t="s">
        <v>213</v>
      </c>
      <c r="B501" s="105" t="s">
        <v>776</v>
      </c>
      <c r="C501" s="112">
        <v>46036</v>
      </c>
      <c r="D501" s="105" t="s">
        <v>814</v>
      </c>
      <c r="E501" s="106">
        <v>0.66767361111111112</v>
      </c>
      <c r="F501" s="108">
        <v>608</v>
      </c>
      <c r="G501" s="192">
        <v>38.562466999999998</v>
      </c>
      <c r="H501" s="192">
        <v>9.4422300000000003</v>
      </c>
      <c r="I501" s="105" t="s">
        <v>4207</v>
      </c>
      <c r="J501" s="105" t="s">
        <v>3589</v>
      </c>
      <c r="K501" s="105" t="s">
        <v>3450</v>
      </c>
      <c r="L501" s="105" t="s">
        <v>4208</v>
      </c>
      <c r="M501" s="74" t="s">
        <v>3547</v>
      </c>
      <c r="N501" s="107" t="s">
        <v>4209</v>
      </c>
    </row>
    <row r="502" spans="1:14">
      <c r="A502" s="105" t="s">
        <v>213</v>
      </c>
      <c r="B502" s="105" t="s">
        <v>776</v>
      </c>
      <c r="C502" s="112">
        <v>46036</v>
      </c>
      <c r="D502" s="105" t="s">
        <v>814</v>
      </c>
      <c r="E502" s="106">
        <v>0.66767361111111112</v>
      </c>
      <c r="F502" s="108">
        <v>608</v>
      </c>
      <c r="G502" s="192">
        <v>38.562466999999998</v>
      </c>
      <c r="H502" s="192">
        <v>9.4422300000000003</v>
      </c>
      <c r="I502" s="107" t="s">
        <v>4210</v>
      </c>
      <c r="J502" s="105" t="s">
        <v>3589</v>
      </c>
      <c r="K502" s="105" t="s">
        <v>3450</v>
      </c>
      <c r="L502" s="105" t="s">
        <v>4211</v>
      </c>
      <c r="M502" s="74" t="s">
        <v>3547</v>
      </c>
      <c r="N502" s="107" t="s">
        <v>4209</v>
      </c>
    </row>
    <row r="503" spans="1:14">
      <c r="A503" s="105" t="s">
        <v>213</v>
      </c>
      <c r="B503" s="105" t="s">
        <v>776</v>
      </c>
      <c r="C503" s="112">
        <v>46036</v>
      </c>
      <c r="D503" s="105" t="s">
        <v>814</v>
      </c>
      <c r="E503" s="106">
        <v>0.66767361111111112</v>
      </c>
      <c r="F503" s="108">
        <v>608</v>
      </c>
      <c r="G503" s="192">
        <v>38.562466999999998</v>
      </c>
      <c r="H503" s="192">
        <v>9.4422300000000003</v>
      </c>
      <c r="I503" s="107" t="s">
        <v>4212</v>
      </c>
      <c r="J503" s="105" t="s">
        <v>3589</v>
      </c>
      <c r="K503" s="105" t="s">
        <v>3450</v>
      </c>
      <c r="L503" s="105" t="s">
        <v>4206</v>
      </c>
      <c r="M503" s="74" t="s">
        <v>3547</v>
      </c>
      <c r="N503" s="107" t="s">
        <v>4101</v>
      </c>
    </row>
    <row r="504" spans="1:14">
      <c r="A504" s="105" t="s">
        <v>213</v>
      </c>
      <c r="B504" s="105" t="s">
        <v>776</v>
      </c>
      <c r="C504" s="112">
        <v>46037</v>
      </c>
      <c r="D504" s="105" t="s">
        <v>822</v>
      </c>
      <c r="E504" s="106">
        <v>0.15880787037037036</v>
      </c>
      <c r="F504" s="108">
        <v>647</v>
      </c>
      <c r="G504" s="192">
        <v>38.688243999999997</v>
      </c>
      <c r="H504" s="192">
        <v>9.4720410000000008</v>
      </c>
      <c r="I504" s="105" t="s">
        <v>4213</v>
      </c>
      <c r="J504" s="105" t="s">
        <v>3589</v>
      </c>
      <c r="K504" s="107" t="s">
        <v>3450</v>
      </c>
      <c r="L504" s="105" t="s">
        <v>4214</v>
      </c>
      <c r="M504" s="74" t="s">
        <v>3547</v>
      </c>
      <c r="N504" s="107" t="s">
        <v>4215</v>
      </c>
    </row>
    <row r="505" spans="1:14">
      <c r="A505" s="105" t="s">
        <v>213</v>
      </c>
      <c r="B505" s="105" t="s">
        <v>776</v>
      </c>
      <c r="C505" s="112">
        <v>46037</v>
      </c>
      <c r="D505" s="105" t="s">
        <v>822</v>
      </c>
      <c r="E505" s="106">
        <v>0.15880787037037036</v>
      </c>
      <c r="F505" s="108">
        <v>647</v>
      </c>
      <c r="G505" s="192">
        <v>38.688243999999997</v>
      </c>
      <c r="H505" s="192">
        <v>9.4720410000000008</v>
      </c>
      <c r="I505" s="105" t="s">
        <v>4216</v>
      </c>
      <c r="J505" s="105" t="s">
        <v>3589</v>
      </c>
      <c r="K505" s="107" t="s">
        <v>3450</v>
      </c>
      <c r="L505" s="105" t="s">
        <v>4217</v>
      </c>
      <c r="M505" s="74" t="s">
        <v>3547</v>
      </c>
      <c r="N505" s="107" t="s">
        <v>4218</v>
      </c>
    </row>
    <row r="506" spans="1:14">
      <c r="A506" s="105" t="s">
        <v>213</v>
      </c>
      <c r="B506" s="105" t="s">
        <v>776</v>
      </c>
      <c r="C506" s="112">
        <v>46037</v>
      </c>
      <c r="D506" s="105" t="s">
        <v>822</v>
      </c>
      <c r="E506" s="106">
        <v>0.15880787037037036</v>
      </c>
      <c r="F506" s="108">
        <v>647</v>
      </c>
      <c r="G506" s="192">
        <v>38.688243999999997</v>
      </c>
      <c r="H506" s="192">
        <v>9.4720410000000008</v>
      </c>
      <c r="I506" s="105" t="s">
        <v>4219</v>
      </c>
      <c r="J506" s="105" t="s">
        <v>3589</v>
      </c>
      <c r="K506" s="107" t="s">
        <v>3450</v>
      </c>
      <c r="L506" s="105" t="s">
        <v>4220</v>
      </c>
      <c r="M506" s="74" t="s">
        <v>3547</v>
      </c>
      <c r="N506" s="107" t="s">
        <v>4218</v>
      </c>
    </row>
    <row r="507" spans="1:14">
      <c r="A507" s="105" t="s">
        <v>213</v>
      </c>
      <c r="B507" s="105" t="s">
        <v>776</v>
      </c>
      <c r="C507" s="112">
        <v>46037</v>
      </c>
      <c r="D507" s="105" t="s">
        <v>822</v>
      </c>
      <c r="E507" s="106">
        <v>0.15880787037037036</v>
      </c>
      <c r="F507" s="108">
        <v>647</v>
      </c>
      <c r="G507" s="192">
        <v>38.688243999999997</v>
      </c>
      <c r="H507" s="192">
        <v>9.4720410000000008</v>
      </c>
      <c r="I507" s="105" t="s">
        <v>4221</v>
      </c>
      <c r="J507" s="105" t="s">
        <v>3589</v>
      </c>
      <c r="K507" s="107" t="s">
        <v>3455</v>
      </c>
      <c r="L507" s="105" t="s">
        <v>4222</v>
      </c>
      <c r="M507" s="74" t="s">
        <v>3547</v>
      </c>
      <c r="N507" s="51" t="s">
        <v>3472</v>
      </c>
    </row>
    <row r="508" spans="1:14">
      <c r="A508" s="105" t="s">
        <v>213</v>
      </c>
      <c r="B508" s="105" t="s">
        <v>776</v>
      </c>
      <c r="C508" s="112">
        <v>46037</v>
      </c>
      <c r="D508" s="105" t="s">
        <v>822</v>
      </c>
      <c r="E508" s="106">
        <v>0.17923611111111112</v>
      </c>
      <c r="F508" s="108">
        <v>628</v>
      </c>
      <c r="G508" s="192">
        <v>38.687432000000001</v>
      </c>
      <c r="H508" s="192">
        <v>9.4726499999999998</v>
      </c>
      <c r="I508" s="105" t="s">
        <v>4223</v>
      </c>
      <c r="J508" s="105" t="s">
        <v>3589</v>
      </c>
      <c r="K508" s="105" t="s">
        <v>3450</v>
      </c>
      <c r="L508" s="105" t="s">
        <v>1464</v>
      </c>
      <c r="M508" s="74" t="s">
        <v>3547</v>
      </c>
      <c r="N508" s="107" t="s">
        <v>4224</v>
      </c>
    </row>
    <row r="509" spans="1:14">
      <c r="A509" s="105" t="s">
        <v>213</v>
      </c>
      <c r="B509" s="105" t="s">
        <v>776</v>
      </c>
      <c r="C509" s="112">
        <v>46037</v>
      </c>
      <c r="D509" s="105" t="s">
        <v>822</v>
      </c>
      <c r="E509" s="106">
        <v>0.17923611111111112</v>
      </c>
      <c r="F509" s="108">
        <v>628</v>
      </c>
      <c r="G509" s="192">
        <v>38.687432000000001</v>
      </c>
      <c r="H509" s="192">
        <v>9.4726499999999998</v>
      </c>
      <c r="I509" s="105" t="s">
        <v>4225</v>
      </c>
      <c r="J509" s="105" t="s">
        <v>3589</v>
      </c>
      <c r="K509" s="105" t="s">
        <v>3450</v>
      </c>
      <c r="L509" s="105" t="s">
        <v>4226</v>
      </c>
      <c r="M509" s="74" t="s">
        <v>3547</v>
      </c>
      <c r="N509" s="107" t="s">
        <v>4101</v>
      </c>
    </row>
    <row r="510" spans="1:14">
      <c r="A510" s="105" t="s">
        <v>213</v>
      </c>
      <c r="B510" s="105" t="s">
        <v>776</v>
      </c>
      <c r="C510" s="112">
        <v>46037</v>
      </c>
      <c r="D510" s="105" t="s">
        <v>822</v>
      </c>
      <c r="E510" s="106">
        <v>0.17923611111111112</v>
      </c>
      <c r="F510" s="108">
        <v>628</v>
      </c>
      <c r="G510" s="192">
        <v>38.687432000000001</v>
      </c>
      <c r="H510" s="192">
        <v>9.4726499999999998</v>
      </c>
      <c r="I510" s="105" t="s">
        <v>4227</v>
      </c>
      <c r="J510" s="105" t="s">
        <v>3589</v>
      </c>
      <c r="K510" s="105" t="s">
        <v>3450</v>
      </c>
      <c r="L510" s="105" t="s">
        <v>1464</v>
      </c>
      <c r="M510" s="74" t="s">
        <v>3547</v>
      </c>
      <c r="N510" s="107" t="s">
        <v>4218</v>
      </c>
    </row>
    <row r="511" spans="1:14">
      <c r="A511" s="105" t="s">
        <v>213</v>
      </c>
      <c r="B511" s="105" t="s">
        <v>776</v>
      </c>
      <c r="C511" s="112">
        <v>46037</v>
      </c>
      <c r="D511" s="105" t="s">
        <v>830</v>
      </c>
      <c r="E511" s="106">
        <v>0.61020833333333335</v>
      </c>
      <c r="F511" s="108">
        <v>265</v>
      </c>
      <c r="G511" s="192">
        <v>38.804926000000002</v>
      </c>
      <c r="H511" s="192">
        <v>9.5804089999999995</v>
      </c>
      <c r="I511" s="105" t="s">
        <v>4228</v>
      </c>
      <c r="J511" s="105" t="s">
        <v>3427</v>
      </c>
      <c r="K511" s="105" t="s">
        <v>3455</v>
      </c>
      <c r="L511" s="105" t="s">
        <v>3528</v>
      </c>
      <c r="M511" s="74" t="s">
        <v>3547</v>
      </c>
    </row>
    <row r="512" spans="1:14">
      <c r="A512" s="105" t="s">
        <v>213</v>
      </c>
      <c r="B512" s="105" t="s">
        <v>776</v>
      </c>
      <c r="C512" s="112">
        <v>46037</v>
      </c>
      <c r="D512" s="105" t="s">
        <v>830</v>
      </c>
      <c r="E512" s="106">
        <v>0.68008101851851854</v>
      </c>
      <c r="F512" s="108">
        <v>268</v>
      </c>
      <c r="G512" s="192">
        <v>38.803463999999998</v>
      </c>
      <c r="H512" s="192">
        <v>9.5830739999999999</v>
      </c>
      <c r="I512" s="105" t="s">
        <v>4229</v>
      </c>
      <c r="J512" s="105" t="s">
        <v>1059</v>
      </c>
      <c r="K512" s="105" t="s">
        <v>3791</v>
      </c>
      <c r="L512" s="105" t="s">
        <v>3792</v>
      </c>
      <c r="M512" s="74" t="s">
        <v>1059</v>
      </c>
      <c r="N512" s="107" t="s">
        <v>3793</v>
      </c>
    </row>
    <row r="513" spans="1:14">
      <c r="A513" s="105" t="s">
        <v>213</v>
      </c>
      <c r="B513" s="105" t="s">
        <v>776</v>
      </c>
      <c r="C513" s="112">
        <v>46037</v>
      </c>
      <c r="D513" s="105" t="s">
        <v>830</v>
      </c>
      <c r="E513" s="106">
        <v>0.68008101851851854</v>
      </c>
      <c r="F513" s="108">
        <v>268</v>
      </c>
      <c r="G513" s="192">
        <v>38.803463999999998</v>
      </c>
      <c r="H513" s="192">
        <v>9.5830739999999999</v>
      </c>
      <c r="I513" s="105" t="s">
        <v>4230</v>
      </c>
      <c r="J513" s="105" t="s">
        <v>1059</v>
      </c>
      <c r="K513" s="105" t="s">
        <v>3791</v>
      </c>
      <c r="L513" s="105" t="s">
        <v>3792</v>
      </c>
      <c r="M513" s="74" t="s">
        <v>1059</v>
      </c>
      <c r="N513" s="107" t="s">
        <v>3793</v>
      </c>
    </row>
    <row r="514" spans="1:14">
      <c r="A514" s="105" t="s">
        <v>213</v>
      </c>
      <c r="B514" s="105" t="s">
        <v>776</v>
      </c>
      <c r="C514" s="112">
        <v>46037</v>
      </c>
      <c r="D514" s="105" t="s">
        <v>830</v>
      </c>
      <c r="E514" s="106">
        <v>0.68008101851851854</v>
      </c>
      <c r="F514" s="108">
        <v>268</v>
      </c>
      <c r="G514" s="192">
        <v>38.803463999999998</v>
      </c>
      <c r="H514" s="192">
        <v>9.5830739999999999</v>
      </c>
      <c r="I514" s="105" t="s">
        <v>4231</v>
      </c>
      <c r="J514" s="105" t="s">
        <v>1059</v>
      </c>
      <c r="K514" s="105" t="s">
        <v>3791</v>
      </c>
      <c r="L514" s="105" t="s">
        <v>3792</v>
      </c>
      <c r="M514" s="74" t="s">
        <v>1059</v>
      </c>
      <c r="N514" s="107" t="s">
        <v>3793</v>
      </c>
    </row>
    <row r="515" spans="1:14">
      <c r="A515" s="105" t="s">
        <v>213</v>
      </c>
      <c r="B515" s="105" t="s">
        <v>776</v>
      </c>
      <c r="C515" s="112">
        <v>46037</v>
      </c>
      <c r="D515" s="105" t="s">
        <v>830</v>
      </c>
      <c r="E515" s="106">
        <v>0.68008101851851854</v>
      </c>
      <c r="F515" s="108">
        <v>268</v>
      </c>
      <c r="G515" s="192">
        <v>38.803463999999998</v>
      </c>
      <c r="H515" s="192">
        <v>9.5830739999999999</v>
      </c>
      <c r="I515" s="105" t="s">
        <v>4232</v>
      </c>
      <c r="J515" s="105" t="s">
        <v>1059</v>
      </c>
      <c r="K515" s="105" t="s">
        <v>3797</v>
      </c>
      <c r="L515" s="105" t="s">
        <v>329</v>
      </c>
      <c r="M515" s="74" t="s">
        <v>1059</v>
      </c>
      <c r="N515" s="107" t="s">
        <v>3991</v>
      </c>
    </row>
    <row r="516" spans="1:14">
      <c r="A516" s="105" t="s">
        <v>213</v>
      </c>
      <c r="B516" s="105" t="s">
        <v>776</v>
      </c>
      <c r="C516" s="112">
        <v>46037</v>
      </c>
      <c r="D516" s="105" t="s">
        <v>830</v>
      </c>
      <c r="E516" s="106">
        <v>0.68008101851851854</v>
      </c>
      <c r="F516" s="108">
        <v>268</v>
      </c>
      <c r="G516" s="192">
        <v>38.803463999999998</v>
      </c>
      <c r="H516" s="192">
        <v>9.5830739999999999</v>
      </c>
      <c r="I516" s="105" t="s">
        <v>4233</v>
      </c>
      <c r="J516" s="105" t="s">
        <v>1059</v>
      </c>
      <c r="K516" s="105" t="s">
        <v>3797</v>
      </c>
      <c r="L516" s="105" t="s">
        <v>329</v>
      </c>
      <c r="M516" s="74" t="s">
        <v>1059</v>
      </c>
      <c r="N516" s="107" t="s">
        <v>3991</v>
      </c>
    </row>
    <row r="517" spans="1:14">
      <c r="A517" s="105" t="s">
        <v>213</v>
      </c>
      <c r="B517" s="105" t="s">
        <v>776</v>
      </c>
      <c r="C517" s="112">
        <v>46037</v>
      </c>
      <c r="D517" s="105" t="s">
        <v>830</v>
      </c>
      <c r="E517" s="106">
        <v>0.68008101851851854</v>
      </c>
      <c r="F517" s="108">
        <v>268</v>
      </c>
      <c r="G517" s="192">
        <v>38.803463999999998</v>
      </c>
      <c r="H517" s="192">
        <v>9.5830739999999999</v>
      </c>
      <c r="I517" s="105" t="s">
        <v>4234</v>
      </c>
      <c r="J517" s="105" t="s">
        <v>1059</v>
      </c>
      <c r="K517" s="105" t="s">
        <v>3797</v>
      </c>
      <c r="L517" s="105" t="s">
        <v>3874</v>
      </c>
      <c r="M517" s="74" t="s">
        <v>1059</v>
      </c>
      <c r="N517" s="107" t="s">
        <v>4136</v>
      </c>
    </row>
    <row r="518" spans="1:14">
      <c r="A518" s="105" t="s">
        <v>213</v>
      </c>
      <c r="B518" s="105" t="s">
        <v>776</v>
      </c>
      <c r="C518" s="112">
        <v>46037</v>
      </c>
      <c r="D518" s="105" t="s">
        <v>830</v>
      </c>
      <c r="E518" s="106">
        <v>0.83657407407407403</v>
      </c>
      <c r="F518" s="108">
        <v>213</v>
      </c>
      <c r="G518" s="192">
        <v>38.790030999999999</v>
      </c>
      <c r="H518" s="192">
        <v>9.5941189999999992</v>
      </c>
      <c r="I518" s="105" t="s">
        <v>4235</v>
      </c>
      <c r="J518" s="105" t="s">
        <v>1059</v>
      </c>
      <c r="K518" s="105" t="s">
        <v>3791</v>
      </c>
      <c r="L518" s="105" t="s">
        <v>3792</v>
      </c>
      <c r="M518" s="74" t="s">
        <v>1059</v>
      </c>
      <c r="N518" s="107" t="s">
        <v>3793</v>
      </c>
    </row>
    <row r="519" spans="1:14">
      <c r="A519" s="105" t="s">
        <v>213</v>
      </c>
      <c r="B519" s="105" t="s">
        <v>776</v>
      </c>
      <c r="C519" s="112">
        <v>46037</v>
      </c>
      <c r="D519" s="105" t="s">
        <v>830</v>
      </c>
      <c r="E519" s="106">
        <v>0.83657407407407403</v>
      </c>
      <c r="F519" s="108">
        <v>213</v>
      </c>
      <c r="G519" s="192">
        <v>38.790030999999999</v>
      </c>
      <c r="H519" s="192">
        <v>9.5941189999999992</v>
      </c>
      <c r="I519" s="105" t="s">
        <v>4236</v>
      </c>
      <c r="J519" s="105" t="s">
        <v>1059</v>
      </c>
      <c r="K519" s="105" t="s">
        <v>3791</v>
      </c>
      <c r="L519" s="105" t="s">
        <v>3792</v>
      </c>
      <c r="M519" s="74" t="s">
        <v>1059</v>
      </c>
      <c r="N519" s="107" t="s">
        <v>3793</v>
      </c>
    </row>
    <row r="520" spans="1:14">
      <c r="A520" s="105" t="s">
        <v>213</v>
      </c>
      <c r="B520" s="105" t="s">
        <v>776</v>
      </c>
      <c r="C520" s="112">
        <v>46037</v>
      </c>
      <c r="D520" s="105" t="s">
        <v>830</v>
      </c>
      <c r="E520" s="106">
        <v>0.83657407407407403</v>
      </c>
      <c r="F520" s="108">
        <v>213</v>
      </c>
      <c r="G520" s="192">
        <v>38.790030999999999</v>
      </c>
      <c r="H520" s="192">
        <v>9.5941189999999992</v>
      </c>
      <c r="I520" s="105" t="s">
        <v>4237</v>
      </c>
      <c r="J520" s="105" t="s">
        <v>1059</v>
      </c>
      <c r="K520" s="105" t="s">
        <v>3791</v>
      </c>
      <c r="L520" s="105" t="s">
        <v>3792</v>
      </c>
      <c r="M520" s="74" t="s">
        <v>1059</v>
      </c>
      <c r="N520" s="107" t="s">
        <v>3793</v>
      </c>
    </row>
    <row r="521" spans="1:14">
      <c r="A521" s="105" t="s">
        <v>213</v>
      </c>
      <c r="B521" s="105" t="s">
        <v>776</v>
      </c>
      <c r="C521" s="112">
        <v>46037</v>
      </c>
      <c r="D521" s="105" t="s">
        <v>830</v>
      </c>
      <c r="E521" s="106">
        <v>0.83657407407407403</v>
      </c>
      <c r="F521" s="108">
        <v>213</v>
      </c>
      <c r="G521" s="192">
        <v>38.790030999999999</v>
      </c>
      <c r="H521" s="192">
        <v>9.5941189999999992</v>
      </c>
      <c r="I521" s="105" t="s">
        <v>4238</v>
      </c>
      <c r="J521" s="105" t="s">
        <v>1059</v>
      </c>
      <c r="K521" s="105" t="s">
        <v>3797</v>
      </c>
      <c r="L521" s="105" t="s">
        <v>329</v>
      </c>
      <c r="M521" s="74" t="s">
        <v>1059</v>
      </c>
      <c r="N521" s="107" t="s">
        <v>3991</v>
      </c>
    </row>
    <row r="522" spans="1:14">
      <c r="A522" s="105" t="s">
        <v>213</v>
      </c>
      <c r="B522" s="105" t="s">
        <v>776</v>
      </c>
      <c r="C522" s="112">
        <v>46037</v>
      </c>
      <c r="D522" s="105" t="s">
        <v>830</v>
      </c>
      <c r="E522" s="106">
        <v>0.83657407407407403</v>
      </c>
      <c r="F522" s="108">
        <v>213</v>
      </c>
      <c r="G522" s="192">
        <v>38.790030999999999</v>
      </c>
      <c r="H522" s="192">
        <v>9.5941189999999992</v>
      </c>
      <c r="I522" s="105" t="s">
        <v>4239</v>
      </c>
      <c r="J522" s="105" t="s">
        <v>1059</v>
      </c>
      <c r="K522" s="105" t="s">
        <v>3797</v>
      </c>
      <c r="L522" s="105" t="s">
        <v>329</v>
      </c>
      <c r="M522" s="74" t="s">
        <v>1059</v>
      </c>
      <c r="N522" s="107" t="s">
        <v>3991</v>
      </c>
    </row>
    <row r="523" spans="1:14">
      <c r="A523" s="105" t="s">
        <v>213</v>
      </c>
      <c r="B523" s="105" t="s">
        <v>776</v>
      </c>
      <c r="C523" s="112">
        <v>46037</v>
      </c>
      <c r="D523" s="105" t="s">
        <v>830</v>
      </c>
      <c r="E523" s="106">
        <v>0.83657407407407403</v>
      </c>
      <c r="F523" s="108">
        <v>213</v>
      </c>
      <c r="G523" s="192">
        <v>38.790030999999999</v>
      </c>
      <c r="H523" s="192">
        <v>9.5941189999999992</v>
      </c>
      <c r="I523" s="105" t="s">
        <v>4240</v>
      </c>
      <c r="J523" s="105" t="s">
        <v>1059</v>
      </c>
      <c r="K523" s="105" t="s">
        <v>3797</v>
      </c>
      <c r="L523" s="105" t="s">
        <v>3874</v>
      </c>
      <c r="M523" s="74" t="s">
        <v>1059</v>
      </c>
      <c r="N523" s="107" t="s">
        <v>4241</v>
      </c>
    </row>
    <row r="524" spans="1:14">
      <c r="A524" s="105" t="s">
        <v>213</v>
      </c>
      <c r="B524" s="105" t="s">
        <v>776</v>
      </c>
      <c r="C524" s="112">
        <v>46037</v>
      </c>
      <c r="D524" s="105" t="s">
        <v>830</v>
      </c>
      <c r="E524" s="106">
        <v>0.79696759259259264</v>
      </c>
      <c r="F524" s="108">
        <v>229</v>
      </c>
      <c r="G524" s="192">
        <v>38.791060000000002</v>
      </c>
      <c r="H524" s="192">
        <v>9.5933550000000007</v>
      </c>
      <c r="I524" s="105" t="s">
        <v>4242</v>
      </c>
      <c r="J524" s="105" t="s">
        <v>3589</v>
      </c>
      <c r="K524" s="105" t="s">
        <v>3450</v>
      </c>
      <c r="L524" s="105" t="s">
        <v>1235</v>
      </c>
      <c r="M524" s="74" t="s">
        <v>3547</v>
      </c>
      <c r="N524" s="107" t="s">
        <v>4243</v>
      </c>
    </row>
    <row r="525" spans="1:14">
      <c r="A525" s="105" t="s">
        <v>213</v>
      </c>
      <c r="B525" s="105" t="s">
        <v>776</v>
      </c>
      <c r="C525" s="112">
        <v>46037</v>
      </c>
      <c r="D525" s="105" t="s">
        <v>830</v>
      </c>
      <c r="E525" s="106">
        <v>0.79696759259259264</v>
      </c>
      <c r="F525" s="108">
        <v>229</v>
      </c>
      <c r="G525" s="192">
        <v>38.791060000000002</v>
      </c>
      <c r="H525" s="192">
        <v>9.5933550000000007</v>
      </c>
      <c r="I525" s="105" t="s">
        <v>4244</v>
      </c>
      <c r="J525" s="105" t="s">
        <v>3589</v>
      </c>
      <c r="K525" s="105" t="s">
        <v>3450</v>
      </c>
      <c r="L525" s="105" t="s">
        <v>1235</v>
      </c>
      <c r="M525" s="74" t="s">
        <v>3547</v>
      </c>
      <c r="N525" s="107" t="s">
        <v>4245</v>
      </c>
    </row>
    <row r="526" spans="1:14">
      <c r="A526" s="105" t="s">
        <v>213</v>
      </c>
      <c r="B526" s="105" t="s">
        <v>776</v>
      </c>
      <c r="C526" s="112">
        <v>46037</v>
      </c>
      <c r="D526" s="105" t="s">
        <v>830</v>
      </c>
      <c r="E526" s="106">
        <v>0.79696759259259264</v>
      </c>
      <c r="F526" s="108">
        <v>229</v>
      </c>
      <c r="G526" s="192">
        <v>38.791060000000002</v>
      </c>
      <c r="H526" s="192">
        <v>9.5933550000000007</v>
      </c>
      <c r="I526" s="105" t="s">
        <v>4246</v>
      </c>
      <c r="J526" s="105" t="s">
        <v>3589</v>
      </c>
      <c r="K526" s="105" t="s">
        <v>3450</v>
      </c>
      <c r="L526" s="105" t="s">
        <v>1235</v>
      </c>
      <c r="M526" s="74" t="s">
        <v>3547</v>
      </c>
      <c r="N526" s="107" t="s">
        <v>4245</v>
      </c>
    </row>
    <row r="527" spans="1:14">
      <c r="A527" s="105" t="s">
        <v>213</v>
      </c>
      <c r="B527" s="105" t="s">
        <v>776</v>
      </c>
      <c r="C527" s="112">
        <v>46037</v>
      </c>
      <c r="D527" s="105" t="s">
        <v>830</v>
      </c>
      <c r="E527" s="106">
        <v>0.79696759259259264</v>
      </c>
      <c r="F527" s="108">
        <v>229</v>
      </c>
      <c r="G527" s="192">
        <v>38.791060000000002</v>
      </c>
      <c r="H527" s="192">
        <v>9.5933550000000007</v>
      </c>
      <c r="I527" s="105" t="s">
        <v>4247</v>
      </c>
      <c r="J527" s="105" t="s">
        <v>3589</v>
      </c>
      <c r="K527" s="105" t="s">
        <v>3450</v>
      </c>
      <c r="L527" s="105" t="s">
        <v>1235</v>
      </c>
      <c r="M527" s="74" t="s">
        <v>3547</v>
      </c>
      <c r="N527" s="107" t="s">
        <v>4101</v>
      </c>
    </row>
    <row r="528" spans="1:14">
      <c r="A528" s="105" t="s">
        <v>213</v>
      </c>
      <c r="B528" s="105" t="s">
        <v>776</v>
      </c>
      <c r="C528" s="112">
        <v>46039</v>
      </c>
      <c r="D528" s="105" t="s">
        <v>843</v>
      </c>
      <c r="E528" s="106">
        <v>0.78263888888888888</v>
      </c>
      <c r="F528" s="108">
        <v>561</v>
      </c>
      <c r="G528" s="192">
        <v>38.927548000000002</v>
      </c>
      <c r="H528" s="192">
        <v>9.7870620000000006</v>
      </c>
      <c r="I528" s="105" t="s">
        <v>4248</v>
      </c>
      <c r="J528" s="105" t="s">
        <v>3589</v>
      </c>
      <c r="K528" s="105" t="s">
        <v>3450</v>
      </c>
      <c r="L528" s="105" t="s">
        <v>2411</v>
      </c>
      <c r="M528" s="74" t="s">
        <v>3547</v>
      </c>
      <c r="N528" s="107" t="s">
        <v>4101</v>
      </c>
    </row>
    <row r="529" spans="1:14">
      <c r="A529" s="105" t="s">
        <v>213</v>
      </c>
      <c r="B529" s="105" t="s">
        <v>776</v>
      </c>
      <c r="C529" s="112">
        <v>46039</v>
      </c>
      <c r="D529" s="105" t="s">
        <v>843</v>
      </c>
      <c r="E529" s="106">
        <v>0.78263888888888888</v>
      </c>
      <c r="F529" s="108">
        <v>561</v>
      </c>
      <c r="G529" s="192">
        <v>38.927548000000002</v>
      </c>
      <c r="H529" s="192">
        <v>9.7870620000000006</v>
      </c>
      <c r="I529" s="105" t="s">
        <v>4249</v>
      </c>
      <c r="J529" s="105" t="s">
        <v>3589</v>
      </c>
      <c r="K529" s="105" t="s">
        <v>3450</v>
      </c>
      <c r="L529" s="105" t="s">
        <v>2411</v>
      </c>
      <c r="M529" s="74" t="s">
        <v>3547</v>
      </c>
      <c r="N529" s="107" t="s">
        <v>4101</v>
      </c>
    </row>
    <row r="530" spans="1:14">
      <c r="A530" s="105" t="s">
        <v>213</v>
      </c>
      <c r="B530" s="105" t="s">
        <v>776</v>
      </c>
      <c r="C530" s="112">
        <v>46039</v>
      </c>
      <c r="D530" s="105" t="s">
        <v>843</v>
      </c>
      <c r="E530" s="106">
        <v>0.78263888888888888</v>
      </c>
      <c r="F530" s="108">
        <v>561</v>
      </c>
      <c r="G530" s="192">
        <v>38.927548000000002</v>
      </c>
      <c r="H530" s="192">
        <v>9.7870620000000006</v>
      </c>
      <c r="I530" s="105" t="s">
        <v>4250</v>
      </c>
      <c r="J530" s="105" t="s">
        <v>3589</v>
      </c>
      <c r="K530" s="105" t="s">
        <v>3455</v>
      </c>
      <c r="L530" s="105" t="s">
        <v>2411</v>
      </c>
      <c r="M530" s="74" t="s">
        <v>3547</v>
      </c>
      <c r="N530" s="107" t="s">
        <v>4251</v>
      </c>
    </row>
    <row r="531" spans="1:14">
      <c r="A531" s="105" t="s">
        <v>213</v>
      </c>
      <c r="B531" s="105" t="s">
        <v>776</v>
      </c>
      <c r="C531" s="112">
        <v>46039</v>
      </c>
      <c r="D531" s="105" t="s">
        <v>843</v>
      </c>
      <c r="E531" s="106">
        <v>0.78263888888888888</v>
      </c>
      <c r="F531" s="108">
        <v>561</v>
      </c>
      <c r="G531" s="192">
        <v>38.927548000000002</v>
      </c>
      <c r="H531" s="192">
        <v>9.7870620000000006</v>
      </c>
      <c r="I531" s="105" t="s">
        <v>4252</v>
      </c>
      <c r="J531" s="105" t="s">
        <v>3589</v>
      </c>
      <c r="K531" s="105" t="s">
        <v>3455</v>
      </c>
      <c r="L531" s="105" t="s">
        <v>2411</v>
      </c>
      <c r="M531" s="74" t="s">
        <v>3547</v>
      </c>
      <c r="N531" s="107" t="s">
        <v>4251</v>
      </c>
    </row>
    <row r="532" spans="1:14">
      <c r="A532" s="105" t="s">
        <v>213</v>
      </c>
      <c r="B532" s="105" t="s">
        <v>848</v>
      </c>
      <c r="C532" s="112">
        <v>46040</v>
      </c>
      <c r="D532" s="105" t="s">
        <v>849</v>
      </c>
      <c r="E532" s="106">
        <v>0.11041666666666666</v>
      </c>
      <c r="F532" s="108">
        <v>1929</v>
      </c>
      <c r="G532" s="192">
        <v>39.084409999999998</v>
      </c>
      <c r="H532" s="192">
        <v>10.191789999999999</v>
      </c>
      <c r="I532" s="105" t="s">
        <v>4253</v>
      </c>
      <c r="J532" s="105" t="s">
        <v>3589</v>
      </c>
      <c r="K532" s="105" t="s">
        <v>3455</v>
      </c>
      <c r="L532" s="105" t="s">
        <v>3373</v>
      </c>
      <c r="M532" s="74" t="s">
        <v>3591</v>
      </c>
      <c r="N532" s="51" t="s">
        <v>4254</v>
      </c>
    </row>
    <row r="533" spans="1:14">
      <c r="A533" s="105" t="s">
        <v>213</v>
      </c>
      <c r="B533" s="105" t="s">
        <v>848</v>
      </c>
      <c r="C533" s="112">
        <v>46040</v>
      </c>
      <c r="D533" s="105" t="s">
        <v>853</v>
      </c>
      <c r="E533" s="106">
        <v>0.45060185185185186</v>
      </c>
      <c r="F533" s="108">
        <v>1602</v>
      </c>
      <c r="G533" s="192">
        <v>39.12162</v>
      </c>
      <c r="H533" s="192">
        <v>10.19036</v>
      </c>
      <c r="I533" s="105" t="s">
        <v>4255</v>
      </c>
      <c r="J533" s="105" t="s">
        <v>1070</v>
      </c>
      <c r="M533" s="74" t="s">
        <v>4256</v>
      </c>
      <c r="N533" s="107" t="s">
        <v>3465</v>
      </c>
    </row>
    <row r="534" spans="1:14">
      <c r="A534" s="105" t="s">
        <v>213</v>
      </c>
      <c r="B534" s="105" t="s">
        <v>848</v>
      </c>
      <c r="C534" s="112">
        <v>46044</v>
      </c>
      <c r="D534" s="105" t="s">
        <v>861</v>
      </c>
      <c r="E534" s="106">
        <v>0.7</v>
      </c>
      <c r="F534" s="108">
        <v>2243</v>
      </c>
      <c r="G534" s="192">
        <v>39.048310000000001</v>
      </c>
      <c r="H534" s="192">
        <v>10.264150000000001</v>
      </c>
      <c r="I534" s="105" t="s">
        <v>4257</v>
      </c>
      <c r="J534" s="105" t="s">
        <v>3589</v>
      </c>
      <c r="K534" s="105" t="s">
        <v>3455</v>
      </c>
      <c r="L534" s="105" t="s">
        <v>4258</v>
      </c>
      <c r="M534" s="74" t="s">
        <v>3591</v>
      </c>
      <c r="N534" s="107" t="s">
        <v>4259</v>
      </c>
    </row>
    <row r="535" spans="1:14">
      <c r="A535" s="105" t="s">
        <v>213</v>
      </c>
      <c r="B535" s="105" t="s">
        <v>848</v>
      </c>
      <c r="C535" s="112">
        <v>46044</v>
      </c>
      <c r="D535" s="105" t="s">
        <v>861</v>
      </c>
      <c r="E535" s="106">
        <v>0.7</v>
      </c>
      <c r="F535" s="108">
        <v>2243</v>
      </c>
      <c r="G535" s="192">
        <v>39.048310000000001</v>
      </c>
      <c r="H535" s="192">
        <v>10.264150000000001</v>
      </c>
      <c r="I535" s="105" t="s">
        <v>4260</v>
      </c>
      <c r="J535" s="105" t="s">
        <v>3589</v>
      </c>
      <c r="K535" s="105" t="s">
        <v>3455</v>
      </c>
      <c r="L535" s="105" t="s">
        <v>4258</v>
      </c>
      <c r="M535" s="74" t="s">
        <v>3591</v>
      </c>
      <c r="N535" s="107" t="s">
        <v>4261</v>
      </c>
    </row>
    <row r="536" spans="1:14">
      <c r="A536" s="105" t="s">
        <v>213</v>
      </c>
      <c r="B536" s="105" t="s">
        <v>848</v>
      </c>
      <c r="C536" s="112">
        <v>46044</v>
      </c>
      <c r="D536" s="105" t="s">
        <v>861</v>
      </c>
      <c r="E536" s="106">
        <v>0.7</v>
      </c>
      <c r="F536" s="108">
        <v>2243</v>
      </c>
      <c r="G536" s="192">
        <v>39.048310000000001</v>
      </c>
      <c r="H536" s="192">
        <v>10.264150000000001</v>
      </c>
      <c r="I536" s="105" t="s">
        <v>4262</v>
      </c>
      <c r="J536" s="105" t="s">
        <v>3589</v>
      </c>
      <c r="K536" s="105" t="s">
        <v>3455</v>
      </c>
      <c r="L536" s="105" t="s">
        <v>4258</v>
      </c>
      <c r="M536" s="74" t="s">
        <v>3591</v>
      </c>
      <c r="N536" s="107" t="s">
        <v>4261</v>
      </c>
    </row>
    <row r="537" spans="1:14">
      <c r="A537" s="105" t="s">
        <v>213</v>
      </c>
      <c r="B537" s="105" t="s">
        <v>848</v>
      </c>
      <c r="C537" s="112">
        <v>46044</v>
      </c>
      <c r="D537" s="105" t="s">
        <v>861</v>
      </c>
      <c r="E537" s="106">
        <v>0.78402777777777777</v>
      </c>
      <c r="F537" s="108">
        <v>2114</v>
      </c>
      <c r="G537" s="192">
        <v>39.051990750999998</v>
      </c>
      <c r="H537" s="192">
        <v>10.266675218</v>
      </c>
      <c r="I537" s="105" t="s">
        <v>4263</v>
      </c>
      <c r="J537" s="105" t="s">
        <v>3589</v>
      </c>
      <c r="K537" s="105" t="s">
        <v>3450</v>
      </c>
      <c r="L537" s="105" t="s">
        <v>3387</v>
      </c>
      <c r="M537" s="74" t="s">
        <v>3591</v>
      </c>
      <c r="N537" s="107" t="s">
        <v>4264</v>
      </c>
    </row>
    <row r="538" spans="1:14">
      <c r="A538" s="105" t="s">
        <v>213</v>
      </c>
      <c r="B538" s="105" t="s">
        <v>881</v>
      </c>
      <c r="C538" s="112">
        <v>46046</v>
      </c>
      <c r="D538" s="105" t="s">
        <v>882</v>
      </c>
      <c r="E538" s="106">
        <v>46046.686228009261</v>
      </c>
      <c r="F538" s="108">
        <v>1621</v>
      </c>
      <c r="G538" s="192">
        <v>39.216990000000003</v>
      </c>
      <c r="H538" s="192">
        <v>10.331390000000001</v>
      </c>
      <c r="I538" s="105" t="s">
        <v>4265</v>
      </c>
      <c r="J538" s="105" t="s">
        <v>3589</v>
      </c>
      <c r="K538" s="105" t="s">
        <v>3450</v>
      </c>
      <c r="L538" s="105" t="s">
        <v>3424</v>
      </c>
      <c r="M538" s="74" t="s">
        <v>3547</v>
      </c>
      <c r="N538" s="107" t="s">
        <v>3991</v>
      </c>
    </row>
    <row r="539" spans="1:14">
      <c r="A539" s="105" t="s">
        <v>213</v>
      </c>
      <c r="B539" s="105" t="s">
        <v>881</v>
      </c>
      <c r="C539" s="112">
        <v>46046</v>
      </c>
      <c r="D539" s="105" t="s">
        <v>882</v>
      </c>
      <c r="E539" s="106">
        <v>46046.686228009261</v>
      </c>
      <c r="F539" s="108">
        <v>1621</v>
      </c>
      <c r="G539" s="192">
        <v>39.216990000000003</v>
      </c>
      <c r="H539" s="192">
        <v>10.331390000000001</v>
      </c>
      <c r="I539" s="105" t="s">
        <v>4266</v>
      </c>
      <c r="J539" s="105" t="s">
        <v>3589</v>
      </c>
      <c r="K539" s="105" t="s">
        <v>3455</v>
      </c>
      <c r="L539" s="105" t="s">
        <v>3424</v>
      </c>
      <c r="M539" s="74" t="s">
        <v>3547</v>
      </c>
      <c r="N539" s="107" t="s">
        <v>4251</v>
      </c>
    </row>
    <row r="540" spans="1:14">
      <c r="A540" s="105" t="s">
        <v>213</v>
      </c>
      <c r="B540" s="105" t="s">
        <v>881</v>
      </c>
      <c r="C540" s="112">
        <v>46046</v>
      </c>
      <c r="D540" s="105" t="s">
        <v>882</v>
      </c>
      <c r="E540" s="106">
        <v>46046.686228009261</v>
      </c>
      <c r="F540" s="108">
        <v>1621</v>
      </c>
      <c r="G540" s="192">
        <v>39.216990000000003</v>
      </c>
      <c r="H540" s="192">
        <v>10.331390000000001</v>
      </c>
      <c r="I540" s="105" t="s">
        <v>4267</v>
      </c>
      <c r="J540" s="105" t="s">
        <v>3589</v>
      </c>
      <c r="K540" s="105" t="s">
        <v>3450</v>
      </c>
      <c r="L540" s="105" t="s">
        <v>3424</v>
      </c>
      <c r="M540" s="74" t="s">
        <v>3547</v>
      </c>
      <c r="N540" s="107" t="s">
        <v>3991</v>
      </c>
    </row>
    <row r="541" spans="1:14">
      <c r="A541" s="105" t="s">
        <v>213</v>
      </c>
      <c r="B541" s="105" t="s">
        <v>881</v>
      </c>
      <c r="C541" s="112">
        <v>46046</v>
      </c>
      <c r="D541" s="105" t="s">
        <v>882</v>
      </c>
      <c r="E541" s="106">
        <v>46046.686228009261</v>
      </c>
      <c r="F541" s="108">
        <v>1621</v>
      </c>
      <c r="G541" s="192">
        <v>39.216990000000003</v>
      </c>
      <c r="H541" s="192">
        <v>10.331390000000001</v>
      </c>
      <c r="I541" s="105" t="s">
        <v>4268</v>
      </c>
      <c r="J541" s="105" t="s">
        <v>3589</v>
      </c>
      <c r="K541" s="105" t="s">
        <v>3455</v>
      </c>
      <c r="L541" s="105" t="s">
        <v>3424</v>
      </c>
      <c r="M541" s="74" t="s">
        <v>3547</v>
      </c>
      <c r="N541" s="107" t="s">
        <v>4251</v>
      </c>
    </row>
    <row r="542" spans="1:14">
      <c r="A542" s="105" t="s">
        <v>213</v>
      </c>
      <c r="B542" s="105" t="s">
        <v>881</v>
      </c>
      <c r="C542" s="112">
        <v>46046</v>
      </c>
      <c r="D542" s="105" t="s">
        <v>882</v>
      </c>
      <c r="E542" s="106">
        <v>0.71614583333333337</v>
      </c>
      <c r="F542" s="108">
        <v>1608</v>
      </c>
      <c r="G542" s="192">
        <v>39.218640000000001</v>
      </c>
      <c r="H542" s="192">
        <v>10.33098</v>
      </c>
      <c r="I542" s="105" t="s">
        <v>4269</v>
      </c>
      <c r="J542" s="105" t="s">
        <v>3427</v>
      </c>
      <c r="K542" s="105" t="s">
        <v>3455</v>
      </c>
      <c r="L542" s="105" t="s">
        <v>3428</v>
      </c>
      <c r="M542" s="74" t="s">
        <v>3547</v>
      </c>
      <c r="N542" s="107" t="s">
        <v>4251</v>
      </c>
    </row>
    <row r="543" spans="1:14">
      <c r="A543" s="105" t="s">
        <v>213</v>
      </c>
      <c r="B543" s="105" t="s">
        <v>881</v>
      </c>
      <c r="C543" s="112">
        <v>46046</v>
      </c>
      <c r="D543" s="105" t="s">
        <v>886</v>
      </c>
      <c r="E543" s="106">
        <v>0.94861111111111107</v>
      </c>
      <c r="F543" s="108">
        <v>2100</v>
      </c>
      <c r="G543" s="192">
        <v>39.273694841699999</v>
      </c>
      <c r="H543" s="192">
        <v>10.3478912748</v>
      </c>
      <c r="I543" s="155" t="s">
        <v>4270</v>
      </c>
      <c r="J543" s="105" t="s">
        <v>3427</v>
      </c>
      <c r="K543" s="105" t="s">
        <v>3455</v>
      </c>
      <c r="L543" s="105" t="s">
        <v>4271</v>
      </c>
      <c r="M543" s="74" t="s">
        <v>3591</v>
      </c>
      <c r="N543" s="107" t="s">
        <v>3991</v>
      </c>
    </row>
    <row r="544" spans="1:14">
      <c r="A544" s="105" t="s">
        <v>213</v>
      </c>
      <c r="B544" s="105" t="s">
        <v>881</v>
      </c>
      <c r="C544" s="112">
        <v>46047</v>
      </c>
      <c r="D544" s="105" t="s">
        <v>886</v>
      </c>
      <c r="E544" s="106">
        <v>0.125</v>
      </c>
      <c r="F544" s="108">
        <v>1718</v>
      </c>
      <c r="G544" s="192">
        <v>39.283375916499999</v>
      </c>
      <c r="H544" s="192">
        <v>10.3378985221</v>
      </c>
      <c r="I544" s="105" t="s">
        <v>4272</v>
      </c>
      <c r="J544" s="105" t="s">
        <v>3427</v>
      </c>
      <c r="K544" s="105" t="s">
        <v>3455</v>
      </c>
      <c r="L544" s="105" t="s">
        <v>4273</v>
      </c>
      <c r="M544" s="74" t="s">
        <v>3547</v>
      </c>
      <c r="N544" s="107" t="s">
        <v>4251</v>
      </c>
    </row>
    <row r="545" spans="1:13">
      <c r="A545" s="105" t="s">
        <v>213</v>
      </c>
      <c r="B545" s="105" t="s">
        <v>881</v>
      </c>
      <c r="C545" s="112">
        <v>46047</v>
      </c>
      <c r="D545" s="105" t="s">
        <v>886</v>
      </c>
      <c r="E545" s="106">
        <v>0.14652777777777778</v>
      </c>
      <c r="F545" s="108">
        <v>1693</v>
      </c>
      <c r="G545" s="192">
        <v>39.283768988600002</v>
      </c>
      <c r="H545" s="192">
        <v>10.337287891200001</v>
      </c>
      <c r="I545" s="105" t="s">
        <v>4274</v>
      </c>
      <c r="J545" s="105" t="s">
        <v>1070</v>
      </c>
      <c r="M545" s="74" t="s">
        <v>4275</v>
      </c>
    </row>
    <row r="1065" spans="17:17">
      <c r="Q1065" s="104">
        <v>0</v>
      </c>
    </row>
    <row r="1083" spans="17:273">
      <c r="Q1083" s="104" t="s">
        <v>4276</v>
      </c>
      <c r="JM1083" s="104">
        <v>0</v>
      </c>
    </row>
  </sheetData>
  <autoFilter ref="A1:JM1083" xr:uid="{2F05624D-77E7-43C0-8140-A64ACBD6EF3B}"/>
  <mergeCells count="2">
    <mergeCell ref="M2:M5"/>
    <mergeCell ref="M6:M8"/>
  </mergeCells>
  <phoneticPr fontId="17"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1304AAF5-1642-45B8-AC57-AA32EE7A9D8D}">
          <x14:formula1>
            <xm:f>Liste!$A$2:$A$6</xm:f>
          </x14:formula1>
          <xm:sqref>A1:A40 A61:A1048576</xm:sqref>
        </x14:dataValidation>
        <x14:dataValidation type="list" allowBlank="1" showInputMessage="1" showErrorMessage="1" xr:uid="{BC6660C8-BA1A-4C6A-8EE4-8372E27BDBCA}">
          <x14:formula1>
            <xm:f>Liste!$C$2:$C$80</xm:f>
          </x14:formula1>
          <xm:sqref>B1:B40 B61:B1048576</xm:sqref>
        </x14:dataValidation>
        <x14:dataValidation type="list" showInputMessage="1" xr:uid="{EFA8206D-8F3E-4264-9F25-07C2304927D2}">
          <x14:formula1>
            <xm:f>Liste!$G$2:$G$124</xm:f>
          </x14:formula1>
          <xm:sqref>L44 L1:L40 M11:N18 L52:L1048576</xm:sqref>
        </x14:dataValidation>
        <x14:dataValidation type="list" allowBlank="1" showInputMessage="1" showErrorMessage="1" xr:uid="{8EA1A4CA-B6E4-4CF7-A356-44C58C4C31E0}">
          <x14:formula1>
            <xm:f>Liste!$P$2:$P$6</xm:f>
          </x14:formula1>
          <xm:sqref>J1:J1048576</xm:sqref>
        </x14:dataValidation>
        <x14:dataValidation type="list" allowBlank="1" showInputMessage="1" showErrorMessage="1" xr:uid="{40B9D351-44E0-4D03-9C73-D9AE50B98CD2}">
          <x14:formula1>
            <xm:f>Liste!$R$2:$R$5</xm:f>
          </x14:formula1>
          <xm:sqref>K1:K1048576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3841-045D-4289-8170-DE34E7B33C90}">
  <sheetPr>
    <tabColor rgb="FFFFFF00"/>
  </sheetPr>
  <dimension ref="A1:S170"/>
  <sheetViews>
    <sheetView zoomScale="80" zoomScaleNormal="80" workbookViewId="0">
      <pane ySplit="1" topLeftCell="A2" activePane="bottomLeft" state="frozen"/>
      <selection pane="bottomLeft" activeCell="E19" sqref="E19"/>
      <selection activeCell="E148" sqref="E148"/>
    </sheetView>
  </sheetViews>
  <sheetFormatPr defaultColWidth="8.6640625" defaultRowHeight="15"/>
  <cols>
    <col min="1" max="1" width="14.5546875" style="3" bestFit="1" customWidth="1"/>
    <col min="2" max="2" width="8.6640625" style="3"/>
    <col min="3" max="3" width="38" style="3" bestFit="1" customWidth="1"/>
    <col min="4" max="4" width="8.6640625" style="3"/>
    <col min="5" max="5" width="11.21875" style="3" bestFit="1" customWidth="1"/>
    <col min="6" max="6" width="8.6640625" style="3"/>
    <col min="7" max="7" width="20.44140625" style="3" bestFit="1" customWidth="1"/>
    <col min="8" max="8" width="8.6640625" style="3"/>
    <col min="9" max="9" width="11.33203125" style="3" bestFit="1" customWidth="1"/>
    <col min="10" max="10" width="31.88671875" style="3" bestFit="1" customWidth="1"/>
    <col min="11" max="11" width="8.6640625" style="3"/>
    <col min="12" max="12" width="5.109375" style="3" bestFit="1" customWidth="1"/>
    <col min="13" max="13" width="8.6640625" style="3"/>
    <col min="14" max="14" width="25.109375" style="3" bestFit="1" customWidth="1"/>
    <col min="15" max="15" width="8.6640625" style="3"/>
    <col min="16" max="16" width="10.44140625" style="3" bestFit="1" customWidth="1"/>
    <col min="17" max="17" width="8.6640625" style="3"/>
    <col min="18" max="18" width="9.44140625" style="3" bestFit="1" customWidth="1"/>
    <col min="19" max="19" width="198.88671875" style="3" bestFit="1" customWidth="1"/>
    <col min="20" max="16384" width="8.6640625" style="3"/>
  </cols>
  <sheetData>
    <row r="1" spans="1:18" ht="31.5">
      <c r="A1" s="13" t="s">
        <v>0</v>
      </c>
      <c r="B1" s="30"/>
      <c r="C1" s="22" t="s">
        <v>1</v>
      </c>
      <c r="D1" s="30"/>
      <c r="E1" s="4" t="s">
        <v>4277</v>
      </c>
      <c r="F1" s="30"/>
      <c r="G1" s="4" t="s">
        <v>4278</v>
      </c>
      <c r="H1" s="30"/>
      <c r="I1" s="30"/>
      <c r="J1" s="30" t="s">
        <v>903</v>
      </c>
      <c r="K1" s="30"/>
      <c r="L1" s="8" t="s">
        <v>4279</v>
      </c>
      <c r="M1" s="30"/>
      <c r="N1" s="8" t="s">
        <v>900</v>
      </c>
      <c r="O1" s="30"/>
      <c r="P1" s="116" t="s">
        <v>3443</v>
      </c>
      <c r="Q1" s="30"/>
      <c r="R1" s="117" t="s">
        <v>3444</v>
      </c>
    </row>
    <row r="2" spans="1:18">
      <c r="A2" s="14" t="s">
        <v>16</v>
      </c>
      <c r="B2" s="30"/>
      <c r="C2" s="31" t="s">
        <v>611</v>
      </c>
      <c r="D2" s="30"/>
      <c r="E2" s="12" t="s">
        <v>906</v>
      </c>
      <c r="F2" s="30"/>
      <c r="G2" s="23" t="s">
        <v>4280</v>
      </c>
      <c r="H2" s="30"/>
      <c r="I2" s="30" t="s">
        <v>2166</v>
      </c>
      <c r="J2" s="6" t="s">
        <v>4281</v>
      </c>
      <c r="K2" s="30"/>
      <c r="L2" s="9"/>
      <c r="M2" s="30"/>
      <c r="N2" s="30" t="s">
        <v>4282</v>
      </c>
      <c r="O2" s="30"/>
      <c r="P2" s="30" t="s">
        <v>3589</v>
      </c>
      <c r="Q2" s="30"/>
      <c r="R2" s="30" t="s">
        <v>3450</v>
      </c>
    </row>
    <row r="3" spans="1:18">
      <c r="A3" s="15" t="s">
        <v>213</v>
      </c>
      <c r="B3" s="30"/>
      <c r="C3" s="31" t="s">
        <v>4283</v>
      </c>
      <c r="D3" s="30"/>
      <c r="E3" s="12" t="s">
        <v>1098</v>
      </c>
      <c r="F3" s="30"/>
      <c r="G3" s="23" t="s">
        <v>4284</v>
      </c>
      <c r="H3" s="30"/>
      <c r="I3" s="30" t="s">
        <v>2166</v>
      </c>
      <c r="J3" s="6" t="s">
        <v>4285</v>
      </c>
      <c r="K3" s="30"/>
      <c r="L3" s="9"/>
      <c r="M3" s="30"/>
      <c r="N3" s="30"/>
      <c r="O3" s="30"/>
      <c r="P3" s="30" t="s">
        <v>1070</v>
      </c>
      <c r="Q3" s="30"/>
      <c r="R3" s="30" t="s">
        <v>3455</v>
      </c>
    </row>
    <row r="4" spans="1:18">
      <c r="A4" s="14" t="s">
        <v>4046</v>
      </c>
      <c r="B4" s="30"/>
      <c r="C4" s="31" t="s">
        <v>4286</v>
      </c>
      <c r="D4" s="30"/>
      <c r="E4" s="12" t="s">
        <v>909</v>
      </c>
      <c r="F4" s="30"/>
      <c r="G4" s="23" t="s">
        <v>2676</v>
      </c>
      <c r="H4" s="30"/>
      <c r="I4" s="30" t="s">
        <v>2166</v>
      </c>
      <c r="J4" s="6" t="s">
        <v>4287</v>
      </c>
      <c r="K4" s="30"/>
      <c r="L4" s="9"/>
      <c r="M4" s="30"/>
      <c r="N4" s="30"/>
      <c r="O4" s="30"/>
      <c r="P4" s="30" t="s">
        <v>3427</v>
      </c>
      <c r="Q4" s="30"/>
      <c r="R4" s="30" t="s">
        <v>3797</v>
      </c>
    </row>
    <row r="5" spans="1:18">
      <c r="A5" s="14" t="s">
        <v>4288</v>
      </c>
      <c r="B5" s="30"/>
      <c r="C5" s="31" t="s">
        <v>4289</v>
      </c>
      <c r="D5" s="30"/>
      <c r="E5" s="12" t="s">
        <v>922</v>
      </c>
      <c r="F5" s="30"/>
      <c r="G5" s="144" t="s">
        <v>4290</v>
      </c>
      <c r="H5" s="30"/>
      <c r="I5" s="30" t="s">
        <v>2166</v>
      </c>
      <c r="J5" s="6" t="s">
        <v>4291</v>
      </c>
      <c r="K5" s="30"/>
      <c r="L5" s="9"/>
      <c r="M5" s="30"/>
      <c r="N5" s="30"/>
      <c r="O5" s="30"/>
      <c r="P5" s="30" t="s">
        <v>1059</v>
      </c>
      <c r="Q5" s="30"/>
      <c r="R5" s="30" t="s">
        <v>3791</v>
      </c>
    </row>
    <row r="6" spans="1:18">
      <c r="A6" s="15" t="s">
        <v>4292</v>
      </c>
      <c r="B6" s="30"/>
      <c r="C6" s="31" t="s">
        <v>4293</v>
      </c>
      <c r="D6" s="30"/>
      <c r="E6" s="5" t="s">
        <v>1007</v>
      </c>
      <c r="F6" s="30"/>
      <c r="G6" s="23" t="s">
        <v>4294</v>
      </c>
      <c r="H6" s="30"/>
      <c r="I6" s="30" t="s">
        <v>2166</v>
      </c>
      <c r="J6" s="6" t="s">
        <v>4295</v>
      </c>
      <c r="K6" s="30"/>
      <c r="L6" s="30"/>
      <c r="M6" s="30"/>
      <c r="N6" s="30"/>
      <c r="O6" s="30"/>
      <c r="P6" s="30" t="s">
        <v>3920</v>
      </c>
      <c r="Q6" s="30"/>
      <c r="R6" s="30"/>
    </row>
    <row r="7" spans="1:18">
      <c r="A7" s="30"/>
      <c r="B7" s="30"/>
      <c r="C7" s="31" t="s">
        <v>210</v>
      </c>
      <c r="D7" s="30"/>
      <c r="E7" s="5" t="s">
        <v>1070</v>
      </c>
      <c r="F7" s="30"/>
      <c r="G7" s="23" t="s">
        <v>4296</v>
      </c>
      <c r="H7" s="30"/>
      <c r="I7" s="30" t="s">
        <v>2166</v>
      </c>
      <c r="J7" s="6" t="s">
        <v>4297</v>
      </c>
      <c r="K7" s="30"/>
      <c r="L7" s="30"/>
      <c r="M7" s="30"/>
      <c r="N7" s="30"/>
      <c r="O7" s="30"/>
      <c r="P7" s="30"/>
      <c r="Q7" s="30"/>
      <c r="R7" s="30"/>
    </row>
    <row r="8" spans="1:18">
      <c r="A8" s="30"/>
      <c r="B8" s="30"/>
      <c r="C8" s="31" t="s">
        <v>404</v>
      </c>
      <c r="D8" s="30"/>
      <c r="E8" s="5" t="s">
        <v>1084</v>
      </c>
      <c r="F8" s="30"/>
      <c r="G8" s="23" t="s">
        <v>4298</v>
      </c>
      <c r="H8" s="30"/>
      <c r="I8" s="30" t="s">
        <v>2166</v>
      </c>
      <c r="J8" s="6" t="s">
        <v>4299</v>
      </c>
      <c r="K8" s="30"/>
      <c r="L8" s="30"/>
      <c r="M8" s="30"/>
      <c r="N8" s="30"/>
      <c r="O8" s="30"/>
      <c r="P8" s="30"/>
      <c r="Q8" s="30"/>
      <c r="R8" s="30"/>
    </row>
    <row r="9" spans="1:18">
      <c r="A9" s="30"/>
      <c r="B9" s="30"/>
      <c r="C9" s="31" t="s">
        <v>17</v>
      </c>
      <c r="D9" s="30"/>
      <c r="E9" s="12" t="s">
        <v>902</v>
      </c>
      <c r="F9" s="30"/>
      <c r="G9" s="23" t="s">
        <v>4300</v>
      </c>
      <c r="H9" s="30"/>
      <c r="I9" s="30" t="s">
        <v>2166</v>
      </c>
      <c r="J9" s="6" t="s">
        <v>4301</v>
      </c>
      <c r="K9" s="30"/>
      <c r="L9" s="30"/>
      <c r="M9" s="30"/>
      <c r="N9" s="30"/>
      <c r="O9" s="30"/>
      <c r="P9" s="30"/>
      <c r="Q9" s="30"/>
      <c r="R9" s="30"/>
    </row>
    <row r="10" spans="1:18">
      <c r="A10" s="30"/>
      <c r="B10" s="30"/>
      <c r="C10" s="31" t="s">
        <v>540</v>
      </c>
      <c r="D10" s="30"/>
      <c r="E10" s="12" t="s">
        <v>1059</v>
      </c>
      <c r="F10" s="30"/>
      <c r="G10" s="144" t="s">
        <v>2133</v>
      </c>
      <c r="H10" s="30"/>
      <c r="I10" s="30" t="s">
        <v>2166</v>
      </c>
      <c r="J10" s="6" t="s">
        <v>4302</v>
      </c>
      <c r="K10" s="30"/>
      <c r="L10" s="30"/>
      <c r="M10" s="30"/>
      <c r="N10" s="30"/>
      <c r="O10" s="30"/>
      <c r="P10" s="30"/>
      <c r="Q10" s="30"/>
      <c r="R10" s="30"/>
    </row>
    <row r="11" spans="1:18">
      <c r="A11" s="30"/>
      <c r="B11" s="30"/>
      <c r="C11" s="31" t="s">
        <v>4303</v>
      </c>
      <c r="D11" s="30"/>
      <c r="E11" s="12" t="s">
        <v>3427</v>
      </c>
      <c r="F11" s="30"/>
      <c r="G11" s="144" t="s">
        <v>4304</v>
      </c>
      <c r="H11" s="30"/>
      <c r="I11" s="30" t="s">
        <v>2166</v>
      </c>
      <c r="J11" s="6" t="s">
        <v>4305</v>
      </c>
      <c r="K11" s="30"/>
      <c r="L11" s="30"/>
      <c r="M11" s="30"/>
      <c r="N11" s="30"/>
      <c r="O11" s="30"/>
      <c r="P11" s="30"/>
      <c r="Q11" s="30"/>
      <c r="R11" s="30"/>
    </row>
    <row r="12" spans="1:18">
      <c r="A12" s="30"/>
      <c r="B12" s="30"/>
      <c r="C12" s="31" t="s">
        <v>4306</v>
      </c>
      <c r="D12" s="30"/>
      <c r="E12" s="30"/>
      <c r="F12" s="30"/>
      <c r="G12" s="23" t="s">
        <v>4307</v>
      </c>
      <c r="H12" s="30"/>
      <c r="I12" s="30" t="s">
        <v>2166</v>
      </c>
      <c r="J12" s="6" t="s">
        <v>4308</v>
      </c>
      <c r="K12" s="30"/>
      <c r="L12" s="30"/>
      <c r="M12" s="30"/>
      <c r="N12" s="30"/>
      <c r="O12" s="30"/>
      <c r="P12" s="30"/>
      <c r="Q12" s="30"/>
      <c r="R12" s="30"/>
    </row>
    <row r="13" spans="1:18">
      <c r="A13" s="30"/>
      <c r="B13" s="30"/>
      <c r="C13" s="31" t="s">
        <v>4309</v>
      </c>
      <c r="D13" s="30"/>
      <c r="E13" s="30"/>
      <c r="F13" s="30"/>
      <c r="G13" s="23" t="s">
        <v>2773</v>
      </c>
      <c r="H13" s="30"/>
      <c r="I13" s="30" t="s">
        <v>2166</v>
      </c>
      <c r="J13" s="6" t="s">
        <v>3390</v>
      </c>
      <c r="K13" s="30"/>
      <c r="L13" s="30"/>
      <c r="M13" s="30"/>
      <c r="N13" s="30"/>
      <c r="O13" s="30"/>
      <c r="P13" s="30"/>
      <c r="Q13" s="30"/>
      <c r="R13" s="30"/>
    </row>
    <row r="14" spans="1:18">
      <c r="A14" s="30"/>
      <c r="B14" s="30"/>
      <c r="C14" s="31" t="s">
        <v>4310</v>
      </c>
      <c r="D14" s="30"/>
      <c r="E14" s="30"/>
      <c r="F14" s="30"/>
      <c r="G14" s="23" t="s">
        <v>4311</v>
      </c>
      <c r="H14" s="30"/>
      <c r="I14" s="30" t="s">
        <v>4312</v>
      </c>
      <c r="J14" s="6" t="s">
        <v>4313</v>
      </c>
      <c r="K14" s="30"/>
      <c r="L14" s="30"/>
      <c r="M14" s="30"/>
      <c r="N14" s="30"/>
      <c r="O14" s="30"/>
      <c r="P14" s="30"/>
      <c r="Q14" s="30"/>
      <c r="R14" s="30"/>
    </row>
    <row r="15" spans="1:18">
      <c r="A15" s="30"/>
      <c r="B15" s="30"/>
      <c r="C15" s="31" t="s">
        <v>4314</v>
      </c>
      <c r="D15" s="30"/>
      <c r="E15" s="30"/>
      <c r="F15" s="30"/>
      <c r="G15" s="23" t="s">
        <v>1160</v>
      </c>
      <c r="H15" s="30"/>
      <c r="I15" s="30" t="s">
        <v>4312</v>
      </c>
      <c r="J15" s="6" t="s">
        <v>4315</v>
      </c>
      <c r="K15" s="30"/>
      <c r="L15" s="30"/>
      <c r="M15" s="30"/>
      <c r="N15" s="30"/>
      <c r="O15" s="30"/>
      <c r="P15" s="30"/>
      <c r="Q15" s="30"/>
      <c r="R15" s="30"/>
    </row>
    <row r="16" spans="1:18">
      <c r="A16" s="30"/>
      <c r="B16" s="30"/>
      <c r="C16" s="31" t="s">
        <v>4316</v>
      </c>
      <c r="D16" s="30"/>
      <c r="E16" s="30"/>
      <c r="F16" s="30"/>
      <c r="G16" s="24" t="s">
        <v>4049</v>
      </c>
      <c r="H16" s="30"/>
      <c r="I16" s="30" t="s">
        <v>1307</v>
      </c>
      <c r="J16" s="6" t="s">
        <v>4317</v>
      </c>
      <c r="K16" s="30"/>
      <c r="L16" s="30"/>
      <c r="M16" s="30"/>
      <c r="N16" s="30"/>
      <c r="O16" s="30"/>
      <c r="P16" s="30"/>
      <c r="Q16" s="30"/>
      <c r="R16" s="30"/>
    </row>
    <row r="17" spans="3:10">
      <c r="C17" s="31" t="s">
        <v>4318</v>
      </c>
      <c r="D17" s="30"/>
      <c r="E17" s="30"/>
      <c r="F17" s="30"/>
      <c r="G17" s="144" t="s">
        <v>1203</v>
      </c>
      <c r="H17" s="30"/>
      <c r="I17" s="30" t="s">
        <v>1307</v>
      </c>
      <c r="J17" s="6" t="s">
        <v>4319</v>
      </c>
    </row>
    <row r="18" spans="3:10">
      <c r="C18" s="31" t="s">
        <v>848</v>
      </c>
      <c r="D18" s="30"/>
      <c r="E18" s="30"/>
      <c r="F18" s="30"/>
      <c r="G18" s="144" t="s">
        <v>4320</v>
      </c>
      <c r="H18" s="30"/>
      <c r="I18" s="30" t="s">
        <v>1307</v>
      </c>
      <c r="J18" s="6" t="s">
        <v>4321</v>
      </c>
    </row>
    <row r="19" spans="3:10">
      <c r="C19" s="31" t="s">
        <v>4322</v>
      </c>
      <c r="D19" s="30"/>
      <c r="E19" s="30"/>
      <c r="F19" s="30"/>
      <c r="G19" s="23" t="s">
        <v>4323</v>
      </c>
      <c r="H19" s="30"/>
      <c r="I19" s="30" t="s">
        <v>3433</v>
      </c>
      <c r="J19" s="6" t="s">
        <v>4324</v>
      </c>
    </row>
    <row r="20" spans="3:10">
      <c r="C20" s="31" t="s">
        <v>468</v>
      </c>
      <c r="D20" s="30"/>
      <c r="E20" s="30"/>
      <c r="F20" s="30"/>
      <c r="G20" s="23" t="s">
        <v>4325</v>
      </c>
      <c r="H20" s="30"/>
      <c r="I20" s="30" t="s">
        <v>4326</v>
      </c>
      <c r="J20" s="6" t="s">
        <v>4327</v>
      </c>
    </row>
    <row r="21" spans="3:10">
      <c r="C21" s="31" t="s">
        <v>4328</v>
      </c>
      <c r="D21" s="30"/>
      <c r="E21" s="30"/>
      <c r="F21" s="30"/>
      <c r="G21" s="23" t="s">
        <v>4329</v>
      </c>
      <c r="H21" s="30"/>
      <c r="I21" s="30" t="s">
        <v>4326</v>
      </c>
      <c r="J21" s="6" t="s">
        <v>4330</v>
      </c>
    </row>
    <row r="22" spans="3:10">
      <c r="C22" s="31" t="s">
        <v>4331</v>
      </c>
      <c r="D22" s="30"/>
      <c r="E22" s="30"/>
      <c r="F22" s="30"/>
      <c r="G22" s="144" t="s">
        <v>4332</v>
      </c>
      <c r="H22" s="30"/>
      <c r="I22" s="30" t="s">
        <v>4326</v>
      </c>
      <c r="J22" s="6" t="s">
        <v>4333</v>
      </c>
    </row>
    <row r="23" spans="3:10">
      <c r="C23" s="31" t="s">
        <v>214</v>
      </c>
      <c r="D23" s="30"/>
      <c r="E23" s="30"/>
      <c r="F23" s="30"/>
      <c r="G23" s="202" t="s">
        <v>2639</v>
      </c>
      <c r="H23" s="30"/>
      <c r="I23" s="30" t="s">
        <v>4326</v>
      </c>
      <c r="J23" s="6" t="s">
        <v>4334</v>
      </c>
    </row>
    <row r="24" spans="3:10">
      <c r="C24" s="31" t="s">
        <v>4335</v>
      </c>
      <c r="D24" s="30"/>
      <c r="E24" s="30"/>
      <c r="F24" s="30"/>
      <c r="G24" s="23" t="s">
        <v>4336</v>
      </c>
      <c r="H24" s="30"/>
      <c r="I24" s="30" t="s">
        <v>4326</v>
      </c>
      <c r="J24" s="6" t="s">
        <v>4337</v>
      </c>
    </row>
    <row r="25" spans="3:10">
      <c r="C25" s="21" t="s">
        <v>4338</v>
      </c>
      <c r="D25" s="30"/>
      <c r="E25" s="30"/>
      <c r="F25" s="30"/>
      <c r="G25" s="144" t="s">
        <v>1229</v>
      </c>
      <c r="H25" s="30"/>
      <c r="I25" s="30" t="s">
        <v>4339</v>
      </c>
      <c r="J25" s="6" t="s">
        <v>4340</v>
      </c>
    </row>
    <row r="26" spans="3:10">
      <c r="C26" s="21" t="s">
        <v>4341</v>
      </c>
      <c r="D26" s="30"/>
      <c r="E26" s="30"/>
      <c r="F26" s="30"/>
      <c r="G26" s="144" t="s">
        <v>979</v>
      </c>
      <c r="H26" s="30"/>
      <c r="I26" s="30" t="s">
        <v>4339</v>
      </c>
      <c r="J26" s="6" t="s">
        <v>4342</v>
      </c>
    </row>
    <row r="27" spans="3:10">
      <c r="C27" s="21" t="s">
        <v>4343</v>
      </c>
      <c r="D27" s="30"/>
      <c r="E27" s="30"/>
      <c r="F27" s="30"/>
      <c r="G27" s="144" t="s">
        <v>4344</v>
      </c>
      <c r="H27" s="30"/>
      <c r="I27" s="30" t="s">
        <v>4339</v>
      </c>
      <c r="J27" s="6" t="s">
        <v>4345</v>
      </c>
    </row>
    <row r="28" spans="3:10">
      <c r="C28" s="21" t="s">
        <v>4346</v>
      </c>
      <c r="D28" s="30"/>
      <c r="E28" s="30"/>
      <c r="F28" s="30"/>
      <c r="G28" s="23" t="s">
        <v>4347</v>
      </c>
      <c r="H28" s="30"/>
      <c r="I28" s="30" t="s">
        <v>4339</v>
      </c>
      <c r="J28" s="6" t="s">
        <v>4348</v>
      </c>
    </row>
    <row r="29" spans="3:10">
      <c r="C29" s="21" t="s">
        <v>342</v>
      </c>
      <c r="D29" s="30"/>
      <c r="E29" s="30"/>
      <c r="F29" s="30"/>
      <c r="G29" s="23" t="s">
        <v>4349</v>
      </c>
      <c r="H29" s="30"/>
      <c r="I29" s="30" t="s">
        <v>4339</v>
      </c>
      <c r="J29" s="6" t="s">
        <v>4350</v>
      </c>
    </row>
    <row r="30" spans="3:10">
      <c r="C30" s="21" t="s">
        <v>252</v>
      </c>
      <c r="D30" s="30"/>
      <c r="E30" s="30"/>
      <c r="F30" s="30"/>
      <c r="G30" s="23" t="s">
        <v>4351</v>
      </c>
      <c r="H30" s="30"/>
      <c r="I30" s="30"/>
      <c r="J30" s="30"/>
    </row>
    <row r="31" spans="3:10">
      <c r="C31" s="21" t="s">
        <v>686</v>
      </c>
      <c r="D31" s="30"/>
      <c r="E31" s="30"/>
      <c r="F31" s="30"/>
      <c r="G31" s="202" t="s">
        <v>2067</v>
      </c>
      <c r="H31" s="30"/>
      <c r="I31" s="30"/>
      <c r="J31" s="30"/>
    </row>
    <row r="32" spans="3:10">
      <c r="C32" s="21" t="s">
        <v>4352</v>
      </c>
      <c r="D32" s="30"/>
      <c r="E32" s="30"/>
      <c r="F32" s="30"/>
      <c r="G32" s="145" t="s">
        <v>4353</v>
      </c>
      <c r="H32" s="30"/>
      <c r="I32" s="30"/>
      <c r="J32" s="30"/>
    </row>
    <row r="33" spans="3:19">
      <c r="C33" s="21" t="s">
        <v>4354</v>
      </c>
      <c r="D33" s="30"/>
      <c r="E33" s="30"/>
      <c r="F33" s="30"/>
      <c r="G33" s="144" t="s">
        <v>4355</v>
      </c>
      <c r="H33" s="30"/>
      <c r="I33" s="30"/>
      <c r="J33" s="30"/>
      <c r="K33" s="30"/>
      <c r="L33" s="30"/>
      <c r="M33" s="30"/>
      <c r="N33" s="30"/>
      <c r="O33" s="30"/>
      <c r="P33" s="30"/>
      <c r="Q33" s="30"/>
      <c r="R33" s="30"/>
      <c r="S33" s="30"/>
    </row>
    <row r="34" spans="3:19">
      <c r="C34" s="31" t="s">
        <v>4356</v>
      </c>
      <c r="D34" s="30"/>
      <c r="E34" s="30"/>
      <c r="F34" s="30"/>
      <c r="G34" s="144" t="s">
        <v>1562</v>
      </c>
      <c r="H34" s="30"/>
      <c r="I34" s="30"/>
      <c r="J34" s="30"/>
      <c r="K34" s="30"/>
      <c r="L34" s="30"/>
      <c r="M34" s="30"/>
      <c r="N34" s="30"/>
      <c r="O34" s="30"/>
      <c r="P34" s="30"/>
      <c r="Q34" s="30"/>
      <c r="R34" s="30"/>
      <c r="S34" s="30"/>
    </row>
    <row r="35" spans="3:19">
      <c r="C35" s="31" t="s">
        <v>4357</v>
      </c>
      <c r="D35" s="30"/>
      <c r="E35" s="30"/>
      <c r="F35" s="30"/>
      <c r="G35" s="23" t="s">
        <v>3662</v>
      </c>
      <c r="H35" s="30"/>
      <c r="I35" s="30"/>
      <c r="J35" s="30"/>
      <c r="K35" s="30"/>
      <c r="L35" s="30"/>
      <c r="M35" s="30"/>
      <c r="N35" s="30"/>
      <c r="O35" s="30"/>
      <c r="P35" s="30"/>
      <c r="Q35" s="30"/>
      <c r="R35" s="30"/>
      <c r="S35" s="30"/>
    </row>
    <row r="36" spans="3:19">
      <c r="C36" s="31" t="s">
        <v>776</v>
      </c>
      <c r="D36" s="30"/>
      <c r="E36" s="30"/>
      <c r="F36" s="30"/>
      <c r="G36" s="202" t="s">
        <v>4358</v>
      </c>
      <c r="H36" s="30"/>
      <c r="I36" s="30"/>
      <c r="J36" s="30"/>
      <c r="K36" s="30"/>
      <c r="L36" s="30"/>
      <c r="M36" s="30"/>
      <c r="N36" s="30"/>
      <c r="O36" s="30"/>
      <c r="P36" s="30"/>
      <c r="Q36" s="30"/>
      <c r="R36" s="30"/>
      <c r="S36" s="30"/>
    </row>
    <row r="37" spans="3:19">
      <c r="C37" s="31" t="s">
        <v>4359</v>
      </c>
      <c r="D37" s="30"/>
      <c r="E37" s="30"/>
      <c r="F37" s="30"/>
      <c r="G37" s="23" t="s">
        <v>4360</v>
      </c>
      <c r="H37" s="30"/>
      <c r="I37" s="30"/>
      <c r="J37" s="30"/>
      <c r="K37" s="30"/>
      <c r="L37" s="30"/>
      <c r="M37" s="30"/>
      <c r="N37" s="30"/>
      <c r="O37" s="30"/>
      <c r="P37" s="30"/>
      <c r="Q37" s="30"/>
      <c r="R37" s="30"/>
      <c r="S37" s="30"/>
    </row>
    <row r="38" spans="3:19">
      <c r="C38" s="31" t="s">
        <v>4361</v>
      </c>
      <c r="D38" s="30"/>
      <c r="E38" s="30"/>
      <c r="F38" s="30"/>
      <c r="G38" s="144" t="s">
        <v>1263</v>
      </c>
      <c r="H38" s="30"/>
      <c r="I38" s="30"/>
      <c r="J38" s="30"/>
      <c r="K38" s="30"/>
      <c r="L38" s="30"/>
      <c r="M38" s="30"/>
      <c r="N38" s="30"/>
      <c r="O38" s="30"/>
      <c r="P38" s="30"/>
      <c r="Q38" s="30"/>
      <c r="R38" s="30"/>
      <c r="S38" s="30"/>
    </row>
    <row r="39" spans="3:19">
      <c r="C39" s="31" t="s">
        <v>4362</v>
      </c>
      <c r="D39" s="30"/>
      <c r="E39" s="30"/>
      <c r="F39" s="30"/>
      <c r="G39" s="23" t="s">
        <v>4363</v>
      </c>
      <c r="H39" s="30"/>
      <c r="I39" s="30"/>
      <c r="J39" s="30"/>
      <c r="K39" s="30"/>
      <c r="L39" s="30"/>
      <c r="M39" s="30"/>
      <c r="N39" s="30"/>
      <c r="O39" s="30"/>
      <c r="P39" s="30"/>
      <c r="Q39" s="30"/>
      <c r="R39" s="30"/>
      <c r="S39" s="30"/>
    </row>
    <row r="40" spans="3:19">
      <c r="C40" s="31" t="s">
        <v>124</v>
      </c>
      <c r="D40" s="30"/>
      <c r="E40" s="30"/>
      <c r="F40" s="30"/>
      <c r="G40" s="144" t="s">
        <v>4364</v>
      </c>
      <c r="H40" s="30"/>
      <c r="I40" s="30"/>
      <c r="J40" s="30"/>
      <c r="K40" s="30"/>
      <c r="L40" s="30"/>
      <c r="M40" s="30"/>
      <c r="N40" s="30"/>
      <c r="O40" s="30"/>
      <c r="P40" s="30"/>
      <c r="Q40" s="30"/>
      <c r="R40" s="30"/>
      <c r="S40" s="30"/>
    </row>
    <row r="41" spans="3:19">
      <c r="C41" s="31" t="s">
        <v>147</v>
      </c>
      <c r="D41" s="30"/>
      <c r="E41" s="30"/>
      <c r="F41" s="30"/>
      <c r="G41" s="145" t="s">
        <v>4365</v>
      </c>
      <c r="H41" s="30"/>
      <c r="I41" s="30"/>
      <c r="J41" s="30"/>
      <c r="K41" s="30"/>
      <c r="L41" s="30"/>
      <c r="M41" s="30"/>
      <c r="N41" s="30"/>
      <c r="O41" s="30"/>
      <c r="P41" s="30"/>
      <c r="Q41" s="30"/>
      <c r="R41" s="30"/>
      <c r="S41" s="30"/>
    </row>
    <row r="42" spans="3:19">
      <c r="C42" s="31" t="s">
        <v>558</v>
      </c>
      <c r="D42" s="30"/>
      <c r="E42" s="30"/>
      <c r="F42" s="30"/>
      <c r="G42" s="144" t="s">
        <v>4366</v>
      </c>
      <c r="H42" s="30"/>
      <c r="I42" s="30"/>
      <c r="J42" s="30"/>
      <c r="K42" s="30"/>
      <c r="L42" s="30"/>
      <c r="M42" s="30"/>
      <c r="N42" s="30"/>
      <c r="O42" s="30"/>
      <c r="P42" s="30"/>
      <c r="Q42" s="30"/>
      <c r="R42" s="30"/>
      <c r="S42" s="30"/>
    </row>
    <row r="43" spans="3:19">
      <c r="C43" s="31" t="s">
        <v>4367</v>
      </c>
      <c r="D43" s="30"/>
      <c r="E43" s="30"/>
      <c r="F43" s="30"/>
      <c r="G43" s="23" t="s">
        <v>4368</v>
      </c>
      <c r="H43" s="30"/>
      <c r="I43" s="30"/>
      <c r="J43" s="30"/>
      <c r="K43" s="30"/>
      <c r="L43" s="30"/>
      <c r="M43" s="30"/>
      <c r="N43" s="30"/>
      <c r="O43" s="30"/>
      <c r="P43" s="30"/>
      <c r="Q43" s="30"/>
      <c r="R43" s="30"/>
      <c r="S43" s="30"/>
    </row>
    <row r="44" spans="3:19">
      <c r="C44" s="31" t="s">
        <v>4369</v>
      </c>
      <c r="D44" s="30"/>
      <c r="E44" s="30"/>
      <c r="F44" s="30"/>
      <c r="G44" s="23" t="s">
        <v>4370</v>
      </c>
      <c r="H44" s="30"/>
      <c r="I44" s="30"/>
      <c r="J44" s="30"/>
      <c r="K44" s="30"/>
      <c r="L44" s="30"/>
      <c r="M44" s="30"/>
      <c r="N44" s="30"/>
      <c r="O44" s="30"/>
      <c r="P44" s="30"/>
      <c r="Q44" s="30"/>
      <c r="R44" s="30"/>
      <c r="S44" s="30"/>
    </row>
    <row r="45" spans="3:19">
      <c r="C45" s="31" t="s">
        <v>4371</v>
      </c>
      <c r="D45" s="30"/>
      <c r="E45" s="30"/>
      <c r="F45" s="30"/>
      <c r="G45" s="23" t="s">
        <v>4372</v>
      </c>
      <c r="H45" s="30"/>
      <c r="I45" s="30"/>
      <c r="J45" s="30"/>
      <c r="K45" s="30"/>
      <c r="L45" s="30"/>
      <c r="M45" s="30"/>
      <c r="N45" s="30"/>
      <c r="O45" s="30"/>
      <c r="P45" s="30"/>
      <c r="Q45" s="30"/>
      <c r="R45" s="30"/>
      <c r="S45" s="30" t="s">
        <v>4373</v>
      </c>
    </row>
    <row r="46" spans="3:19">
      <c r="C46" s="31" t="s">
        <v>4374</v>
      </c>
      <c r="D46" s="30"/>
      <c r="E46" s="30"/>
      <c r="F46" s="30"/>
      <c r="G46" s="23" t="s">
        <v>4375</v>
      </c>
      <c r="H46" s="30"/>
      <c r="I46" s="30"/>
      <c r="J46" s="30"/>
      <c r="K46" s="30"/>
      <c r="L46" s="30"/>
      <c r="M46" s="30"/>
      <c r="N46" s="30"/>
      <c r="O46" s="30"/>
      <c r="P46" s="30"/>
      <c r="Q46" s="30"/>
      <c r="R46" s="30"/>
      <c r="S46" s="30"/>
    </row>
    <row r="47" spans="3:19">
      <c r="C47" s="31" t="s">
        <v>4376</v>
      </c>
      <c r="D47" s="30"/>
      <c r="E47" s="30"/>
      <c r="F47" s="30"/>
      <c r="G47" s="23" t="s">
        <v>4377</v>
      </c>
      <c r="H47" s="30"/>
      <c r="I47" s="30"/>
      <c r="J47" s="30"/>
      <c r="K47" s="30"/>
      <c r="L47" s="30"/>
      <c r="M47" s="30"/>
      <c r="N47" s="30"/>
      <c r="O47" s="30"/>
      <c r="P47" s="30"/>
      <c r="Q47" s="30"/>
      <c r="R47" s="30"/>
      <c r="S47" s="30"/>
    </row>
    <row r="48" spans="3:19">
      <c r="C48" s="31" t="s">
        <v>4378</v>
      </c>
      <c r="D48" s="30"/>
      <c r="E48" s="30"/>
      <c r="F48" s="30"/>
      <c r="G48" s="23" t="s">
        <v>4379</v>
      </c>
      <c r="H48" s="30"/>
      <c r="I48" s="30"/>
      <c r="J48" s="30"/>
      <c r="K48" s="30"/>
      <c r="L48" s="30"/>
      <c r="M48" s="30"/>
      <c r="N48" s="30"/>
      <c r="O48" s="30"/>
      <c r="P48" s="30"/>
      <c r="Q48" s="30"/>
      <c r="R48" s="30"/>
      <c r="S48" s="30"/>
    </row>
    <row r="49" spans="3:7">
      <c r="C49" s="31" t="s">
        <v>4380</v>
      </c>
      <c r="D49" s="30"/>
      <c r="E49" s="30"/>
      <c r="F49" s="30"/>
      <c r="G49" s="144" t="s">
        <v>4381</v>
      </c>
    </row>
    <row r="50" spans="3:7">
      <c r="C50" s="31" t="s">
        <v>4382</v>
      </c>
      <c r="D50" s="30"/>
      <c r="E50" s="30"/>
      <c r="F50" s="30"/>
      <c r="G50" s="23" t="s">
        <v>4383</v>
      </c>
    </row>
    <row r="51" spans="3:7">
      <c r="C51" s="31" t="s">
        <v>4384</v>
      </c>
      <c r="D51" s="30"/>
      <c r="E51" s="30"/>
      <c r="F51" s="30"/>
      <c r="G51" s="202" t="s">
        <v>2481</v>
      </c>
    </row>
    <row r="52" spans="3:7">
      <c r="C52" s="31" t="s">
        <v>4385</v>
      </c>
      <c r="D52" s="30"/>
      <c r="E52" s="30"/>
      <c r="F52" s="30"/>
      <c r="G52" s="144" t="s">
        <v>1845</v>
      </c>
    </row>
    <row r="53" spans="3:7">
      <c r="C53" s="31" t="s">
        <v>4386</v>
      </c>
      <c r="D53" s="30"/>
      <c r="E53" s="30"/>
      <c r="F53" s="30"/>
      <c r="G53" s="145" t="s">
        <v>4387</v>
      </c>
    </row>
    <row r="54" spans="3:7">
      <c r="C54" s="31" t="s">
        <v>295</v>
      </c>
      <c r="D54" s="30"/>
      <c r="E54" s="30"/>
      <c r="F54" s="30"/>
      <c r="G54" s="144" t="s">
        <v>4388</v>
      </c>
    </row>
    <row r="55" spans="3:7">
      <c r="C55" s="31" t="s">
        <v>77</v>
      </c>
      <c r="D55" s="30"/>
      <c r="E55" s="30"/>
      <c r="F55" s="30"/>
      <c r="G55" s="23" t="s">
        <v>4389</v>
      </c>
    </row>
    <row r="56" spans="3:7">
      <c r="C56" s="31" t="s">
        <v>4390</v>
      </c>
      <c r="D56" s="30"/>
      <c r="E56" s="30"/>
      <c r="F56" s="30"/>
      <c r="G56" s="23" t="s">
        <v>4391</v>
      </c>
    </row>
    <row r="57" spans="3:7">
      <c r="C57" s="31" t="s">
        <v>582</v>
      </c>
      <c r="D57" s="30"/>
      <c r="E57" s="30"/>
      <c r="F57" s="30"/>
      <c r="G57" s="23" t="s">
        <v>4392</v>
      </c>
    </row>
    <row r="58" spans="3:7">
      <c r="C58" s="31" t="s">
        <v>4393</v>
      </c>
      <c r="D58" s="30"/>
      <c r="E58" s="30"/>
      <c r="F58" s="30"/>
      <c r="G58" s="23" t="s">
        <v>4394</v>
      </c>
    </row>
    <row r="59" spans="3:7">
      <c r="C59" s="31" t="s">
        <v>388</v>
      </c>
      <c r="D59" s="30"/>
      <c r="E59" s="30"/>
      <c r="F59" s="30"/>
      <c r="G59" s="144" t="s">
        <v>2914</v>
      </c>
    </row>
    <row r="60" spans="3:7">
      <c r="C60" s="31" t="s">
        <v>719</v>
      </c>
      <c r="D60" s="30"/>
      <c r="E60" s="30"/>
      <c r="F60" s="30"/>
      <c r="G60" s="23" t="s">
        <v>987</v>
      </c>
    </row>
    <row r="61" spans="3:7">
      <c r="C61" s="31" t="s">
        <v>881</v>
      </c>
      <c r="D61" s="30"/>
      <c r="E61" s="30"/>
      <c r="F61" s="30"/>
      <c r="G61" s="23" t="s">
        <v>4395</v>
      </c>
    </row>
    <row r="62" spans="3:7">
      <c r="C62" s="31" t="s">
        <v>4396</v>
      </c>
      <c r="D62" s="30"/>
      <c r="E62" s="30"/>
      <c r="F62" s="30"/>
      <c r="G62" s="23" t="s">
        <v>1728</v>
      </c>
    </row>
    <row r="63" spans="3:7">
      <c r="C63" s="31" t="s">
        <v>736</v>
      </c>
      <c r="D63" s="30"/>
      <c r="E63" s="30"/>
      <c r="F63" s="30"/>
      <c r="G63" s="144" t="s">
        <v>4397</v>
      </c>
    </row>
    <row r="64" spans="3:7">
      <c r="C64" s="31" t="s">
        <v>4398</v>
      </c>
      <c r="D64" s="30"/>
      <c r="E64" s="30"/>
      <c r="F64" s="30"/>
      <c r="G64" s="23" t="s">
        <v>4399</v>
      </c>
    </row>
    <row r="65" spans="3:7">
      <c r="C65" s="31" t="s">
        <v>4400</v>
      </c>
      <c r="D65" s="30"/>
      <c r="E65" s="30"/>
      <c r="F65" s="30"/>
      <c r="G65" s="202" t="s">
        <v>2518</v>
      </c>
    </row>
    <row r="66" spans="3:7">
      <c r="C66" s="31" t="s">
        <v>4401</v>
      </c>
      <c r="D66" s="30"/>
      <c r="E66" s="30"/>
      <c r="F66" s="30"/>
      <c r="G66" s="203" t="s">
        <v>4402</v>
      </c>
    </row>
    <row r="67" spans="3:7">
      <c r="C67" s="31" t="s">
        <v>4403</v>
      </c>
      <c r="D67" s="30"/>
      <c r="E67" s="30"/>
      <c r="F67" s="30"/>
      <c r="G67" s="23" t="s">
        <v>4404</v>
      </c>
    </row>
    <row r="68" spans="3:7">
      <c r="C68" s="31" t="s">
        <v>4405</v>
      </c>
      <c r="D68" s="30"/>
      <c r="E68" s="30"/>
      <c r="F68" s="30"/>
      <c r="G68" s="23" t="s">
        <v>2921</v>
      </c>
    </row>
    <row r="69" spans="3:7">
      <c r="C69" s="31" t="s">
        <v>307</v>
      </c>
      <c r="D69" s="30"/>
      <c r="E69" s="30"/>
      <c r="F69" s="30"/>
      <c r="G69" s="23" t="s">
        <v>4406</v>
      </c>
    </row>
    <row r="70" spans="3:7">
      <c r="C70" s="31" t="s">
        <v>364</v>
      </c>
      <c r="D70" s="30"/>
      <c r="E70" s="30"/>
      <c r="F70" s="30"/>
      <c r="G70" s="23" t="s">
        <v>4407</v>
      </c>
    </row>
    <row r="71" spans="3:7">
      <c r="C71" s="31" t="s">
        <v>434</v>
      </c>
      <c r="D71" s="30"/>
      <c r="E71" s="30"/>
      <c r="F71" s="30"/>
      <c r="G71" s="23" t="s">
        <v>4408</v>
      </c>
    </row>
    <row r="72" spans="3:7">
      <c r="C72" s="31" t="s">
        <v>4409</v>
      </c>
      <c r="D72" s="30"/>
      <c r="E72" s="30"/>
      <c r="F72" s="30"/>
      <c r="G72" s="144" t="s">
        <v>4410</v>
      </c>
    </row>
    <row r="73" spans="3:7">
      <c r="C73" s="31" t="s">
        <v>4411</v>
      </c>
      <c r="D73" s="30"/>
      <c r="E73" s="30"/>
      <c r="F73" s="30"/>
      <c r="G73" s="144" t="s">
        <v>1811</v>
      </c>
    </row>
    <row r="74" spans="3:7">
      <c r="C74" s="31" t="s">
        <v>4412</v>
      </c>
      <c r="D74" s="30"/>
      <c r="E74" s="30"/>
      <c r="F74" s="30"/>
      <c r="G74" s="144" t="s">
        <v>4413</v>
      </c>
    </row>
    <row r="75" spans="3:7">
      <c r="C75" s="31" t="s">
        <v>550</v>
      </c>
      <c r="D75" s="30"/>
      <c r="E75" s="30"/>
      <c r="F75" s="30"/>
      <c r="G75" s="23" t="s">
        <v>4414</v>
      </c>
    </row>
    <row r="76" spans="3:7">
      <c r="C76" s="31" t="s">
        <v>4415</v>
      </c>
      <c r="D76" s="30"/>
      <c r="E76" s="30"/>
      <c r="F76" s="30"/>
      <c r="G76" s="203" t="s">
        <v>4416</v>
      </c>
    </row>
    <row r="77" spans="3:7">
      <c r="C77" s="31" t="s">
        <v>516</v>
      </c>
      <c r="D77" s="30"/>
      <c r="E77" s="30"/>
      <c r="F77" s="30"/>
      <c r="G77" s="202" t="s">
        <v>1524</v>
      </c>
    </row>
    <row r="78" spans="3:7">
      <c r="C78" s="31" t="s">
        <v>4417</v>
      </c>
      <c r="D78" s="30"/>
      <c r="E78" s="30"/>
      <c r="F78" s="30"/>
      <c r="G78" s="144" t="s">
        <v>3385</v>
      </c>
    </row>
    <row r="79" spans="3:7">
      <c r="C79" s="31" t="s">
        <v>4418</v>
      </c>
      <c r="D79" s="30"/>
      <c r="E79" s="30"/>
      <c r="F79" s="30"/>
      <c r="G79" s="145" t="s">
        <v>4419</v>
      </c>
    </row>
    <row r="80" spans="3:7">
      <c r="C80" s="31" t="s">
        <v>488</v>
      </c>
      <c r="D80" s="30"/>
      <c r="E80" s="30"/>
      <c r="F80" s="30"/>
      <c r="G80" s="23" t="s">
        <v>1002</v>
      </c>
    </row>
    <row r="81" spans="7:7">
      <c r="G81" s="23" t="s">
        <v>2704</v>
      </c>
    </row>
    <row r="82" spans="7:7">
      <c r="G82" s="23" t="s">
        <v>4420</v>
      </c>
    </row>
    <row r="83" spans="7:7">
      <c r="G83" s="23" t="s">
        <v>3965</v>
      </c>
    </row>
    <row r="84" spans="7:7">
      <c r="G84" s="23" t="s">
        <v>4421</v>
      </c>
    </row>
    <row r="85" spans="7:7">
      <c r="G85" s="23" t="s">
        <v>1235</v>
      </c>
    </row>
    <row r="86" spans="7:7">
      <c r="G86" s="144" t="s">
        <v>2508</v>
      </c>
    </row>
    <row r="87" spans="7:7">
      <c r="G87" s="23" t="s">
        <v>4422</v>
      </c>
    </row>
    <row r="88" spans="7:7">
      <c r="G88" s="23" t="s">
        <v>4423</v>
      </c>
    </row>
    <row r="89" spans="7:7">
      <c r="G89" s="202" t="s">
        <v>2714</v>
      </c>
    </row>
    <row r="90" spans="7:7">
      <c r="G90" s="144" t="s">
        <v>4424</v>
      </c>
    </row>
    <row r="91" spans="7:7">
      <c r="G91" s="25" t="s">
        <v>4425</v>
      </c>
    </row>
    <row r="92" spans="7:7">
      <c r="G92" s="144" t="s">
        <v>1239</v>
      </c>
    </row>
    <row r="93" spans="7:7">
      <c r="G93" s="23" t="s">
        <v>4426</v>
      </c>
    </row>
    <row r="94" spans="7:7">
      <c r="G94" s="145" t="s">
        <v>4427</v>
      </c>
    </row>
    <row r="95" spans="7:7">
      <c r="G95" s="23" t="s">
        <v>4428</v>
      </c>
    </row>
    <row r="96" spans="7:7">
      <c r="G96" s="23" t="s">
        <v>4429</v>
      </c>
    </row>
    <row r="97" spans="7:7">
      <c r="G97" s="143" t="s">
        <v>2632</v>
      </c>
    </row>
    <row r="98" spans="7:7">
      <c r="G98" s="143" t="s">
        <v>4430</v>
      </c>
    </row>
    <row r="99" spans="7:7">
      <c r="G99" s="143" t="s">
        <v>4431</v>
      </c>
    </row>
    <row r="100" spans="7:7">
      <c r="G100" s="202" t="s">
        <v>4432</v>
      </c>
    </row>
    <row r="101" spans="7:7">
      <c r="G101" s="23" t="s">
        <v>1367</v>
      </c>
    </row>
    <row r="102" spans="7:7">
      <c r="G102" s="23" t="s">
        <v>4433</v>
      </c>
    </row>
    <row r="103" spans="7:7">
      <c r="G103" s="23" t="s">
        <v>4434</v>
      </c>
    </row>
    <row r="104" spans="7:7">
      <c r="G104" s="23" t="s">
        <v>3354</v>
      </c>
    </row>
    <row r="105" spans="7:7">
      <c r="G105" s="144" t="s">
        <v>1505</v>
      </c>
    </row>
    <row r="106" spans="7:7">
      <c r="G106" s="203" t="s">
        <v>4435</v>
      </c>
    </row>
    <row r="107" spans="7:7">
      <c r="G107" s="23" t="s">
        <v>4436</v>
      </c>
    </row>
    <row r="108" spans="7:7">
      <c r="G108" s="202" t="s">
        <v>1006</v>
      </c>
    </row>
    <row r="109" spans="7:7">
      <c r="G109" s="23" t="s">
        <v>4437</v>
      </c>
    </row>
    <row r="110" spans="7:7">
      <c r="G110" s="145" t="s">
        <v>4438</v>
      </c>
    </row>
    <row r="111" spans="7:7">
      <c r="G111" s="23" t="s">
        <v>1342</v>
      </c>
    </row>
    <row r="112" spans="7:7">
      <c r="G112" s="23" t="s">
        <v>4439</v>
      </c>
    </row>
    <row r="113" spans="7:8">
      <c r="G113" s="143" t="s">
        <v>4440</v>
      </c>
      <c r="H113" s="30"/>
    </row>
    <row r="114" spans="7:8">
      <c r="G114" s="144" t="s">
        <v>4441</v>
      </c>
      <c r="H114" s="30"/>
    </row>
    <row r="115" spans="7:8">
      <c r="G115" s="23" t="s">
        <v>4442</v>
      </c>
      <c r="H115" s="30"/>
    </row>
    <row r="116" spans="7:8">
      <c r="G116" s="23" t="s">
        <v>4443</v>
      </c>
      <c r="H116" s="30"/>
    </row>
    <row r="117" spans="7:8">
      <c r="G117" s="23" t="s">
        <v>4444</v>
      </c>
      <c r="H117" s="30"/>
    </row>
    <row r="118" spans="7:8">
      <c r="G118" s="23" t="s">
        <v>2574</v>
      </c>
      <c r="H118" s="30"/>
    </row>
    <row r="119" spans="7:8">
      <c r="G119" s="23" t="s">
        <v>4445</v>
      </c>
      <c r="H119" s="30"/>
    </row>
    <row r="120" spans="7:8">
      <c r="G120" s="143" t="s">
        <v>1640</v>
      </c>
      <c r="H120" s="30"/>
    </row>
    <row r="121" spans="7:8">
      <c r="G121" s="19" t="s">
        <v>1992</v>
      </c>
      <c r="H121" s="32"/>
    </row>
    <row r="122" spans="7:8">
      <c r="G122" s="143" t="s">
        <v>1813</v>
      </c>
      <c r="H122" s="30"/>
    </row>
    <row r="123" spans="7:8">
      <c r="G123" s="202" t="s">
        <v>2072</v>
      </c>
      <c r="H123" s="30"/>
    </row>
    <row r="124" spans="7:8">
      <c r="G124" s="23" t="s">
        <v>4446</v>
      </c>
      <c r="H124" s="30"/>
    </row>
    <row r="125" spans="7:8">
      <c r="G125" s="23" t="s">
        <v>4447</v>
      </c>
      <c r="H125" s="30"/>
    </row>
    <row r="126" spans="7:8">
      <c r="G126" s="143" t="s">
        <v>4448</v>
      </c>
      <c r="H126" s="30"/>
    </row>
    <row r="127" spans="7:8">
      <c r="G127" s="202" t="s">
        <v>4449</v>
      </c>
      <c r="H127" s="30"/>
    </row>
    <row r="128" spans="7:8">
      <c r="G128" s="23" t="s">
        <v>4450</v>
      </c>
      <c r="H128" s="30"/>
    </row>
    <row r="129" spans="7:7">
      <c r="G129" s="23" t="s">
        <v>4451</v>
      </c>
    </row>
    <row r="130" spans="7:7">
      <c r="G130" s="23" t="s">
        <v>4452</v>
      </c>
    </row>
    <row r="131" spans="7:7">
      <c r="G131" s="23" t="s">
        <v>4453</v>
      </c>
    </row>
    <row r="132" spans="7:7">
      <c r="G132" s="144" t="s">
        <v>941</v>
      </c>
    </row>
    <row r="133" spans="7:7">
      <c r="G133" s="23" t="s">
        <v>1345</v>
      </c>
    </row>
    <row r="134" spans="7:7">
      <c r="G134" s="145" t="s">
        <v>4454</v>
      </c>
    </row>
    <row r="135" spans="7:7">
      <c r="G135" s="23" t="s">
        <v>4455</v>
      </c>
    </row>
    <row r="136" spans="7:7">
      <c r="G136" s="146" t="s">
        <v>4456</v>
      </c>
    </row>
    <row r="137" spans="7:7">
      <c r="G137" s="202" t="s">
        <v>4457</v>
      </c>
    </row>
    <row r="138" spans="7:7">
      <c r="G138" s="23" t="s">
        <v>4458</v>
      </c>
    </row>
    <row r="139" spans="7:7">
      <c r="G139" s="24" t="s">
        <v>4459</v>
      </c>
    </row>
    <row r="140" spans="7:7">
      <c r="G140" s="23" t="s">
        <v>4460</v>
      </c>
    </row>
    <row r="141" spans="7:7">
      <c r="G141" s="145" t="s">
        <v>4461</v>
      </c>
    </row>
    <row r="142" spans="7:7">
      <c r="G142" s="23" t="s">
        <v>4462</v>
      </c>
    </row>
    <row r="143" spans="7:7">
      <c r="G143" s="144" t="s">
        <v>1837</v>
      </c>
    </row>
    <row r="144" spans="7:7">
      <c r="G144" s="144" t="s">
        <v>1521</v>
      </c>
    </row>
    <row r="145" spans="7:7">
      <c r="G145" s="23" t="s">
        <v>4463</v>
      </c>
    </row>
    <row r="146" spans="7:7">
      <c r="G146" s="23" t="s">
        <v>1388</v>
      </c>
    </row>
    <row r="147" spans="7:7">
      <c r="G147" s="23" t="s">
        <v>3204</v>
      </c>
    </row>
    <row r="148" spans="7:7">
      <c r="G148" s="203" t="s">
        <v>4464</v>
      </c>
    </row>
    <row r="149" spans="7:7">
      <c r="G149" s="23" t="s">
        <v>4465</v>
      </c>
    </row>
    <row r="150" spans="7:7">
      <c r="G150" s="144" t="s">
        <v>4466</v>
      </c>
    </row>
    <row r="151" spans="7:7">
      <c r="G151" s="23" t="s">
        <v>4467</v>
      </c>
    </row>
    <row r="152" spans="7:7">
      <c r="G152" s="23" t="s">
        <v>4468</v>
      </c>
    </row>
    <row r="153" spans="7:7">
      <c r="G153" s="23" t="s">
        <v>4469</v>
      </c>
    </row>
    <row r="154" spans="7:7">
      <c r="G154" s="142" t="s">
        <v>4470</v>
      </c>
    </row>
    <row r="155" spans="7:7">
      <c r="G155" s="202" t="s">
        <v>2559</v>
      </c>
    </row>
    <row r="156" spans="7:7">
      <c r="G156" s="23" t="s">
        <v>4471</v>
      </c>
    </row>
    <row r="157" spans="7:7">
      <c r="G157" s="23" t="s">
        <v>4472</v>
      </c>
    </row>
    <row r="158" spans="7:7">
      <c r="G158" s="23" t="s">
        <v>4473</v>
      </c>
    </row>
    <row r="159" spans="7:7">
      <c r="G159" s="23" t="s">
        <v>2411</v>
      </c>
    </row>
    <row r="160" spans="7:7">
      <c r="G160" s="23" t="s">
        <v>4474</v>
      </c>
    </row>
    <row r="161" spans="7:7">
      <c r="G161" s="157" t="s">
        <v>2961</v>
      </c>
    </row>
    <row r="162" spans="7:7">
      <c r="G162" s="143" t="s">
        <v>1920</v>
      </c>
    </row>
    <row r="163" spans="7:7">
      <c r="G163" s="143"/>
    </row>
    <row r="164" spans="7:7">
      <c r="G164" s="143"/>
    </row>
    <row r="165" spans="7:7">
      <c r="G165" s="30"/>
    </row>
    <row r="166" spans="7:7">
      <c r="G166" s="30"/>
    </row>
    <row r="167" spans="7:7">
      <c r="G167" s="30"/>
    </row>
    <row r="168" spans="7:7">
      <c r="G168" s="30"/>
    </row>
    <row r="169" spans="7:7">
      <c r="G169" s="30"/>
    </row>
    <row r="170" spans="7:7">
      <c r="G170" s="30"/>
    </row>
  </sheetData>
  <dataValidations count="3">
    <dataValidation type="list" allowBlank="1" showInputMessage="1" showErrorMessage="1" sqref="A2:A6" xr:uid="{3CBA6878-A037-43C8-B464-5C248833F554}">
      <formula1>$A$2:$A$6</formula1>
    </dataValidation>
    <dataValidation type="list" allowBlank="1" showInputMessage="1" showErrorMessage="1" sqref="C1:C78" xr:uid="{6003273D-5FBA-4DF1-BC86-472111CD620E}">
      <formula1>$C$2:$C$78</formula1>
    </dataValidation>
    <dataValidation type="list" allowBlank="1" showInputMessage="1" showErrorMessage="1" sqref="C79:C80" xr:uid="{C55079CF-2723-4437-8ACA-856959B1647D}">
      <formula1>$C$2:$C$80</formula1>
    </dataValidation>
  </dataValidations>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88E766C5329FA448ACE72EB1A59CD2E" ma:contentTypeVersion="4" ma:contentTypeDescription="Creare un nuovo documento." ma:contentTypeScope="" ma:versionID="e13c07391312a2da9a556322582cff36">
  <xsd:schema xmlns:xsd="http://www.w3.org/2001/XMLSchema" xmlns:xs="http://www.w3.org/2001/XMLSchema" xmlns:p="http://schemas.microsoft.com/office/2006/metadata/properties" xmlns:ns2="26404b6c-ec33-405e-a1e9-94228ecfd219" targetNamespace="http://schemas.microsoft.com/office/2006/metadata/properties" ma:root="true" ma:fieldsID="c5349556d7f8f77d133ec7b2fb8e50fd" ns2:_="">
    <xsd:import namespace="26404b6c-ec33-405e-a1e9-94228ecfd2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404b6c-ec33-405e-a1e9-94228ecfd2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3630C7-305F-4C70-95FD-B7692FE1C164}"/>
</file>

<file path=customXml/itemProps2.xml><?xml version="1.0" encoding="utf-8"?>
<ds:datastoreItem xmlns:ds="http://schemas.openxmlformats.org/officeDocument/2006/customXml" ds:itemID="{0900D0A0-2F72-4F63-BCB1-CDD52D4CD362}"/>
</file>

<file path=customXml/itemProps3.xml><?xml version="1.0" encoding="utf-8"?>
<ds:datastoreItem xmlns:ds="http://schemas.openxmlformats.org/officeDocument/2006/customXml" ds:itemID="{80CB0162-793F-4DB1-BF6E-536C8828C6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2020-10-06T12:48:34Z</dcterms:created>
  <dcterms:modified xsi:type="dcterms:W3CDTF">2026-01-25T12:58:12Z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0x010100288E766C5329FA448ACE72EB1A59CD2E</vt:lpwstr>
  </property>
</Properties>
</file>